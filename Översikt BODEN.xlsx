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45905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45905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45905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45905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45905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45905</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45905</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45905</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45905</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45905</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45905</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45905</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45905</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45905</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45905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45905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45905</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45905</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45905</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45905</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45905</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45905</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45905</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45905</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45905</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45905</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45905</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45905</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45905</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45905</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45905</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45905</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45905</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45905</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55246-2020</t>
        </is>
      </c>
      <c r="B36" s="1" t="n">
        <v>44130</v>
      </c>
      <c r="C36" s="1" t="n">
        <v>45905</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39868-2025</t>
        </is>
      </c>
      <c r="B37" s="1" t="n">
        <v>45893</v>
      </c>
      <c r="C37" s="1" t="n">
        <v>45905</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8383-2025</t>
        </is>
      </c>
      <c r="B38" s="1" t="n">
        <v>45709.34450231482</v>
      </c>
      <c r="C38" s="1" t="n">
        <v>45905</v>
      </c>
      <c r="D38" t="inlineStr">
        <is>
          <t>NORRBOTTENS LÄN</t>
        </is>
      </c>
      <c r="E38" t="inlineStr">
        <is>
          <t>BODEN</t>
        </is>
      </c>
      <c r="F38" t="inlineStr">
        <is>
          <t>SCA</t>
        </is>
      </c>
      <c r="G38" t="n">
        <v>6.8</v>
      </c>
      <c r="H38" t="n">
        <v>1</v>
      </c>
      <c r="I38" t="n">
        <v>0</v>
      </c>
      <c r="J38" t="n">
        <v>3</v>
      </c>
      <c r="K38" t="n">
        <v>0</v>
      </c>
      <c r="L38" t="n">
        <v>0</v>
      </c>
      <c r="M38" t="n">
        <v>0</v>
      </c>
      <c r="N38" t="n">
        <v>0</v>
      </c>
      <c r="O38" t="n">
        <v>3</v>
      </c>
      <c r="P38" t="n">
        <v>0</v>
      </c>
      <c r="Q38" t="n">
        <v>3</v>
      </c>
      <c r="R38" s="2" t="inlineStr">
        <is>
          <t>Gammelgransskål
Garnlav
Tretåig hackspett</t>
        </is>
      </c>
      <c r="S38">
        <f>HYPERLINK("https://klasma.github.io/Logging_2582/artfynd/A 8383-2025 artfynd.xlsx", "A 8383-2025")</f>
        <v/>
      </c>
      <c r="T38">
        <f>HYPERLINK("https://klasma.github.io/Logging_2582/kartor/A 8383-2025 karta.png", "A 8383-2025")</f>
        <v/>
      </c>
      <c r="V38">
        <f>HYPERLINK("https://klasma.github.io/Logging_2582/klagomål/A 8383-2025 FSC-klagomål.docx", "A 8383-2025")</f>
        <v/>
      </c>
      <c r="W38">
        <f>HYPERLINK("https://klasma.github.io/Logging_2582/klagomålsmail/A 8383-2025 FSC-klagomål mail.docx", "A 8383-2025")</f>
        <v/>
      </c>
      <c r="X38">
        <f>HYPERLINK("https://klasma.github.io/Logging_2582/tillsyn/A 8383-2025 tillsynsbegäran.docx", "A 8383-2025")</f>
        <v/>
      </c>
      <c r="Y38">
        <f>HYPERLINK("https://klasma.github.io/Logging_2582/tillsynsmail/A 8383-2025 tillsynsbegäran mail.docx", "A 8383-2025")</f>
        <v/>
      </c>
      <c r="Z38">
        <f>HYPERLINK("https://klasma.github.io/Logging_2582/fåglar/A 8383-2025 prioriterade fågelarter.docx", "A 8383-2025")</f>
        <v/>
      </c>
    </row>
    <row r="39" ht="15" customHeight="1">
      <c r="A39" t="inlineStr">
        <is>
          <t>A 58196-2021</t>
        </is>
      </c>
      <c r="B39" s="1" t="n">
        <v>44487.66532407407</v>
      </c>
      <c r="C39" s="1" t="n">
        <v>45905</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45905</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45905</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26346-2022</t>
        </is>
      </c>
      <c r="B42" s="1" t="n">
        <v>44735.63122685185</v>
      </c>
      <c r="C42" s="1" t="n">
        <v>45905</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45905</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58902-2021</t>
        </is>
      </c>
      <c r="B44" s="1" t="n">
        <v>44489</v>
      </c>
      <c r="C44" s="1" t="n">
        <v>45905</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45905</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36629-2022</t>
        </is>
      </c>
      <c r="B46" s="1" t="n">
        <v>44804</v>
      </c>
      <c r="C46" s="1" t="n">
        <v>45905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6639-2024</t>
        </is>
      </c>
      <c r="B47" s="1" t="n">
        <v>45341</v>
      </c>
      <c r="C47" s="1" t="n">
        <v>45905</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45905</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45905</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45905</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41087-2024</t>
        </is>
      </c>
      <c r="B51" s="1" t="n">
        <v>45559</v>
      </c>
      <c r="C51" s="1" t="n">
        <v>45905</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900-2024</t>
        </is>
      </c>
      <c r="B52" s="1" t="n">
        <v>45301</v>
      </c>
      <c r="C52" s="1" t="n">
        <v>45905</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33895-2025</t>
        </is>
      </c>
      <c r="B53" s="1" t="n">
        <v>45842</v>
      </c>
      <c r="C53" s="1" t="n">
        <v>45905</v>
      </c>
      <c r="D53" t="inlineStr">
        <is>
          <t>NORRBOTTENS LÄN</t>
        </is>
      </c>
      <c r="E53" t="inlineStr">
        <is>
          <t>BODEN</t>
        </is>
      </c>
      <c r="F53" t="inlineStr">
        <is>
          <t>Sveaskog</t>
        </is>
      </c>
      <c r="G53" t="n">
        <v>16.7</v>
      </c>
      <c r="H53" t="n">
        <v>2</v>
      </c>
      <c r="I53" t="n">
        <v>1</v>
      </c>
      <c r="J53" t="n">
        <v>0</v>
      </c>
      <c r="K53" t="n">
        <v>0</v>
      </c>
      <c r="L53" t="n">
        <v>0</v>
      </c>
      <c r="M53" t="n">
        <v>0</v>
      </c>
      <c r="N53" t="n">
        <v>0</v>
      </c>
      <c r="O53" t="n">
        <v>0</v>
      </c>
      <c r="P53" t="n">
        <v>0</v>
      </c>
      <c r="Q53" t="n">
        <v>2</v>
      </c>
      <c r="R53" s="2" t="inlineStr">
        <is>
          <t>Plattlummer
Fläcknycklar</t>
        </is>
      </c>
      <c r="S53">
        <f>HYPERLINK("https://klasma.github.io/Logging_2582/artfynd/A 33895-2025 artfynd.xlsx", "A 33895-2025")</f>
        <v/>
      </c>
      <c r="T53">
        <f>HYPERLINK("https://klasma.github.io/Logging_2582/kartor/A 33895-2025 karta.png", "A 33895-2025")</f>
        <v/>
      </c>
      <c r="V53">
        <f>HYPERLINK("https://klasma.github.io/Logging_2582/klagomål/A 33895-2025 FSC-klagomål.docx", "A 33895-2025")</f>
        <v/>
      </c>
      <c r="W53">
        <f>HYPERLINK("https://klasma.github.io/Logging_2582/klagomålsmail/A 33895-2025 FSC-klagomål mail.docx", "A 33895-2025")</f>
        <v/>
      </c>
      <c r="X53">
        <f>HYPERLINK("https://klasma.github.io/Logging_2582/tillsyn/A 33895-2025 tillsynsbegäran.docx", "A 33895-2025")</f>
        <v/>
      </c>
      <c r="Y53">
        <f>HYPERLINK("https://klasma.github.io/Logging_2582/tillsynsmail/A 33895-2025 tillsynsbegäran mail.docx", "A 33895-2025")</f>
        <v/>
      </c>
    </row>
    <row r="54" ht="15" customHeight="1">
      <c r="A54" t="inlineStr">
        <is>
          <t>A 6895-2025</t>
        </is>
      </c>
      <c r="B54" s="1" t="n">
        <v>45701</v>
      </c>
      <c r="C54" s="1" t="n">
        <v>45905</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34737-2024</t>
        </is>
      </c>
      <c r="B55" s="1" t="n">
        <v>45526</v>
      </c>
      <c r="C55" s="1" t="n">
        <v>45905</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28267-2025</t>
        </is>
      </c>
      <c r="B56" s="1" t="n">
        <v>45818.56559027778</v>
      </c>
      <c r="C56" s="1" t="n">
        <v>45905</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28867-2025</t>
        </is>
      </c>
      <c r="B57" s="1" t="n">
        <v>45820.60171296296</v>
      </c>
      <c r="C57" s="1" t="n">
        <v>45905</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59435-2024</t>
        </is>
      </c>
      <c r="B58" s="1" t="n">
        <v>45638.43048611111</v>
      </c>
      <c r="C58" s="1" t="n">
        <v>45905</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31358-2025</t>
        </is>
      </c>
      <c r="B59" s="1" t="n">
        <v>45833.43407407407</v>
      </c>
      <c r="C59" s="1" t="n">
        <v>45905</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45905</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34164-2023</t>
        </is>
      </c>
      <c r="B61" s="1" t="n">
        <v>45137</v>
      </c>
      <c r="C61" s="1" t="n">
        <v>45905</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42233-2022</t>
        </is>
      </c>
      <c r="B62" s="1" t="n">
        <v>44830</v>
      </c>
      <c r="C62" s="1" t="n">
        <v>45905</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45905</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45905</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45905</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45905</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45905</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45905</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45905</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45905</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45905</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18678-2025</t>
        </is>
      </c>
      <c r="B72" s="1" t="n">
        <v>45763.60056712963</v>
      </c>
      <c r="C72" s="1" t="n">
        <v>45905</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53142-2024</t>
        </is>
      </c>
      <c r="B73" s="1" t="n">
        <v>45611</v>
      </c>
      <c r="C73" s="1" t="n">
        <v>45905</v>
      </c>
      <c r="D73" t="inlineStr">
        <is>
          <t>NORRBOTTENS LÄN</t>
        </is>
      </c>
      <c r="E73" t="inlineStr">
        <is>
          <t>BODEN</t>
        </is>
      </c>
      <c r="F73" t="inlineStr">
        <is>
          <t>Sveaskog</t>
        </is>
      </c>
      <c r="G73" t="n">
        <v>6.6</v>
      </c>
      <c r="H73" t="n">
        <v>1</v>
      </c>
      <c r="I73" t="n">
        <v>0</v>
      </c>
      <c r="J73" t="n">
        <v>0</v>
      </c>
      <c r="K73" t="n">
        <v>1</v>
      </c>
      <c r="L73" t="n">
        <v>0</v>
      </c>
      <c r="M73" t="n">
        <v>0</v>
      </c>
      <c r="N73" t="n">
        <v>0</v>
      </c>
      <c r="O73" t="n">
        <v>1</v>
      </c>
      <c r="P73" t="n">
        <v>1</v>
      </c>
      <c r="Q73" t="n">
        <v>1</v>
      </c>
      <c r="R73" s="2" t="inlineStr">
        <is>
          <t>Doftticka</t>
        </is>
      </c>
      <c r="S73">
        <f>HYPERLINK("https://klasma.github.io/Logging_2582/artfynd/A 53142-2024 artfynd.xlsx", "A 53142-2024")</f>
        <v/>
      </c>
      <c r="T73">
        <f>HYPERLINK("https://klasma.github.io/Logging_2582/kartor/A 53142-2024 karta.png", "A 53142-2024")</f>
        <v/>
      </c>
      <c r="V73">
        <f>HYPERLINK("https://klasma.github.io/Logging_2582/klagomål/A 53142-2024 FSC-klagomål.docx", "A 53142-2024")</f>
        <v/>
      </c>
      <c r="W73">
        <f>HYPERLINK("https://klasma.github.io/Logging_2582/klagomålsmail/A 53142-2024 FSC-klagomål mail.docx", "A 53142-2024")</f>
        <v/>
      </c>
      <c r="X73">
        <f>HYPERLINK("https://klasma.github.io/Logging_2582/tillsyn/A 53142-2024 tillsynsbegäran.docx", "A 53142-2024")</f>
        <v/>
      </c>
      <c r="Y73">
        <f>HYPERLINK("https://klasma.github.io/Logging_2582/tillsynsmail/A 53142-2024 tillsynsbegäran mail.docx", "A 53142-2024")</f>
        <v/>
      </c>
    </row>
    <row r="74" ht="15" customHeight="1">
      <c r="A74" t="inlineStr">
        <is>
          <t>A 22264-2024</t>
        </is>
      </c>
      <c r="B74" s="1" t="n">
        <v>45446</v>
      </c>
      <c r="C74" s="1" t="n">
        <v>45905</v>
      </c>
      <c r="D74" t="inlineStr">
        <is>
          <t>NORRBOTTENS LÄN</t>
        </is>
      </c>
      <c r="E74" t="inlineStr">
        <is>
          <t>BODEN</t>
        </is>
      </c>
      <c r="F74" t="inlineStr">
        <is>
          <t>Sveaskog</t>
        </is>
      </c>
      <c r="G74" t="n">
        <v>16.7</v>
      </c>
      <c r="H74" t="n">
        <v>0</v>
      </c>
      <c r="I74" t="n">
        <v>1</v>
      </c>
      <c r="J74" t="n">
        <v>0</v>
      </c>
      <c r="K74" t="n">
        <v>0</v>
      </c>
      <c r="L74" t="n">
        <v>0</v>
      </c>
      <c r="M74" t="n">
        <v>0</v>
      </c>
      <c r="N74" t="n">
        <v>0</v>
      </c>
      <c r="O74" t="n">
        <v>0</v>
      </c>
      <c r="P74" t="n">
        <v>0</v>
      </c>
      <c r="Q74" t="n">
        <v>1</v>
      </c>
      <c r="R74" s="2" t="inlineStr">
        <is>
          <t>Tibast</t>
        </is>
      </c>
      <c r="S74">
        <f>HYPERLINK("https://klasma.github.io/Logging_2582/artfynd/A 22264-2024 artfynd.xlsx", "A 22264-2024")</f>
        <v/>
      </c>
      <c r="T74">
        <f>HYPERLINK("https://klasma.github.io/Logging_2582/kartor/A 22264-2024 karta.png", "A 22264-2024")</f>
        <v/>
      </c>
      <c r="V74">
        <f>HYPERLINK("https://klasma.github.io/Logging_2582/klagomål/A 22264-2024 FSC-klagomål.docx", "A 22264-2024")</f>
        <v/>
      </c>
      <c r="W74">
        <f>HYPERLINK("https://klasma.github.io/Logging_2582/klagomålsmail/A 22264-2024 FSC-klagomål mail.docx", "A 22264-2024")</f>
        <v/>
      </c>
      <c r="X74">
        <f>HYPERLINK("https://klasma.github.io/Logging_2582/tillsyn/A 22264-2024 tillsynsbegäran.docx", "A 22264-2024")</f>
        <v/>
      </c>
      <c r="Y74">
        <f>HYPERLINK("https://klasma.github.io/Logging_2582/tillsynsmail/A 22264-2024 tillsynsbegäran mail.docx", "A 22264-2024")</f>
        <v/>
      </c>
    </row>
    <row r="75" ht="15" customHeight="1">
      <c r="A75" t="inlineStr">
        <is>
          <t>A 61219-2024</t>
        </is>
      </c>
      <c r="B75" s="1" t="n">
        <v>45645</v>
      </c>
      <c r="C75" s="1" t="n">
        <v>45905</v>
      </c>
      <c r="D75" t="inlineStr">
        <is>
          <t>NORRBOTTENS LÄN</t>
        </is>
      </c>
      <c r="E75" t="inlineStr">
        <is>
          <t>BODEN</t>
        </is>
      </c>
      <c r="F75" t="inlineStr">
        <is>
          <t>Sveaskog</t>
        </is>
      </c>
      <c r="G75" t="n">
        <v>1.5</v>
      </c>
      <c r="H75" t="n">
        <v>0</v>
      </c>
      <c r="I75" t="n">
        <v>0</v>
      </c>
      <c r="J75" t="n">
        <v>1</v>
      </c>
      <c r="K75" t="n">
        <v>0</v>
      </c>
      <c r="L75" t="n">
        <v>0</v>
      </c>
      <c r="M75" t="n">
        <v>0</v>
      </c>
      <c r="N75" t="n">
        <v>0</v>
      </c>
      <c r="O75" t="n">
        <v>1</v>
      </c>
      <c r="P75" t="n">
        <v>0</v>
      </c>
      <c r="Q75" t="n">
        <v>1</v>
      </c>
      <c r="R75" s="2" t="inlineStr">
        <is>
          <t>Tallticka</t>
        </is>
      </c>
      <c r="S75">
        <f>HYPERLINK("https://klasma.github.io/Logging_2582/artfynd/A 61219-2024 artfynd.xlsx", "A 61219-2024")</f>
        <v/>
      </c>
      <c r="T75">
        <f>HYPERLINK("https://klasma.github.io/Logging_2582/kartor/A 61219-2024 karta.png", "A 61219-2024")</f>
        <v/>
      </c>
      <c r="V75">
        <f>HYPERLINK("https://klasma.github.io/Logging_2582/klagomål/A 61219-2024 FSC-klagomål.docx", "A 61219-2024")</f>
        <v/>
      </c>
      <c r="W75">
        <f>HYPERLINK("https://klasma.github.io/Logging_2582/klagomålsmail/A 61219-2024 FSC-klagomål mail.docx", "A 61219-2024")</f>
        <v/>
      </c>
      <c r="X75">
        <f>HYPERLINK("https://klasma.github.io/Logging_2582/tillsyn/A 61219-2024 tillsynsbegäran.docx", "A 61219-2024")</f>
        <v/>
      </c>
      <c r="Y75">
        <f>HYPERLINK("https://klasma.github.io/Logging_2582/tillsynsmail/A 61219-2024 tillsynsbegäran mail.docx", "A 61219-2024")</f>
        <v/>
      </c>
    </row>
    <row r="76" ht="15" customHeight="1">
      <c r="A76" t="inlineStr">
        <is>
          <t>A 23096-2025</t>
        </is>
      </c>
      <c r="B76" s="1" t="n">
        <v>45791.34502314815</v>
      </c>
      <c r="C76" s="1" t="n">
        <v>45905</v>
      </c>
      <c r="D76" t="inlineStr">
        <is>
          <t>NORRBOTTENS LÄN</t>
        </is>
      </c>
      <c r="E76" t="inlineStr">
        <is>
          <t>BODEN</t>
        </is>
      </c>
      <c r="F76" t="inlineStr">
        <is>
          <t>SCA</t>
        </is>
      </c>
      <c r="G76" t="n">
        <v>1.8</v>
      </c>
      <c r="H76" t="n">
        <v>0</v>
      </c>
      <c r="I76" t="n">
        <v>0</v>
      </c>
      <c r="J76" t="n">
        <v>1</v>
      </c>
      <c r="K76" t="n">
        <v>0</v>
      </c>
      <c r="L76" t="n">
        <v>0</v>
      </c>
      <c r="M76" t="n">
        <v>0</v>
      </c>
      <c r="N76" t="n">
        <v>0</v>
      </c>
      <c r="O76" t="n">
        <v>1</v>
      </c>
      <c r="P76" t="n">
        <v>0</v>
      </c>
      <c r="Q76" t="n">
        <v>1</v>
      </c>
      <c r="R76" s="2" t="inlineStr">
        <is>
          <t>Garnlav</t>
        </is>
      </c>
      <c r="S76">
        <f>HYPERLINK("https://klasma.github.io/Logging_2582/artfynd/A 23096-2025 artfynd.xlsx", "A 23096-2025")</f>
        <v/>
      </c>
      <c r="T76">
        <f>HYPERLINK("https://klasma.github.io/Logging_2582/kartor/A 23096-2025 karta.png", "A 23096-2025")</f>
        <v/>
      </c>
      <c r="V76">
        <f>HYPERLINK("https://klasma.github.io/Logging_2582/klagomål/A 23096-2025 FSC-klagomål.docx", "A 23096-2025")</f>
        <v/>
      </c>
      <c r="W76">
        <f>HYPERLINK("https://klasma.github.io/Logging_2582/klagomålsmail/A 23096-2025 FSC-klagomål mail.docx", "A 23096-2025")</f>
        <v/>
      </c>
      <c r="X76">
        <f>HYPERLINK("https://klasma.github.io/Logging_2582/tillsyn/A 23096-2025 tillsynsbegäran.docx", "A 23096-2025")</f>
        <v/>
      </c>
      <c r="Y76">
        <f>HYPERLINK("https://klasma.github.io/Logging_2582/tillsynsmail/A 23096-2025 tillsynsbegäran mail.docx", "A 23096-2025")</f>
        <v/>
      </c>
    </row>
    <row r="77" ht="15" customHeight="1">
      <c r="A77" t="inlineStr">
        <is>
          <t>A 16217-2024</t>
        </is>
      </c>
      <c r="B77" s="1" t="n">
        <v>45406.96350694444</v>
      </c>
      <c r="C77" s="1" t="n">
        <v>45905</v>
      </c>
      <c r="D77" t="inlineStr">
        <is>
          <t>NORRBOTTENS LÄN</t>
        </is>
      </c>
      <c r="E77" t="inlineStr">
        <is>
          <t>BODEN</t>
        </is>
      </c>
      <c r="G77" t="n">
        <v>7.2</v>
      </c>
      <c r="H77" t="n">
        <v>1</v>
      </c>
      <c r="I77" t="n">
        <v>0</v>
      </c>
      <c r="J77" t="n">
        <v>1</v>
      </c>
      <c r="K77" t="n">
        <v>0</v>
      </c>
      <c r="L77" t="n">
        <v>0</v>
      </c>
      <c r="M77" t="n">
        <v>0</v>
      </c>
      <c r="N77" t="n">
        <v>0</v>
      </c>
      <c r="O77" t="n">
        <v>1</v>
      </c>
      <c r="P77" t="n">
        <v>0</v>
      </c>
      <c r="Q77" t="n">
        <v>1</v>
      </c>
      <c r="R77" s="2" t="inlineStr">
        <is>
          <t>Videsparv</t>
        </is>
      </c>
      <c r="S77">
        <f>HYPERLINK("https://klasma.github.io/Logging_2582/artfynd/A 16217-2024 artfynd.xlsx", "A 16217-2024")</f>
        <v/>
      </c>
      <c r="T77">
        <f>HYPERLINK("https://klasma.github.io/Logging_2582/kartor/A 16217-2024 karta.png", "A 16217-2024")</f>
        <v/>
      </c>
      <c r="V77">
        <f>HYPERLINK("https://klasma.github.io/Logging_2582/klagomål/A 16217-2024 FSC-klagomål.docx", "A 16217-2024")</f>
        <v/>
      </c>
      <c r="W77">
        <f>HYPERLINK("https://klasma.github.io/Logging_2582/klagomålsmail/A 16217-2024 FSC-klagomål mail.docx", "A 16217-2024")</f>
        <v/>
      </c>
      <c r="X77">
        <f>HYPERLINK("https://klasma.github.io/Logging_2582/tillsyn/A 16217-2024 tillsynsbegäran.docx", "A 16217-2024")</f>
        <v/>
      </c>
      <c r="Y77">
        <f>HYPERLINK("https://klasma.github.io/Logging_2582/tillsynsmail/A 16217-2024 tillsynsbegäran mail.docx", "A 16217-2024")</f>
        <v/>
      </c>
      <c r="Z77">
        <f>HYPERLINK("https://klasma.github.io/Logging_2582/fåglar/A 16217-2024 prioriterade fågelarter.docx", "A 16217-2024")</f>
        <v/>
      </c>
    </row>
    <row r="78" ht="15" customHeight="1">
      <c r="A78" t="inlineStr">
        <is>
          <t>A 48418-2023</t>
        </is>
      </c>
      <c r="B78" s="1" t="n">
        <v>45205</v>
      </c>
      <c r="C78" s="1" t="n">
        <v>45905</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32600-2024</t>
        </is>
      </c>
      <c r="B79" s="1" t="n">
        <v>45513</v>
      </c>
      <c r="C79" s="1" t="n">
        <v>45905</v>
      </c>
      <c r="D79" t="inlineStr">
        <is>
          <t>NORRBOTTENS LÄN</t>
        </is>
      </c>
      <c r="E79" t="inlineStr">
        <is>
          <t>BODEN</t>
        </is>
      </c>
      <c r="G79" t="n">
        <v>2.5</v>
      </c>
      <c r="H79" t="n">
        <v>0</v>
      </c>
      <c r="I79" t="n">
        <v>0</v>
      </c>
      <c r="J79" t="n">
        <v>1</v>
      </c>
      <c r="K79" t="n">
        <v>0</v>
      </c>
      <c r="L79" t="n">
        <v>0</v>
      </c>
      <c r="M79" t="n">
        <v>0</v>
      </c>
      <c r="N79" t="n">
        <v>0</v>
      </c>
      <c r="O79" t="n">
        <v>1</v>
      </c>
      <c r="P79" t="n">
        <v>0</v>
      </c>
      <c r="Q79" t="n">
        <v>1</v>
      </c>
      <c r="R79" s="2" t="inlineStr">
        <is>
          <t>Lunglav</t>
        </is>
      </c>
      <c r="S79">
        <f>HYPERLINK("https://klasma.github.io/Logging_2582/artfynd/A 32600-2024 artfynd.xlsx", "A 32600-2024")</f>
        <v/>
      </c>
      <c r="T79">
        <f>HYPERLINK("https://klasma.github.io/Logging_2582/kartor/A 32600-2024 karta.png", "A 32600-2024")</f>
        <v/>
      </c>
      <c r="V79">
        <f>HYPERLINK("https://klasma.github.io/Logging_2582/klagomål/A 32600-2024 FSC-klagomål.docx", "A 32600-2024")</f>
        <v/>
      </c>
      <c r="W79">
        <f>HYPERLINK("https://klasma.github.io/Logging_2582/klagomålsmail/A 32600-2024 FSC-klagomål mail.docx", "A 32600-2024")</f>
        <v/>
      </c>
      <c r="X79">
        <f>HYPERLINK("https://klasma.github.io/Logging_2582/tillsyn/A 32600-2024 tillsynsbegäran.docx", "A 32600-2024")</f>
        <v/>
      </c>
      <c r="Y79">
        <f>HYPERLINK("https://klasma.github.io/Logging_2582/tillsynsmail/A 32600-2024 tillsynsbegäran mail.docx", "A 32600-2024")</f>
        <v/>
      </c>
    </row>
    <row r="80" ht="15" customHeight="1">
      <c r="A80" t="inlineStr">
        <is>
          <t>A 25700-2025</t>
        </is>
      </c>
      <c r="B80" s="1" t="n">
        <v>45803.66833333333</v>
      </c>
      <c r="C80" s="1" t="n">
        <v>45905</v>
      </c>
      <c r="D80" t="inlineStr">
        <is>
          <t>NORRBOTTENS LÄN</t>
        </is>
      </c>
      <c r="E80" t="inlineStr">
        <is>
          <t>BODEN</t>
        </is>
      </c>
      <c r="F80" t="inlineStr">
        <is>
          <t>Sveaskog</t>
        </is>
      </c>
      <c r="G80" t="n">
        <v>17.3</v>
      </c>
      <c r="H80" t="n">
        <v>0</v>
      </c>
      <c r="I80" t="n">
        <v>0</v>
      </c>
      <c r="J80" t="n">
        <v>1</v>
      </c>
      <c r="K80" t="n">
        <v>0</v>
      </c>
      <c r="L80" t="n">
        <v>0</v>
      </c>
      <c r="M80" t="n">
        <v>0</v>
      </c>
      <c r="N80" t="n">
        <v>0</v>
      </c>
      <c r="O80" t="n">
        <v>1</v>
      </c>
      <c r="P80" t="n">
        <v>0</v>
      </c>
      <c r="Q80" t="n">
        <v>1</v>
      </c>
      <c r="R80" s="2" t="inlineStr">
        <is>
          <t>Lunglav</t>
        </is>
      </c>
      <c r="S80">
        <f>HYPERLINK("https://klasma.github.io/Logging_2582/artfynd/A 25700-2025 artfynd.xlsx", "A 25700-2025")</f>
        <v/>
      </c>
      <c r="T80">
        <f>HYPERLINK("https://klasma.github.io/Logging_2582/kartor/A 25700-2025 karta.png", "A 25700-2025")</f>
        <v/>
      </c>
      <c r="V80">
        <f>HYPERLINK("https://klasma.github.io/Logging_2582/klagomål/A 25700-2025 FSC-klagomål.docx", "A 25700-2025")</f>
        <v/>
      </c>
      <c r="W80">
        <f>HYPERLINK("https://klasma.github.io/Logging_2582/klagomålsmail/A 25700-2025 FSC-klagomål mail.docx", "A 25700-2025")</f>
        <v/>
      </c>
      <c r="X80">
        <f>HYPERLINK("https://klasma.github.io/Logging_2582/tillsyn/A 25700-2025 tillsynsbegäran.docx", "A 25700-2025")</f>
        <v/>
      </c>
      <c r="Y80">
        <f>HYPERLINK("https://klasma.github.io/Logging_2582/tillsynsmail/A 25700-2025 tillsynsbegäran mail.docx", "A 25700-2025")</f>
        <v/>
      </c>
    </row>
    <row r="81" ht="15" customHeight="1">
      <c r="A81" t="inlineStr">
        <is>
          <t>A 25701-2025</t>
        </is>
      </c>
      <c r="B81" s="1" t="n">
        <v>45803.67</v>
      </c>
      <c r="C81" s="1" t="n">
        <v>45905</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48899-2024</t>
        </is>
      </c>
      <c r="B82" s="1" t="n">
        <v>45594</v>
      </c>
      <c r="C82" s="1" t="n">
        <v>45905</v>
      </c>
      <c r="D82" t="inlineStr">
        <is>
          <t>NORRBOTTENS LÄN</t>
        </is>
      </c>
      <c r="E82" t="inlineStr">
        <is>
          <t>BODEN</t>
        </is>
      </c>
      <c r="F82" t="inlineStr">
        <is>
          <t>SCA</t>
        </is>
      </c>
      <c r="G82" t="n">
        <v>18</v>
      </c>
      <c r="H82" t="n">
        <v>1</v>
      </c>
      <c r="I82" t="n">
        <v>0</v>
      </c>
      <c r="J82" t="n">
        <v>0</v>
      </c>
      <c r="K82" t="n">
        <v>0</v>
      </c>
      <c r="L82" t="n">
        <v>0</v>
      </c>
      <c r="M82" t="n">
        <v>0</v>
      </c>
      <c r="N82" t="n">
        <v>0</v>
      </c>
      <c r="O82" t="n">
        <v>0</v>
      </c>
      <c r="P82" t="n">
        <v>0</v>
      </c>
      <c r="Q82" t="n">
        <v>1</v>
      </c>
      <c r="R82" s="2" t="inlineStr">
        <is>
          <t>Fläcknycklar</t>
        </is>
      </c>
      <c r="S82">
        <f>HYPERLINK("https://klasma.github.io/Logging_2582/artfynd/A 48899-2024 artfynd.xlsx", "A 48899-2024")</f>
        <v/>
      </c>
      <c r="T82">
        <f>HYPERLINK("https://klasma.github.io/Logging_2582/kartor/A 48899-2024 karta.png", "A 48899-2024")</f>
        <v/>
      </c>
      <c r="V82">
        <f>HYPERLINK("https://klasma.github.io/Logging_2582/klagomål/A 48899-2024 FSC-klagomål.docx", "A 48899-2024")</f>
        <v/>
      </c>
      <c r="W82">
        <f>HYPERLINK("https://klasma.github.io/Logging_2582/klagomålsmail/A 48899-2024 FSC-klagomål mail.docx", "A 48899-2024")</f>
        <v/>
      </c>
      <c r="X82">
        <f>HYPERLINK("https://klasma.github.io/Logging_2582/tillsyn/A 48899-2024 tillsynsbegäran.docx", "A 48899-2024")</f>
        <v/>
      </c>
      <c r="Y82">
        <f>HYPERLINK("https://klasma.github.io/Logging_2582/tillsynsmail/A 48899-2024 tillsynsbegäran mail.docx", "A 48899-2024")</f>
        <v/>
      </c>
    </row>
    <row r="83" ht="15" customHeight="1">
      <c r="A83" t="inlineStr">
        <is>
          <t>A 36008-2025</t>
        </is>
      </c>
      <c r="B83" s="1" t="n">
        <v>45863.57627314814</v>
      </c>
      <c r="C83" s="1" t="n">
        <v>45905</v>
      </c>
      <c r="D83" t="inlineStr">
        <is>
          <t>NORRBOTTENS LÄN</t>
        </is>
      </c>
      <c r="E83" t="inlineStr">
        <is>
          <t>BODEN</t>
        </is>
      </c>
      <c r="F83" t="inlineStr">
        <is>
          <t>Sveaskog</t>
        </is>
      </c>
      <c r="G83" t="n">
        <v>3.3</v>
      </c>
      <c r="H83" t="n">
        <v>0</v>
      </c>
      <c r="I83" t="n">
        <v>0</v>
      </c>
      <c r="J83" t="n">
        <v>1</v>
      </c>
      <c r="K83" t="n">
        <v>0</v>
      </c>
      <c r="L83" t="n">
        <v>0</v>
      </c>
      <c r="M83" t="n">
        <v>0</v>
      </c>
      <c r="N83" t="n">
        <v>0</v>
      </c>
      <c r="O83" t="n">
        <v>1</v>
      </c>
      <c r="P83" t="n">
        <v>0</v>
      </c>
      <c r="Q83" t="n">
        <v>1</v>
      </c>
      <c r="R83" s="2" t="inlineStr">
        <is>
          <t>Tallticka</t>
        </is>
      </c>
      <c r="S83">
        <f>HYPERLINK("https://klasma.github.io/Logging_2582/artfynd/A 36008-2025 artfynd.xlsx", "A 36008-2025")</f>
        <v/>
      </c>
      <c r="T83">
        <f>HYPERLINK("https://klasma.github.io/Logging_2582/kartor/A 36008-2025 karta.png", "A 36008-2025")</f>
        <v/>
      </c>
      <c r="V83">
        <f>HYPERLINK("https://klasma.github.io/Logging_2582/klagomål/A 36008-2025 FSC-klagomål.docx", "A 36008-2025")</f>
        <v/>
      </c>
      <c r="W83">
        <f>HYPERLINK("https://klasma.github.io/Logging_2582/klagomålsmail/A 36008-2025 FSC-klagomål mail.docx", "A 36008-2025")</f>
        <v/>
      </c>
      <c r="X83">
        <f>HYPERLINK("https://klasma.github.io/Logging_2582/tillsyn/A 36008-2025 tillsynsbegäran.docx", "A 36008-2025")</f>
        <v/>
      </c>
      <c r="Y83">
        <f>HYPERLINK("https://klasma.github.io/Logging_2582/tillsynsmail/A 36008-2025 tillsynsbegäran mail.docx", "A 36008-2025")</f>
        <v/>
      </c>
    </row>
    <row r="84" ht="15" customHeight="1">
      <c r="A84" t="inlineStr">
        <is>
          <t>A 19396-2022</t>
        </is>
      </c>
      <c r="B84" s="1" t="n">
        <v>44692</v>
      </c>
      <c r="C84" s="1" t="n">
        <v>45905</v>
      </c>
      <c r="D84" t="inlineStr">
        <is>
          <t>NORRBOTTENS LÄN</t>
        </is>
      </c>
      <c r="E84" t="inlineStr">
        <is>
          <t>BODEN</t>
        </is>
      </c>
      <c r="F84" t="inlineStr">
        <is>
          <t>SCA</t>
        </is>
      </c>
      <c r="G84" t="n">
        <v>13.1</v>
      </c>
      <c r="H84" t="n">
        <v>0</v>
      </c>
      <c r="I84" t="n">
        <v>0</v>
      </c>
      <c r="J84" t="n">
        <v>1</v>
      </c>
      <c r="K84" t="n">
        <v>0</v>
      </c>
      <c r="L84" t="n">
        <v>0</v>
      </c>
      <c r="M84" t="n">
        <v>0</v>
      </c>
      <c r="N84" t="n">
        <v>0</v>
      </c>
      <c r="O84" t="n">
        <v>1</v>
      </c>
      <c r="P84" t="n">
        <v>0</v>
      </c>
      <c r="Q84" t="n">
        <v>1</v>
      </c>
      <c r="R84" s="2" t="inlineStr">
        <is>
          <t>Tallticka</t>
        </is>
      </c>
      <c r="S84">
        <f>HYPERLINK("https://klasma.github.io/Logging_2582/artfynd/A 19396-2022 artfynd.xlsx", "A 19396-2022")</f>
        <v/>
      </c>
      <c r="T84">
        <f>HYPERLINK("https://klasma.github.io/Logging_2582/kartor/A 19396-2022 karta.png", "A 19396-2022")</f>
        <v/>
      </c>
      <c r="V84">
        <f>HYPERLINK("https://klasma.github.io/Logging_2582/klagomål/A 19396-2022 FSC-klagomål.docx", "A 19396-2022")</f>
        <v/>
      </c>
      <c r="W84">
        <f>HYPERLINK("https://klasma.github.io/Logging_2582/klagomålsmail/A 19396-2022 FSC-klagomål mail.docx", "A 19396-2022")</f>
        <v/>
      </c>
      <c r="X84">
        <f>HYPERLINK("https://klasma.github.io/Logging_2582/tillsyn/A 19396-2022 tillsynsbegäran.docx", "A 19396-2022")</f>
        <v/>
      </c>
      <c r="Y84">
        <f>HYPERLINK("https://klasma.github.io/Logging_2582/tillsynsmail/A 19396-2022 tillsynsbegäran mail.docx", "A 19396-2022")</f>
        <v/>
      </c>
    </row>
    <row r="85" ht="15" customHeight="1">
      <c r="A85" t="inlineStr">
        <is>
          <t>A 31487-2025</t>
        </is>
      </c>
      <c r="B85" s="1" t="n">
        <v>45833.57443287037</v>
      </c>
      <c r="C85" s="1" t="n">
        <v>45905</v>
      </c>
      <c r="D85" t="inlineStr">
        <is>
          <t>NORRBOTTENS LÄN</t>
        </is>
      </c>
      <c r="E85" t="inlineStr">
        <is>
          <t>BODEN</t>
        </is>
      </c>
      <c r="F85" t="inlineStr">
        <is>
          <t>Övriga Aktiebolag</t>
        </is>
      </c>
      <c r="G85" t="n">
        <v>9.800000000000001</v>
      </c>
      <c r="H85" t="n">
        <v>1</v>
      </c>
      <c r="I85" t="n">
        <v>1</v>
      </c>
      <c r="J85" t="n">
        <v>0</v>
      </c>
      <c r="K85" t="n">
        <v>0</v>
      </c>
      <c r="L85" t="n">
        <v>0</v>
      </c>
      <c r="M85" t="n">
        <v>0</v>
      </c>
      <c r="N85" t="n">
        <v>0</v>
      </c>
      <c r="O85" t="n">
        <v>0</v>
      </c>
      <c r="P85" t="n">
        <v>0</v>
      </c>
      <c r="Q85" t="n">
        <v>1</v>
      </c>
      <c r="R85" s="2" t="inlineStr">
        <is>
          <t>Plattlummer</t>
        </is>
      </c>
      <c r="S85">
        <f>HYPERLINK("https://klasma.github.io/Logging_2582/artfynd/A 31487-2025 artfynd.xlsx", "A 31487-2025")</f>
        <v/>
      </c>
      <c r="T85">
        <f>HYPERLINK("https://klasma.github.io/Logging_2582/kartor/A 31487-2025 karta.png", "A 31487-2025")</f>
        <v/>
      </c>
      <c r="V85">
        <f>HYPERLINK("https://klasma.github.io/Logging_2582/klagomål/A 31487-2025 FSC-klagomål.docx", "A 31487-2025")</f>
        <v/>
      </c>
      <c r="W85">
        <f>HYPERLINK("https://klasma.github.io/Logging_2582/klagomålsmail/A 31487-2025 FSC-klagomål mail.docx", "A 31487-2025")</f>
        <v/>
      </c>
      <c r="X85">
        <f>HYPERLINK("https://klasma.github.io/Logging_2582/tillsyn/A 31487-2025 tillsynsbegäran.docx", "A 31487-2025")</f>
        <v/>
      </c>
      <c r="Y85">
        <f>HYPERLINK("https://klasma.github.io/Logging_2582/tillsynsmail/A 31487-2025 tillsynsbegäran mail.docx", "A 31487-2025")</f>
        <v/>
      </c>
    </row>
    <row r="86" ht="15" customHeight="1">
      <c r="A86" t="inlineStr">
        <is>
          <t>A 32119-2025</t>
        </is>
      </c>
      <c r="B86" s="1" t="n">
        <v>45835.49065972222</v>
      </c>
      <c r="C86" s="1" t="n">
        <v>45905</v>
      </c>
      <c r="D86" t="inlineStr">
        <is>
          <t>NORRBOTTENS LÄN</t>
        </is>
      </c>
      <c r="E86" t="inlineStr">
        <is>
          <t>BODEN</t>
        </is>
      </c>
      <c r="F86" t="inlineStr">
        <is>
          <t>Sveaskog</t>
        </is>
      </c>
      <c r="G86" t="n">
        <v>2</v>
      </c>
      <c r="H86" t="n">
        <v>0</v>
      </c>
      <c r="I86" t="n">
        <v>1</v>
      </c>
      <c r="J86" t="n">
        <v>0</v>
      </c>
      <c r="K86" t="n">
        <v>0</v>
      </c>
      <c r="L86" t="n">
        <v>0</v>
      </c>
      <c r="M86" t="n">
        <v>0</v>
      </c>
      <c r="N86" t="n">
        <v>0</v>
      </c>
      <c r="O86" t="n">
        <v>0</v>
      </c>
      <c r="P86" t="n">
        <v>0</v>
      </c>
      <c r="Q86" t="n">
        <v>1</v>
      </c>
      <c r="R86" s="2" t="inlineStr">
        <is>
          <t>Grönpyrola</t>
        </is>
      </c>
      <c r="S86">
        <f>HYPERLINK("https://klasma.github.io/Logging_2582/artfynd/A 32119-2025 artfynd.xlsx", "A 32119-2025")</f>
        <v/>
      </c>
      <c r="T86">
        <f>HYPERLINK("https://klasma.github.io/Logging_2582/kartor/A 32119-2025 karta.png", "A 32119-2025")</f>
        <v/>
      </c>
      <c r="V86">
        <f>HYPERLINK("https://klasma.github.io/Logging_2582/klagomål/A 32119-2025 FSC-klagomål.docx", "A 32119-2025")</f>
        <v/>
      </c>
      <c r="W86">
        <f>HYPERLINK("https://klasma.github.io/Logging_2582/klagomålsmail/A 32119-2025 FSC-klagomål mail.docx", "A 32119-2025")</f>
        <v/>
      </c>
      <c r="X86">
        <f>HYPERLINK("https://klasma.github.io/Logging_2582/tillsyn/A 32119-2025 tillsynsbegäran.docx", "A 32119-2025")</f>
        <v/>
      </c>
      <c r="Y86">
        <f>HYPERLINK("https://klasma.github.io/Logging_2582/tillsynsmail/A 32119-2025 tillsynsbegäran mail.docx", "A 32119-2025")</f>
        <v/>
      </c>
    </row>
    <row r="87" ht="15" customHeight="1">
      <c r="A87" t="inlineStr">
        <is>
          <t>A 34696-2025</t>
        </is>
      </c>
      <c r="B87" s="1" t="n">
        <v>45848.4612037037</v>
      </c>
      <c r="C87" s="1" t="n">
        <v>45905</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39717-2025</t>
        </is>
      </c>
      <c r="B88" s="1" t="n">
        <v>45891.3190625</v>
      </c>
      <c r="C88" s="1" t="n">
        <v>45905</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20260-2025</t>
        </is>
      </c>
      <c r="B89" s="1" t="n">
        <v>45773</v>
      </c>
      <c r="C89" s="1" t="n">
        <v>45905</v>
      </c>
      <c r="D89" t="inlineStr">
        <is>
          <t>NORRBOTTENS LÄN</t>
        </is>
      </c>
      <c r="E89" t="inlineStr">
        <is>
          <t>BODEN</t>
        </is>
      </c>
      <c r="F89" t="inlineStr">
        <is>
          <t>SCA</t>
        </is>
      </c>
      <c r="G89" t="n">
        <v>3.3</v>
      </c>
      <c r="H89" t="n">
        <v>1</v>
      </c>
      <c r="I89" t="n">
        <v>0</v>
      </c>
      <c r="J89" t="n">
        <v>0</v>
      </c>
      <c r="K89" t="n">
        <v>0</v>
      </c>
      <c r="L89" t="n">
        <v>0</v>
      </c>
      <c r="M89" t="n">
        <v>0</v>
      </c>
      <c r="N89" t="n">
        <v>0</v>
      </c>
      <c r="O89" t="n">
        <v>0</v>
      </c>
      <c r="P89" t="n">
        <v>0</v>
      </c>
      <c r="Q89" t="n">
        <v>1</v>
      </c>
      <c r="R89" s="2" t="inlineStr">
        <is>
          <t>Grön flodtrollslända</t>
        </is>
      </c>
      <c r="S89">
        <f>HYPERLINK("https://klasma.github.io/Logging_2582/artfynd/A 20260-2025 artfynd.xlsx", "A 20260-2025")</f>
        <v/>
      </c>
      <c r="T89">
        <f>HYPERLINK("https://klasma.github.io/Logging_2582/kartor/A 20260-2025 karta.png", "A 20260-2025")</f>
        <v/>
      </c>
      <c r="V89">
        <f>HYPERLINK("https://klasma.github.io/Logging_2582/klagomål/A 20260-2025 FSC-klagomål.docx", "A 20260-2025")</f>
        <v/>
      </c>
      <c r="W89">
        <f>HYPERLINK("https://klasma.github.io/Logging_2582/klagomålsmail/A 20260-2025 FSC-klagomål mail.docx", "A 20260-2025")</f>
        <v/>
      </c>
      <c r="X89">
        <f>HYPERLINK("https://klasma.github.io/Logging_2582/tillsyn/A 20260-2025 tillsynsbegäran.docx", "A 20260-2025")</f>
        <v/>
      </c>
      <c r="Y89">
        <f>HYPERLINK("https://klasma.github.io/Logging_2582/tillsynsmail/A 20260-2025 tillsynsbegäran mail.docx", "A 20260-2025")</f>
        <v/>
      </c>
    </row>
    <row r="90" ht="15" customHeight="1">
      <c r="A90" t="inlineStr">
        <is>
          <t>A 31079-2025</t>
        </is>
      </c>
      <c r="B90" s="1" t="n">
        <v>45832.58524305555</v>
      </c>
      <c r="C90" s="1" t="n">
        <v>45905</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47018-2024</t>
        </is>
      </c>
      <c r="B91" s="1" t="n">
        <v>45586</v>
      </c>
      <c r="C91" s="1" t="n">
        <v>45905</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41436-2025</t>
        </is>
      </c>
      <c r="B92" s="1" t="n">
        <v>45901.40067129629</v>
      </c>
      <c r="C92" s="1" t="n">
        <v>45905</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41436-2025 artfynd.xlsx", "A 41436-2025")</f>
        <v/>
      </c>
      <c r="T92">
        <f>HYPERLINK("https://klasma.github.io/Logging_2582/kartor/A 41436-2025 karta.png", "A 41436-2025")</f>
        <v/>
      </c>
      <c r="V92">
        <f>HYPERLINK("https://klasma.github.io/Logging_2582/klagomål/A 41436-2025 FSC-klagomål.docx", "A 41436-2025")</f>
        <v/>
      </c>
      <c r="W92">
        <f>HYPERLINK("https://klasma.github.io/Logging_2582/klagomålsmail/A 41436-2025 FSC-klagomål mail.docx", "A 41436-2025")</f>
        <v/>
      </c>
      <c r="X92">
        <f>HYPERLINK("https://klasma.github.io/Logging_2582/tillsyn/A 41436-2025 tillsynsbegäran.docx", "A 41436-2025")</f>
        <v/>
      </c>
      <c r="Y92">
        <f>HYPERLINK("https://klasma.github.io/Logging_2582/tillsynsmail/A 41436-2025 tillsynsbegäran mail.docx", "A 41436-2025")</f>
        <v/>
      </c>
    </row>
    <row r="93" ht="15" customHeight="1">
      <c r="A93" t="inlineStr">
        <is>
          <t>A 2568-2024</t>
        </is>
      </c>
      <c r="B93" s="1" t="n">
        <v>45313.6253125</v>
      </c>
      <c r="C93" s="1" t="n">
        <v>45905</v>
      </c>
      <c r="D93" t="inlineStr">
        <is>
          <t>NORRBOTTENS LÄN</t>
        </is>
      </c>
      <c r="E93" t="inlineStr">
        <is>
          <t>BODEN</t>
        </is>
      </c>
      <c r="G93" t="n">
        <v>1.6</v>
      </c>
      <c r="H93" t="n">
        <v>0</v>
      </c>
      <c r="I93" t="n">
        <v>0</v>
      </c>
      <c r="J93" t="n">
        <v>1</v>
      </c>
      <c r="K93" t="n">
        <v>0</v>
      </c>
      <c r="L93" t="n">
        <v>0</v>
      </c>
      <c r="M93" t="n">
        <v>0</v>
      </c>
      <c r="N93" t="n">
        <v>0</v>
      </c>
      <c r="O93" t="n">
        <v>1</v>
      </c>
      <c r="P93" t="n">
        <v>0</v>
      </c>
      <c r="Q93" t="n">
        <v>1</v>
      </c>
      <c r="R93" s="2" t="inlineStr">
        <is>
          <t>Blå taggsvamp</t>
        </is>
      </c>
      <c r="S93">
        <f>HYPERLINK("https://klasma.github.io/Logging_2582/artfynd/A 2568-2024 artfynd.xlsx", "A 2568-2024")</f>
        <v/>
      </c>
      <c r="T93">
        <f>HYPERLINK("https://klasma.github.io/Logging_2582/kartor/A 2568-2024 karta.png", "A 2568-2024")</f>
        <v/>
      </c>
      <c r="V93">
        <f>HYPERLINK("https://klasma.github.io/Logging_2582/klagomål/A 2568-2024 FSC-klagomål.docx", "A 2568-2024")</f>
        <v/>
      </c>
      <c r="W93">
        <f>HYPERLINK("https://klasma.github.io/Logging_2582/klagomålsmail/A 2568-2024 FSC-klagomål mail.docx", "A 2568-2024")</f>
        <v/>
      </c>
      <c r="X93">
        <f>HYPERLINK("https://klasma.github.io/Logging_2582/tillsyn/A 2568-2024 tillsynsbegäran.docx", "A 2568-2024")</f>
        <v/>
      </c>
      <c r="Y93">
        <f>HYPERLINK("https://klasma.github.io/Logging_2582/tillsynsmail/A 2568-2024 tillsynsbegäran mail.docx", "A 2568-2024")</f>
        <v/>
      </c>
    </row>
    <row r="94" ht="15" customHeight="1">
      <c r="A94" t="inlineStr">
        <is>
          <t>A 36743-2024</t>
        </is>
      </c>
      <c r="B94" s="1" t="n">
        <v>45538</v>
      </c>
      <c r="C94" s="1" t="n">
        <v>45905</v>
      </c>
      <c r="D94" t="inlineStr">
        <is>
          <t>NORRBOTTENS LÄN</t>
        </is>
      </c>
      <c r="E94" t="inlineStr">
        <is>
          <t>BODEN</t>
        </is>
      </c>
      <c r="F94" t="inlineStr">
        <is>
          <t>Sveaskog</t>
        </is>
      </c>
      <c r="G94" t="n">
        <v>1.7</v>
      </c>
      <c r="H94" t="n">
        <v>0</v>
      </c>
      <c r="I94" t="n">
        <v>0</v>
      </c>
      <c r="J94" t="n">
        <v>1</v>
      </c>
      <c r="K94" t="n">
        <v>0</v>
      </c>
      <c r="L94" t="n">
        <v>0</v>
      </c>
      <c r="M94" t="n">
        <v>0</v>
      </c>
      <c r="N94" t="n">
        <v>0</v>
      </c>
      <c r="O94" t="n">
        <v>1</v>
      </c>
      <c r="P94" t="n">
        <v>0</v>
      </c>
      <c r="Q94" t="n">
        <v>1</v>
      </c>
      <c r="R94" s="2" t="inlineStr">
        <is>
          <t>Lunglav</t>
        </is>
      </c>
      <c r="S94">
        <f>HYPERLINK("https://klasma.github.io/Logging_2582/artfynd/A 36743-2024 artfynd.xlsx", "A 36743-2024")</f>
        <v/>
      </c>
      <c r="T94">
        <f>HYPERLINK("https://klasma.github.io/Logging_2582/kartor/A 36743-2024 karta.png", "A 36743-2024")</f>
        <v/>
      </c>
      <c r="V94">
        <f>HYPERLINK("https://klasma.github.io/Logging_2582/klagomål/A 36743-2024 FSC-klagomål.docx", "A 36743-2024")</f>
        <v/>
      </c>
      <c r="W94">
        <f>HYPERLINK("https://klasma.github.io/Logging_2582/klagomålsmail/A 36743-2024 FSC-klagomål mail.docx", "A 36743-2024")</f>
        <v/>
      </c>
      <c r="X94">
        <f>HYPERLINK("https://klasma.github.io/Logging_2582/tillsyn/A 36743-2024 tillsynsbegäran.docx", "A 36743-2024")</f>
        <v/>
      </c>
      <c r="Y94">
        <f>HYPERLINK("https://klasma.github.io/Logging_2582/tillsynsmail/A 36743-2024 tillsynsbegäran mail.docx", "A 36743-2024")</f>
        <v/>
      </c>
    </row>
    <row r="95" ht="15" customHeight="1">
      <c r="A95" t="inlineStr">
        <is>
          <t>A 3779-2021</t>
        </is>
      </c>
      <c r="B95" s="1" t="n">
        <v>44217</v>
      </c>
      <c r="C95" s="1" t="n">
        <v>45905</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45905</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45905</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45905</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45905</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45905</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45905</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45905</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45905</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45905</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45905</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45905</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45905</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45905</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45905</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45905</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45905</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45905</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45905</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45905</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45905</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45905</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45905</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45905</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45905</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45905</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45905</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45905</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45905</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45905</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45905</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45905</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45905</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45905</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45905</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45905</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45905</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45905</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45905</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45905</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45905</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45905</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45905</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45905</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45905</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45905</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45905</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45905</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45905</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45905</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45905</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45905</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45905</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45905</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45905</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45905</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45905</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45905</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60047-2020</t>
        </is>
      </c>
      <c r="B153" s="1" t="n">
        <v>44151</v>
      </c>
      <c r="C153" s="1" t="n">
        <v>45905</v>
      </c>
      <c r="D153" t="inlineStr">
        <is>
          <t>NORRBOTTENS LÄN</t>
        </is>
      </c>
      <c r="E153" t="inlineStr">
        <is>
          <t>BODEN</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14380-2021</t>
        </is>
      </c>
      <c r="B154" s="1" t="n">
        <v>44279.38570601852</v>
      </c>
      <c r="C154" s="1" t="n">
        <v>45905</v>
      </c>
      <c r="D154" t="inlineStr">
        <is>
          <t>NORRBOTTENS LÄN</t>
        </is>
      </c>
      <c r="E154" t="inlineStr">
        <is>
          <t>BODEN</t>
        </is>
      </c>
      <c r="G154" t="n">
        <v>2</v>
      </c>
      <c r="H154" t="n">
        <v>0</v>
      </c>
      <c r="I154" t="n">
        <v>0</v>
      </c>
      <c r="J154" t="n">
        <v>0</v>
      </c>
      <c r="K154" t="n">
        <v>0</v>
      </c>
      <c r="L154" t="n">
        <v>0</v>
      </c>
      <c r="M154" t="n">
        <v>0</v>
      </c>
      <c r="N154" t="n">
        <v>0</v>
      </c>
      <c r="O154" t="n">
        <v>0</v>
      </c>
      <c r="P154" t="n">
        <v>0</v>
      </c>
      <c r="Q154" t="n">
        <v>0</v>
      </c>
      <c r="R154" s="2" t="inlineStr"/>
    </row>
    <row r="155" ht="15" customHeight="1">
      <c r="A155" t="inlineStr">
        <is>
          <t>A 35069-2022</t>
        </is>
      </c>
      <c r="B155" s="1" t="n">
        <v>44797.36959490741</v>
      </c>
      <c r="C155" s="1" t="n">
        <v>45905</v>
      </c>
      <c r="D155" t="inlineStr">
        <is>
          <t>NORRBOTTENS LÄN</t>
        </is>
      </c>
      <c r="E155" t="inlineStr">
        <is>
          <t>BODEN</t>
        </is>
      </c>
      <c r="G155" t="n">
        <v>9.1</v>
      </c>
      <c r="H155" t="n">
        <v>0</v>
      </c>
      <c r="I155" t="n">
        <v>0</v>
      </c>
      <c r="J155" t="n">
        <v>0</v>
      </c>
      <c r="K155" t="n">
        <v>0</v>
      </c>
      <c r="L155" t="n">
        <v>0</v>
      </c>
      <c r="M155" t="n">
        <v>0</v>
      </c>
      <c r="N155" t="n">
        <v>0</v>
      </c>
      <c r="O155" t="n">
        <v>0</v>
      </c>
      <c r="P155" t="n">
        <v>0</v>
      </c>
      <c r="Q155" t="n">
        <v>0</v>
      </c>
      <c r="R155" s="2" t="inlineStr"/>
    </row>
    <row r="156" ht="15" customHeight="1">
      <c r="A156" t="inlineStr">
        <is>
          <t>A 35752-2022</t>
        </is>
      </c>
      <c r="B156" s="1" t="n">
        <v>44799.94413194444</v>
      </c>
      <c r="C156" s="1" t="n">
        <v>45905</v>
      </c>
      <c r="D156" t="inlineStr">
        <is>
          <t>NORRBOTTENS LÄN</t>
        </is>
      </c>
      <c r="E156" t="inlineStr">
        <is>
          <t>BODEN</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35753-2022</t>
        </is>
      </c>
      <c r="B157" s="1" t="n">
        <v>44799.94417824074</v>
      </c>
      <c r="C157" s="1" t="n">
        <v>45905</v>
      </c>
      <c r="D157" t="inlineStr">
        <is>
          <t>NORRBOTTENS LÄN</t>
        </is>
      </c>
      <c r="E157" t="inlineStr">
        <is>
          <t>BODEN</t>
        </is>
      </c>
      <c r="F157" t="inlineStr">
        <is>
          <t>SCA</t>
        </is>
      </c>
      <c r="G157" t="n">
        <v>4</v>
      </c>
      <c r="H157" t="n">
        <v>0</v>
      </c>
      <c r="I157" t="n">
        <v>0</v>
      </c>
      <c r="J157" t="n">
        <v>0</v>
      </c>
      <c r="K157" t="n">
        <v>0</v>
      </c>
      <c r="L157" t="n">
        <v>0</v>
      </c>
      <c r="M157" t="n">
        <v>0</v>
      </c>
      <c r="N157" t="n">
        <v>0</v>
      </c>
      <c r="O157" t="n">
        <v>0</v>
      </c>
      <c r="P157" t="n">
        <v>0</v>
      </c>
      <c r="Q157" t="n">
        <v>0</v>
      </c>
      <c r="R157" s="2" t="inlineStr"/>
    </row>
    <row r="158" ht="15" customHeight="1">
      <c r="A158" t="inlineStr">
        <is>
          <t>A 20753-2021</t>
        </is>
      </c>
      <c r="B158" s="1" t="n">
        <v>44313</v>
      </c>
      <c r="C158" s="1" t="n">
        <v>45905</v>
      </c>
      <c r="D158" t="inlineStr">
        <is>
          <t>NORRBOTTENS LÄN</t>
        </is>
      </c>
      <c r="E158" t="inlineStr">
        <is>
          <t>BODEN</t>
        </is>
      </c>
      <c r="G158" t="n">
        <v>2.4</v>
      </c>
      <c r="H158" t="n">
        <v>0</v>
      </c>
      <c r="I158" t="n">
        <v>0</v>
      </c>
      <c r="J158" t="n">
        <v>0</v>
      </c>
      <c r="K158" t="n">
        <v>0</v>
      </c>
      <c r="L158" t="n">
        <v>0</v>
      </c>
      <c r="M158" t="n">
        <v>0</v>
      </c>
      <c r="N158" t="n">
        <v>0</v>
      </c>
      <c r="O158" t="n">
        <v>0</v>
      </c>
      <c r="P158" t="n">
        <v>0</v>
      </c>
      <c r="Q158" t="n">
        <v>0</v>
      </c>
      <c r="R158" s="2" t="inlineStr"/>
    </row>
    <row r="159" ht="15" customHeight="1">
      <c r="A159" t="inlineStr">
        <is>
          <t>A 20756-2021</t>
        </is>
      </c>
      <c r="B159" s="1" t="n">
        <v>44313</v>
      </c>
      <c r="C159" s="1" t="n">
        <v>45905</v>
      </c>
      <c r="D159" t="inlineStr">
        <is>
          <t>NORRBOTTENS LÄN</t>
        </is>
      </c>
      <c r="E159" t="inlineStr">
        <is>
          <t>BODEN</t>
        </is>
      </c>
      <c r="G159" t="n">
        <v>5.8</v>
      </c>
      <c r="H159" t="n">
        <v>0</v>
      </c>
      <c r="I159" t="n">
        <v>0</v>
      </c>
      <c r="J159" t="n">
        <v>0</v>
      </c>
      <c r="K159" t="n">
        <v>0</v>
      </c>
      <c r="L159" t="n">
        <v>0</v>
      </c>
      <c r="M159" t="n">
        <v>0</v>
      </c>
      <c r="N159" t="n">
        <v>0</v>
      </c>
      <c r="O159" t="n">
        <v>0</v>
      </c>
      <c r="P159" t="n">
        <v>0</v>
      </c>
      <c r="Q159" t="n">
        <v>0</v>
      </c>
      <c r="R159" s="2" t="inlineStr"/>
    </row>
    <row r="160" ht="15" customHeight="1">
      <c r="A160" t="inlineStr">
        <is>
          <t>A 29107-2021</t>
        </is>
      </c>
      <c r="B160" s="1" t="n">
        <v>44358</v>
      </c>
      <c r="C160" s="1" t="n">
        <v>45905</v>
      </c>
      <c r="D160" t="inlineStr">
        <is>
          <t>NORRBOTTENS LÄN</t>
        </is>
      </c>
      <c r="E160" t="inlineStr">
        <is>
          <t>BODEN</t>
        </is>
      </c>
      <c r="G160" t="n">
        <v>1.5</v>
      </c>
      <c r="H160" t="n">
        <v>0</v>
      </c>
      <c r="I160" t="n">
        <v>0</v>
      </c>
      <c r="J160" t="n">
        <v>0</v>
      </c>
      <c r="K160" t="n">
        <v>0</v>
      </c>
      <c r="L160" t="n">
        <v>0</v>
      </c>
      <c r="M160" t="n">
        <v>0</v>
      </c>
      <c r="N160" t="n">
        <v>0</v>
      </c>
      <c r="O160" t="n">
        <v>0</v>
      </c>
      <c r="P160" t="n">
        <v>0</v>
      </c>
      <c r="Q160" t="n">
        <v>0</v>
      </c>
      <c r="R160" s="2" t="inlineStr"/>
    </row>
    <row r="161" ht="15" customHeight="1">
      <c r="A161" t="inlineStr">
        <is>
          <t>A 35044-2022</t>
        </is>
      </c>
      <c r="B161" s="1" t="n">
        <v>44796</v>
      </c>
      <c r="C161" s="1" t="n">
        <v>45905</v>
      </c>
      <c r="D161" t="inlineStr">
        <is>
          <t>NORRBOTTENS LÄN</t>
        </is>
      </c>
      <c r="E161" t="inlineStr">
        <is>
          <t>BODEN</t>
        </is>
      </c>
      <c r="G161" t="n">
        <v>0.4</v>
      </c>
      <c r="H161" t="n">
        <v>0</v>
      </c>
      <c r="I161" t="n">
        <v>0</v>
      </c>
      <c r="J161" t="n">
        <v>0</v>
      </c>
      <c r="K161" t="n">
        <v>0</v>
      </c>
      <c r="L161" t="n">
        <v>0</v>
      </c>
      <c r="M161" t="n">
        <v>0</v>
      </c>
      <c r="N161" t="n">
        <v>0</v>
      </c>
      <c r="O161" t="n">
        <v>0</v>
      </c>
      <c r="P161" t="n">
        <v>0</v>
      </c>
      <c r="Q161" t="n">
        <v>0</v>
      </c>
      <c r="R161" s="2" t="inlineStr"/>
    </row>
    <row r="162" ht="15" customHeight="1">
      <c r="A162" t="inlineStr">
        <is>
          <t>A 35046-2022</t>
        </is>
      </c>
      <c r="B162" s="1" t="n">
        <v>44796</v>
      </c>
      <c r="C162" s="1" t="n">
        <v>45905</v>
      </c>
      <c r="D162" t="inlineStr">
        <is>
          <t>NORRBOTTENS LÄN</t>
        </is>
      </c>
      <c r="E162" t="inlineStr">
        <is>
          <t>BODEN</t>
        </is>
      </c>
      <c r="G162" t="n">
        <v>1.2</v>
      </c>
      <c r="H162" t="n">
        <v>0</v>
      </c>
      <c r="I162" t="n">
        <v>0</v>
      </c>
      <c r="J162" t="n">
        <v>0</v>
      </c>
      <c r="K162" t="n">
        <v>0</v>
      </c>
      <c r="L162" t="n">
        <v>0</v>
      </c>
      <c r="M162" t="n">
        <v>0</v>
      </c>
      <c r="N162" t="n">
        <v>0</v>
      </c>
      <c r="O162" t="n">
        <v>0</v>
      </c>
      <c r="P162" t="n">
        <v>0</v>
      </c>
      <c r="Q162" t="n">
        <v>0</v>
      </c>
      <c r="R162" s="2" t="inlineStr"/>
    </row>
    <row r="163" ht="15" customHeight="1">
      <c r="A163" t="inlineStr">
        <is>
          <t>A 55536-2022</t>
        </is>
      </c>
      <c r="B163" s="1" t="n">
        <v>44887.95318287037</v>
      </c>
      <c r="C163" s="1" t="n">
        <v>45905</v>
      </c>
      <c r="D163" t="inlineStr">
        <is>
          <t>NORRBOTTENS LÄN</t>
        </is>
      </c>
      <c r="E163" t="inlineStr">
        <is>
          <t>BODEN</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23546-2022</t>
        </is>
      </c>
      <c r="B164" s="1" t="n">
        <v>44721</v>
      </c>
      <c r="C164" s="1" t="n">
        <v>45905</v>
      </c>
      <c r="D164" t="inlineStr">
        <is>
          <t>NORRBOTTENS LÄN</t>
        </is>
      </c>
      <c r="E164" t="inlineStr">
        <is>
          <t>BODEN</t>
        </is>
      </c>
      <c r="G164" t="n">
        <v>6.7</v>
      </c>
      <c r="H164" t="n">
        <v>0</v>
      </c>
      <c r="I164" t="n">
        <v>0</v>
      </c>
      <c r="J164" t="n">
        <v>0</v>
      </c>
      <c r="K164" t="n">
        <v>0</v>
      </c>
      <c r="L164" t="n">
        <v>0</v>
      </c>
      <c r="M164" t="n">
        <v>0</v>
      </c>
      <c r="N164" t="n">
        <v>0</v>
      </c>
      <c r="O164" t="n">
        <v>0</v>
      </c>
      <c r="P164" t="n">
        <v>0</v>
      </c>
      <c r="Q164" t="n">
        <v>0</v>
      </c>
      <c r="R164" s="2" t="inlineStr"/>
    </row>
    <row r="165" ht="15" customHeight="1">
      <c r="A165" t="inlineStr">
        <is>
          <t>A 71833-2021</t>
        </is>
      </c>
      <c r="B165" s="1" t="n">
        <v>44543.62024305556</v>
      </c>
      <c r="C165" s="1" t="n">
        <v>45905</v>
      </c>
      <c r="D165" t="inlineStr">
        <is>
          <t>NORRBOTTENS LÄN</t>
        </is>
      </c>
      <c r="E165" t="inlineStr">
        <is>
          <t>BODEN</t>
        </is>
      </c>
      <c r="G165" t="n">
        <v>0.8</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45905</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57583-2021</t>
        </is>
      </c>
      <c r="B167" s="1" t="n">
        <v>44484</v>
      </c>
      <c r="C167" s="1" t="n">
        <v>45905</v>
      </c>
      <c r="D167" t="inlineStr">
        <is>
          <t>NORRBOTTENS LÄN</t>
        </is>
      </c>
      <c r="E167" t="inlineStr">
        <is>
          <t>BODEN</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33903-2021</t>
        </is>
      </c>
      <c r="B168" s="1" t="n">
        <v>44378</v>
      </c>
      <c r="C168" s="1" t="n">
        <v>45905</v>
      </c>
      <c r="D168" t="inlineStr">
        <is>
          <t>NORRBOTTENS LÄN</t>
        </is>
      </c>
      <c r="E168" t="inlineStr">
        <is>
          <t>BODEN</t>
        </is>
      </c>
      <c r="G168" t="n">
        <v>1.7</v>
      </c>
      <c r="H168" t="n">
        <v>0</v>
      </c>
      <c r="I168" t="n">
        <v>0</v>
      </c>
      <c r="J168" t="n">
        <v>0</v>
      </c>
      <c r="K168" t="n">
        <v>0</v>
      </c>
      <c r="L168" t="n">
        <v>0</v>
      </c>
      <c r="M168" t="n">
        <v>0</v>
      </c>
      <c r="N168" t="n">
        <v>0</v>
      </c>
      <c r="O168" t="n">
        <v>0</v>
      </c>
      <c r="P168" t="n">
        <v>0</v>
      </c>
      <c r="Q168" t="n">
        <v>0</v>
      </c>
      <c r="R168" s="2" t="inlineStr"/>
    </row>
    <row r="169" ht="15" customHeight="1">
      <c r="A169" t="inlineStr">
        <is>
          <t>A 27688-2022</t>
        </is>
      </c>
      <c r="B169" s="1" t="n">
        <v>44743.43572916667</v>
      </c>
      <c r="C169" s="1" t="n">
        <v>45905</v>
      </c>
      <c r="D169" t="inlineStr">
        <is>
          <t>NORRBOTTENS LÄN</t>
        </is>
      </c>
      <c r="E169" t="inlineStr">
        <is>
          <t>BODEN</t>
        </is>
      </c>
      <c r="G169" t="n">
        <v>13.5</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45905</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65717-2020</t>
        </is>
      </c>
      <c r="B171" s="1" t="n">
        <v>44174</v>
      </c>
      <c r="C171" s="1" t="n">
        <v>45905</v>
      </c>
      <c r="D171" t="inlineStr">
        <is>
          <t>NORRBOTTENS LÄN</t>
        </is>
      </c>
      <c r="E171" t="inlineStr">
        <is>
          <t>BODEN</t>
        </is>
      </c>
      <c r="F171" t="inlineStr">
        <is>
          <t>Sveaskog</t>
        </is>
      </c>
      <c r="G171" t="n">
        <v>6.2</v>
      </c>
      <c r="H171" t="n">
        <v>0</v>
      </c>
      <c r="I171" t="n">
        <v>0</v>
      </c>
      <c r="J171" t="n">
        <v>0</v>
      </c>
      <c r="K171" t="n">
        <v>0</v>
      </c>
      <c r="L171" t="n">
        <v>0</v>
      </c>
      <c r="M171" t="n">
        <v>0</v>
      </c>
      <c r="N171" t="n">
        <v>0</v>
      </c>
      <c r="O171" t="n">
        <v>0</v>
      </c>
      <c r="P171" t="n">
        <v>0</v>
      </c>
      <c r="Q171" t="n">
        <v>0</v>
      </c>
      <c r="R171" s="2" t="inlineStr"/>
    </row>
    <row r="172" ht="15" customHeight="1">
      <c r="A172" t="inlineStr">
        <is>
          <t>A 45002-2021</t>
        </is>
      </c>
      <c r="B172" s="1" t="n">
        <v>44438</v>
      </c>
      <c r="C172" s="1" t="n">
        <v>45905</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45905</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7108-2021</t>
        </is>
      </c>
      <c r="B174" s="1" t="n">
        <v>44238</v>
      </c>
      <c r="C174" s="1" t="n">
        <v>45905</v>
      </c>
      <c r="D174" t="inlineStr">
        <is>
          <t>NORRBOTTENS LÄN</t>
        </is>
      </c>
      <c r="E174" t="inlineStr">
        <is>
          <t>BODEN</t>
        </is>
      </c>
      <c r="G174" t="n">
        <v>18.1</v>
      </c>
      <c r="H174" t="n">
        <v>0</v>
      </c>
      <c r="I174" t="n">
        <v>0</v>
      </c>
      <c r="J174" t="n">
        <v>0</v>
      </c>
      <c r="K174" t="n">
        <v>0</v>
      </c>
      <c r="L174" t="n">
        <v>0</v>
      </c>
      <c r="M174" t="n">
        <v>0</v>
      </c>
      <c r="N174" t="n">
        <v>0</v>
      </c>
      <c r="O174" t="n">
        <v>0</v>
      </c>
      <c r="P174" t="n">
        <v>0</v>
      </c>
      <c r="Q174" t="n">
        <v>0</v>
      </c>
      <c r="R174" s="2" t="inlineStr"/>
    </row>
    <row r="175" ht="15" customHeight="1">
      <c r="A175" t="inlineStr">
        <is>
          <t>A 20738-2021</t>
        </is>
      </c>
      <c r="B175" s="1" t="n">
        <v>44313</v>
      </c>
      <c r="C175" s="1" t="n">
        <v>45905</v>
      </c>
      <c r="D175" t="inlineStr">
        <is>
          <t>NORRBOTTENS LÄN</t>
        </is>
      </c>
      <c r="E175" t="inlineStr">
        <is>
          <t>BODEN</t>
        </is>
      </c>
      <c r="G175" t="n">
        <v>1.9</v>
      </c>
      <c r="H175" t="n">
        <v>0</v>
      </c>
      <c r="I175" t="n">
        <v>0</v>
      </c>
      <c r="J175" t="n">
        <v>0</v>
      </c>
      <c r="K175" t="n">
        <v>0</v>
      </c>
      <c r="L175" t="n">
        <v>0</v>
      </c>
      <c r="M175" t="n">
        <v>0</v>
      </c>
      <c r="N175" t="n">
        <v>0</v>
      </c>
      <c r="O175" t="n">
        <v>0</v>
      </c>
      <c r="P175" t="n">
        <v>0</v>
      </c>
      <c r="Q175" t="n">
        <v>0</v>
      </c>
      <c r="R175" s="2" t="inlineStr"/>
    </row>
    <row r="176" ht="15" customHeight="1">
      <c r="A176" t="inlineStr">
        <is>
          <t>A 52049-2022</t>
        </is>
      </c>
      <c r="B176" s="1" t="n">
        <v>44873.32177083333</v>
      </c>
      <c r="C176" s="1" t="n">
        <v>45905</v>
      </c>
      <c r="D176" t="inlineStr">
        <is>
          <t>NORRBOTTENS LÄN</t>
        </is>
      </c>
      <c r="E176" t="inlineStr">
        <is>
          <t>BODEN</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32373-2021</t>
        </is>
      </c>
      <c r="B177" s="1" t="n">
        <v>44371.60706018518</v>
      </c>
      <c r="C177" s="1" t="n">
        <v>45905</v>
      </c>
      <c r="D177" t="inlineStr">
        <is>
          <t>NORRBOTTENS LÄN</t>
        </is>
      </c>
      <c r="E177" t="inlineStr">
        <is>
          <t>BODEN</t>
        </is>
      </c>
      <c r="F177" t="inlineStr">
        <is>
          <t>Sveaskog</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68210-2020</t>
        </is>
      </c>
      <c r="B178" s="1" t="n">
        <v>44182</v>
      </c>
      <c r="C178" s="1" t="n">
        <v>45905</v>
      </c>
      <c r="D178" t="inlineStr">
        <is>
          <t>NORRBOTTENS LÄN</t>
        </is>
      </c>
      <c r="E178" t="inlineStr">
        <is>
          <t>BODEN</t>
        </is>
      </c>
      <c r="G178" t="n">
        <v>0.7</v>
      </c>
      <c r="H178" t="n">
        <v>0</v>
      </c>
      <c r="I178" t="n">
        <v>0</v>
      </c>
      <c r="J178" t="n">
        <v>0</v>
      </c>
      <c r="K178" t="n">
        <v>0</v>
      </c>
      <c r="L178" t="n">
        <v>0</v>
      </c>
      <c r="M178" t="n">
        <v>0</v>
      </c>
      <c r="N178" t="n">
        <v>0</v>
      </c>
      <c r="O178" t="n">
        <v>0</v>
      </c>
      <c r="P178" t="n">
        <v>0</v>
      </c>
      <c r="Q178" t="n">
        <v>0</v>
      </c>
      <c r="R178" s="2" t="inlineStr"/>
    </row>
    <row r="179" ht="15" customHeight="1">
      <c r="A179" t="inlineStr">
        <is>
          <t>A 68914-2021</t>
        </is>
      </c>
      <c r="B179" s="1" t="n">
        <v>44530.47554398148</v>
      </c>
      <c r="C179" s="1" t="n">
        <v>45905</v>
      </c>
      <c r="D179" t="inlineStr">
        <is>
          <t>NORRBOTTENS LÄN</t>
        </is>
      </c>
      <c r="E179" t="inlineStr">
        <is>
          <t>BODEN</t>
        </is>
      </c>
      <c r="G179" t="n">
        <v>1.2</v>
      </c>
      <c r="H179" t="n">
        <v>0</v>
      </c>
      <c r="I179" t="n">
        <v>0</v>
      </c>
      <c r="J179" t="n">
        <v>0</v>
      </c>
      <c r="K179" t="n">
        <v>0</v>
      </c>
      <c r="L179" t="n">
        <v>0</v>
      </c>
      <c r="M179" t="n">
        <v>0</v>
      </c>
      <c r="N179" t="n">
        <v>0</v>
      </c>
      <c r="O179" t="n">
        <v>0</v>
      </c>
      <c r="P179" t="n">
        <v>0</v>
      </c>
      <c r="Q179" t="n">
        <v>0</v>
      </c>
      <c r="R179" s="2" t="inlineStr"/>
    </row>
    <row r="180" ht="15" customHeight="1">
      <c r="A180" t="inlineStr">
        <is>
          <t>A 69124-2021</t>
        </is>
      </c>
      <c r="B180" s="1" t="n">
        <v>44530</v>
      </c>
      <c r="C180" s="1" t="n">
        <v>45905</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45905</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48777-2020</t>
        </is>
      </c>
      <c r="B182" s="1" t="n">
        <v>44099</v>
      </c>
      <c r="C182" s="1" t="n">
        <v>45905</v>
      </c>
      <c r="D182" t="inlineStr">
        <is>
          <t>NORRBOTTENS LÄN</t>
        </is>
      </c>
      <c r="E182" t="inlineStr">
        <is>
          <t>BODEN</t>
        </is>
      </c>
      <c r="G182" t="n">
        <v>2.3</v>
      </c>
      <c r="H182" t="n">
        <v>0</v>
      </c>
      <c r="I182" t="n">
        <v>0</v>
      </c>
      <c r="J182" t="n">
        <v>0</v>
      </c>
      <c r="K182" t="n">
        <v>0</v>
      </c>
      <c r="L182" t="n">
        <v>0</v>
      </c>
      <c r="M182" t="n">
        <v>0</v>
      </c>
      <c r="N182" t="n">
        <v>0</v>
      </c>
      <c r="O182" t="n">
        <v>0</v>
      </c>
      <c r="P182" t="n">
        <v>0</v>
      </c>
      <c r="Q182" t="n">
        <v>0</v>
      </c>
      <c r="R182" s="2" t="inlineStr"/>
    </row>
    <row r="183" ht="15" customHeight="1">
      <c r="A183" t="inlineStr">
        <is>
          <t>A 56485-2021</t>
        </is>
      </c>
      <c r="B183" s="1" t="n">
        <v>44480</v>
      </c>
      <c r="C183" s="1" t="n">
        <v>45905</v>
      </c>
      <c r="D183" t="inlineStr">
        <is>
          <t>NORRBOTTENS LÄN</t>
        </is>
      </c>
      <c r="E183" t="inlineStr">
        <is>
          <t>BODEN</t>
        </is>
      </c>
      <c r="G183" t="n">
        <v>6.1</v>
      </c>
      <c r="H183" t="n">
        <v>0</v>
      </c>
      <c r="I183" t="n">
        <v>0</v>
      </c>
      <c r="J183" t="n">
        <v>0</v>
      </c>
      <c r="K183" t="n">
        <v>0</v>
      </c>
      <c r="L183" t="n">
        <v>0</v>
      </c>
      <c r="M183" t="n">
        <v>0</v>
      </c>
      <c r="N183" t="n">
        <v>0</v>
      </c>
      <c r="O183" t="n">
        <v>0</v>
      </c>
      <c r="P183" t="n">
        <v>0</v>
      </c>
      <c r="Q183" t="n">
        <v>0</v>
      </c>
      <c r="R183" s="2" t="inlineStr"/>
    </row>
    <row r="184" ht="15" customHeight="1">
      <c r="A184" t="inlineStr">
        <is>
          <t>A 39833-2021</t>
        </is>
      </c>
      <c r="B184" s="1" t="n">
        <v>44414</v>
      </c>
      <c r="C184" s="1" t="n">
        <v>45905</v>
      </c>
      <c r="D184" t="inlineStr">
        <is>
          <t>NORRBOTTENS LÄN</t>
        </is>
      </c>
      <c r="E184" t="inlineStr">
        <is>
          <t>BODEN</t>
        </is>
      </c>
      <c r="G184" t="n">
        <v>1.8</v>
      </c>
      <c r="H184" t="n">
        <v>0</v>
      </c>
      <c r="I184" t="n">
        <v>0</v>
      </c>
      <c r="J184" t="n">
        <v>0</v>
      </c>
      <c r="K184" t="n">
        <v>0</v>
      </c>
      <c r="L184" t="n">
        <v>0</v>
      </c>
      <c r="M184" t="n">
        <v>0</v>
      </c>
      <c r="N184" t="n">
        <v>0</v>
      </c>
      <c r="O184" t="n">
        <v>0</v>
      </c>
      <c r="P184" t="n">
        <v>0</v>
      </c>
      <c r="Q184" t="n">
        <v>0</v>
      </c>
      <c r="R184" s="2" t="inlineStr"/>
    </row>
    <row r="185" ht="15" customHeight="1">
      <c r="A185" t="inlineStr">
        <is>
          <t>A 446-2022</t>
        </is>
      </c>
      <c r="B185" s="1" t="n">
        <v>44565</v>
      </c>
      <c r="C185" s="1" t="n">
        <v>45905</v>
      </c>
      <c r="D185" t="inlineStr">
        <is>
          <t>NORRBOTTENS LÄN</t>
        </is>
      </c>
      <c r="E185" t="inlineStr">
        <is>
          <t>BODEN</t>
        </is>
      </c>
      <c r="G185" t="n">
        <v>2.1</v>
      </c>
      <c r="H185" t="n">
        <v>0</v>
      </c>
      <c r="I185" t="n">
        <v>0</v>
      </c>
      <c r="J185" t="n">
        <v>0</v>
      </c>
      <c r="K185" t="n">
        <v>0</v>
      </c>
      <c r="L185" t="n">
        <v>0</v>
      </c>
      <c r="M185" t="n">
        <v>0</v>
      </c>
      <c r="N185" t="n">
        <v>0</v>
      </c>
      <c r="O185" t="n">
        <v>0</v>
      </c>
      <c r="P185" t="n">
        <v>0</v>
      </c>
      <c r="Q185" t="n">
        <v>0</v>
      </c>
      <c r="R185" s="2" t="inlineStr"/>
    </row>
    <row r="186" ht="15" customHeight="1">
      <c r="A186" t="inlineStr">
        <is>
          <t>A 1447-2022</t>
        </is>
      </c>
      <c r="B186" s="1" t="n">
        <v>44573.46630787037</v>
      </c>
      <c r="C186" s="1" t="n">
        <v>45905</v>
      </c>
      <c r="D186" t="inlineStr">
        <is>
          <t>NORRBOTTENS LÄN</t>
        </is>
      </c>
      <c r="E186" t="inlineStr">
        <is>
          <t>BODEN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711-2022</t>
        </is>
      </c>
      <c r="B187" s="1" t="n">
        <v>44566</v>
      </c>
      <c r="C187" s="1" t="n">
        <v>45905</v>
      </c>
      <c r="D187" t="inlineStr">
        <is>
          <t>NORRBOTTENS LÄN</t>
        </is>
      </c>
      <c r="E187" t="inlineStr">
        <is>
          <t>BODEN</t>
        </is>
      </c>
      <c r="G187" t="n">
        <v>4</v>
      </c>
      <c r="H187" t="n">
        <v>0</v>
      </c>
      <c r="I187" t="n">
        <v>0</v>
      </c>
      <c r="J187" t="n">
        <v>0</v>
      </c>
      <c r="K187" t="n">
        <v>0</v>
      </c>
      <c r="L187" t="n">
        <v>0</v>
      </c>
      <c r="M187" t="n">
        <v>0</v>
      </c>
      <c r="N187" t="n">
        <v>0</v>
      </c>
      <c r="O187" t="n">
        <v>0</v>
      </c>
      <c r="P187" t="n">
        <v>0</v>
      </c>
      <c r="Q187" t="n">
        <v>0</v>
      </c>
      <c r="R187" s="2" t="inlineStr"/>
    </row>
    <row r="188" ht="15" customHeight="1">
      <c r="A188" t="inlineStr">
        <is>
          <t>A 13552-2022</t>
        </is>
      </c>
      <c r="B188" s="1" t="n">
        <v>44648</v>
      </c>
      <c r="C188" s="1" t="n">
        <v>45905</v>
      </c>
      <c r="D188" t="inlineStr">
        <is>
          <t>NORRBOTTENS LÄN</t>
        </is>
      </c>
      <c r="E188" t="inlineStr">
        <is>
          <t>BODEN</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68267-2020</t>
        </is>
      </c>
      <c r="B189" s="1" t="n">
        <v>44182</v>
      </c>
      <c r="C189" s="1" t="n">
        <v>45905</v>
      </c>
      <c r="D189" t="inlineStr">
        <is>
          <t>NORRBOTTENS LÄN</t>
        </is>
      </c>
      <c r="E189" t="inlineStr">
        <is>
          <t>BODEN</t>
        </is>
      </c>
      <c r="G189" t="n">
        <v>1.1</v>
      </c>
      <c r="H189" t="n">
        <v>0</v>
      </c>
      <c r="I189" t="n">
        <v>0</v>
      </c>
      <c r="J189" t="n">
        <v>0</v>
      </c>
      <c r="K189" t="n">
        <v>0</v>
      </c>
      <c r="L189" t="n">
        <v>0</v>
      </c>
      <c r="M189" t="n">
        <v>0</v>
      </c>
      <c r="N189" t="n">
        <v>0</v>
      </c>
      <c r="O189" t="n">
        <v>0</v>
      </c>
      <c r="P189" t="n">
        <v>0</v>
      </c>
      <c r="Q189" t="n">
        <v>0</v>
      </c>
      <c r="R189" s="2" t="inlineStr"/>
    </row>
    <row r="190" ht="15" customHeight="1">
      <c r="A190" t="inlineStr">
        <is>
          <t>A 54818-2021</t>
        </is>
      </c>
      <c r="B190" s="1" t="n">
        <v>44473</v>
      </c>
      <c r="C190" s="1" t="n">
        <v>45905</v>
      </c>
      <c r="D190" t="inlineStr">
        <is>
          <t>NORRBOTTENS LÄN</t>
        </is>
      </c>
      <c r="E190" t="inlineStr">
        <is>
          <t>BODEN</t>
        </is>
      </c>
      <c r="F190" t="inlineStr">
        <is>
          <t>SCA</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45905</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9530-2022</t>
        </is>
      </c>
      <c r="B192" s="1" t="n">
        <v>44617</v>
      </c>
      <c r="C192" s="1" t="n">
        <v>45905</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39971-2022</t>
        </is>
      </c>
      <c r="B193" s="1" t="n">
        <v>44820.29530092593</v>
      </c>
      <c r="C193" s="1" t="n">
        <v>45905</v>
      </c>
      <c r="D193" t="inlineStr">
        <is>
          <t>NORRBOTTENS LÄN</t>
        </is>
      </c>
      <c r="E193" t="inlineStr">
        <is>
          <t>BODEN</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68569-2021</t>
        </is>
      </c>
      <c r="B194" s="1" t="n">
        <v>44529</v>
      </c>
      <c r="C194" s="1" t="n">
        <v>45905</v>
      </c>
      <c r="D194" t="inlineStr">
        <is>
          <t>NORRBOTTENS LÄN</t>
        </is>
      </c>
      <c r="E194" t="inlineStr">
        <is>
          <t>BODEN</t>
        </is>
      </c>
      <c r="G194" t="n">
        <v>0.8</v>
      </c>
      <c r="H194" t="n">
        <v>0</v>
      </c>
      <c r="I194" t="n">
        <v>0</v>
      </c>
      <c r="J194" t="n">
        <v>0</v>
      </c>
      <c r="K194" t="n">
        <v>0</v>
      </c>
      <c r="L194" t="n">
        <v>0</v>
      </c>
      <c r="M194" t="n">
        <v>0</v>
      </c>
      <c r="N194" t="n">
        <v>0</v>
      </c>
      <c r="O194" t="n">
        <v>0</v>
      </c>
      <c r="P194" t="n">
        <v>0</v>
      </c>
      <c r="Q194" t="n">
        <v>0</v>
      </c>
      <c r="R194" s="2" t="inlineStr"/>
    </row>
    <row r="195" ht="15" customHeight="1">
      <c r="A195" t="inlineStr">
        <is>
          <t>A 10709-2022</t>
        </is>
      </c>
      <c r="B195" s="1" t="n">
        <v>44625.78322916666</v>
      </c>
      <c r="C195" s="1" t="n">
        <v>45905</v>
      </c>
      <c r="D195" t="inlineStr">
        <is>
          <t>NORRBOTTENS LÄN</t>
        </is>
      </c>
      <c r="E195" t="inlineStr">
        <is>
          <t>BODEN</t>
        </is>
      </c>
      <c r="G195" t="n">
        <v>0.4</v>
      </c>
      <c r="H195" t="n">
        <v>0</v>
      </c>
      <c r="I195" t="n">
        <v>0</v>
      </c>
      <c r="J195" t="n">
        <v>0</v>
      </c>
      <c r="K195" t="n">
        <v>0</v>
      </c>
      <c r="L195" t="n">
        <v>0</v>
      </c>
      <c r="M195" t="n">
        <v>0</v>
      </c>
      <c r="N195" t="n">
        <v>0</v>
      </c>
      <c r="O195" t="n">
        <v>0</v>
      </c>
      <c r="P195" t="n">
        <v>0</v>
      </c>
      <c r="Q195" t="n">
        <v>0</v>
      </c>
      <c r="R195" s="2" t="inlineStr"/>
    </row>
    <row r="196" ht="15" customHeight="1">
      <c r="A196" t="inlineStr">
        <is>
          <t>A 5733-2022</t>
        </is>
      </c>
      <c r="B196" s="1" t="n">
        <v>44596</v>
      </c>
      <c r="C196" s="1" t="n">
        <v>45905</v>
      </c>
      <c r="D196" t="inlineStr">
        <is>
          <t>NORRBOTTENS LÄN</t>
        </is>
      </c>
      <c r="E196" t="inlineStr">
        <is>
          <t>BODEN</t>
        </is>
      </c>
      <c r="F196" t="inlineStr">
        <is>
          <t>Övriga statliga verk och myndigheter</t>
        </is>
      </c>
      <c r="G196" t="n">
        <v>7.3</v>
      </c>
      <c r="H196" t="n">
        <v>0</v>
      </c>
      <c r="I196" t="n">
        <v>0</v>
      </c>
      <c r="J196" t="n">
        <v>0</v>
      </c>
      <c r="K196" t="n">
        <v>0</v>
      </c>
      <c r="L196" t="n">
        <v>0</v>
      </c>
      <c r="M196" t="n">
        <v>0</v>
      </c>
      <c r="N196" t="n">
        <v>0</v>
      </c>
      <c r="O196" t="n">
        <v>0</v>
      </c>
      <c r="P196" t="n">
        <v>0</v>
      </c>
      <c r="Q196" t="n">
        <v>0</v>
      </c>
      <c r="R196" s="2" t="inlineStr"/>
    </row>
    <row r="197" ht="15" customHeight="1">
      <c r="A197" t="inlineStr">
        <is>
          <t>A 16554-2021</t>
        </is>
      </c>
      <c r="B197" s="1" t="n">
        <v>44293</v>
      </c>
      <c r="C197" s="1" t="n">
        <v>45905</v>
      </c>
      <c r="D197" t="inlineStr">
        <is>
          <t>NORRBOTTENS LÄN</t>
        </is>
      </c>
      <c r="E197" t="inlineStr">
        <is>
          <t>BODEN</t>
        </is>
      </c>
      <c r="F197" t="inlineStr">
        <is>
          <t>Övriga statliga verk och myndigheter</t>
        </is>
      </c>
      <c r="G197" t="n">
        <v>2.5</v>
      </c>
      <c r="H197" t="n">
        <v>0</v>
      </c>
      <c r="I197" t="n">
        <v>0</v>
      </c>
      <c r="J197" t="n">
        <v>0</v>
      </c>
      <c r="K197" t="n">
        <v>0</v>
      </c>
      <c r="L197" t="n">
        <v>0</v>
      </c>
      <c r="M197" t="n">
        <v>0</v>
      </c>
      <c r="N197" t="n">
        <v>0</v>
      </c>
      <c r="O197" t="n">
        <v>0</v>
      </c>
      <c r="P197" t="n">
        <v>0</v>
      </c>
      <c r="Q197" t="n">
        <v>0</v>
      </c>
      <c r="R197" s="2" t="inlineStr"/>
    </row>
    <row r="198" ht="15" customHeight="1">
      <c r="A198" t="inlineStr">
        <is>
          <t>A 28370-2021</t>
        </is>
      </c>
      <c r="B198" s="1" t="n">
        <v>44356</v>
      </c>
      <c r="C198" s="1" t="n">
        <v>45905</v>
      </c>
      <c r="D198" t="inlineStr">
        <is>
          <t>NORRBOTTENS LÄN</t>
        </is>
      </c>
      <c r="E198" t="inlineStr">
        <is>
          <t>BODEN</t>
        </is>
      </c>
      <c r="G198" t="n">
        <v>1.4</v>
      </c>
      <c r="H198" t="n">
        <v>0</v>
      </c>
      <c r="I198" t="n">
        <v>0</v>
      </c>
      <c r="J198" t="n">
        <v>0</v>
      </c>
      <c r="K198" t="n">
        <v>0</v>
      </c>
      <c r="L198" t="n">
        <v>0</v>
      </c>
      <c r="M198" t="n">
        <v>0</v>
      </c>
      <c r="N198" t="n">
        <v>0</v>
      </c>
      <c r="O198" t="n">
        <v>0</v>
      </c>
      <c r="P198" t="n">
        <v>0</v>
      </c>
      <c r="Q198" t="n">
        <v>0</v>
      </c>
      <c r="R198" s="2" t="inlineStr"/>
    </row>
    <row r="199" ht="15" customHeight="1">
      <c r="A199" t="inlineStr">
        <is>
          <t>A 34789-2022</t>
        </is>
      </c>
      <c r="B199" s="1" t="n">
        <v>44795</v>
      </c>
      <c r="C199" s="1" t="n">
        <v>45905</v>
      </c>
      <c r="D199" t="inlineStr">
        <is>
          <t>NORRBOTTENS LÄN</t>
        </is>
      </c>
      <c r="E199" t="inlineStr">
        <is>
          <t>BODEN</t>
        </is>
      </c>
      <c r="F199" t="inlineStr">
        <is>
          <t>SCA</t>
        </is>
      </c>
      <c r="G199" t="n">
        <v>3.5</v>
      </c>
      <c r="H199" t="n">
        <v>0</v>
      </c>
      <c r="I199" t="n">
        <v>0</v>
      </c>
      <c r="J199" t="n">
        <v>0</v>
      </c>
      <c r="K199" t="n">
        <v>0</v>
      </c>
      <c r="L199" t="n">
        <v>0</v>
      </c>
      <c r="M199" t="n">
        <v>0</v>
      </c>
      <c r="N199" t="n">
        <v>0</v>
      </c>
      <c r="O199" t="n">
        <v>0</v>
      </c>
      <c r="P199" t="n">
        <v>0</v>
      </c>
      <c r="Q199" t="n">
        <v>0</v>
      </c>
      <c r="R199" s="2" t="inlineStr"/>
    </row>
    <row r="200" ht="15" customHeight="1">
      <c r="A200" t="inlineStr">
        <is>
          <t>A 58898-2021</t>
        </is>
      </c>
      <c r="B200" s="1" t="n">
        <v>44489</v>
      </c>
      <c r="C200" s="1" t="n">
        <v>45905</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452-2022</t>
        </is>
      </c>
      <c r="B201" s="1" t="n">
        <v>44565</v>
      </c>
      <c r="C201" s="1" t="n">
        <v>45905</v>
      </c>
      <c r="D201" t="inlineStr">
        <is>
          <t>NORRBOTTENS LÄN</t>
        </is>
      </c>
      <c r="E201" t="inlineStr">
        <is>
          <t>BODEN</t>
        </is>
      </c>
      <c r="G201" t="n">
        <v>3.7</v>
      </c>
      <c r="H201" t="n">
        <v>0</v>
      </c>
      <c r="I201" t="n">
        <v>0</v>
      </c>
      <c r="J201" t="n">
        <v>0</v>
      </c>
      <c r="K201" t="n">
        <v>0</v>
      </c>
      <c r="L201" t="n">
        <v>0</v>
      </c>
      <c r="M201" t="n">
        <v>0</v>
      </c>
      <c r="N201" t="n">
        <v>0</v>
      </c>
      <c r="O201" t="n">
        <v>0</v>
      </c>
      <c r="P201" t="n">
        <v>0</v>
      </c>
      <c r="Q201" t="n">
        <v>0</v>
      </c>
      <c r="R201" s="2" t="inlineStr"/>
    </row>
    <row r="202" ht="15" customHeight="1">
      <c r="A202" t="inlineStr">
        <is>
          <t>A 45189-2021</t>
        </is>
      </c>
      <c r="B202" s="1" t="n">
        <v>44439</v>
      </c>
      <c r="C202" s="1" t="n">
        <v>45905</v>
      </c>
      <c r="D202" t="inlineStr">
        <is>
          <t>NORRBOTTENS LÄN</t>
        </is>
      </c>
      <c r="E202" t="inlineStr">
        <is>
          <t>BODEN</t>
        </is>
      </c>
      <c r="G202" t="n">
        <v>1</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45905</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42632-2022</t>
        </is>
      </c>
      <c r="B204" s="1" t="n">
        <v>44831.94553240741</v>
      </c>
      <c r="C204" s="1" t="n">
        <v>45905</v>
      </c>
      <c r="D204" t="inlineStr">
        <is>
          <t>NORRBOTTENS LÄN</t>
        </is>
      </c>
      <c r="E204" t="inlineStr">
        <is>
          <t>BODEN</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28367-2021</t>
        </is>
      </c>
      <c r="B205" s="1" t="n">
        <v>44356</v>
      </c>
      <c r="C205" s="1" t="n">
        <v>45905</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11935-2022</t>
        </is>
      </c>
      <c r="B206" s="1" t="n">
        <v>44635</v>
      </c>
      <c r="C206" s="1" t="n">
        <v>45905</v>
      </c>
      <c r="D206" t="inlineStr">
        <is>
          <t>NORRBOTTENS LÄN</t>
        </is>
      </c>
      <c r="E206" t="inlineStr">
        <is>
          <t>BODEN</t>
        </is>
      </c>
      <c r="F206" t="inlineStr">
        <is>
          <t>Kyrkan</t>
        </is>
      </c>
      <c r="G206" t="n">
        <v>16.5</v>
      </c>
      <c r="H206" t="n">
        <v>0</v>
      </c>
      <c r="I206" t="n">
        <v>0</v>
      </c>
      <c r="J206" t="n">
        <v>0</v>
      </c>
      <c r="K206" t="n">
        <v>0</v>
      </c>
      <c r="L206" t="n">
        <v>0</v>
      </c>
      <c r="M206" t="n">
        <v>0</v>
      </c>
      <c r="N206" t="n">
        <v>0</v>
      </c>
      <c r="O206" t="n">
        <v>0</v>
      </c>
      <c r="P206" t="n">
        <v>0</v>
      </c>
      <c r="Q206" t="n">
        <v>0</v>
      </c>
      <c r="R206" s="2" t="inlineStr"/>
    </row>
    <row r="207" ht="15" customHeight="1">
      <c r="A207" t="inlineStr">
        <is>
          <t>A 13659-2022</t>
        </is>
      </c>
      <c r="B207" s="1" t="n">
        <v>44648</v>
      </c>
      <c r="C207" s="1" t="n">
        <v>45905</v>
      </c>
      <c r="D207" t="inlineStr">
        <is>
          <t>NORRBOTTENS LÄN</t>
        </is>
      </c>
      <c r="E207" t="inlineStr">
        <is>
          <t>BODEN</t>
        </is>
      </c>
      <c r="F207" t="inlineStr">
        <is>
          <t>Sveaskog</t>
        </is>
      </c>
      <c r="G207" t="n">
        <v>7.3</v>
      </c>
      <c r="H207" t="n">
        <v>0</v>
      </c>
      <c r="I207" t="n">
        <v>0</v>
      </c>
      <c r="J207" t="n">
        <v>0</v>
      </c>
      <c r="K207" t="n">
        <v>0</v>
      </c>
      <c r="L207" t="n">
        <v>0</v>
      </c>
      <c r="M207" t="n">
        <v>0</v>
      </c>
      <c r="N207" t="n">
        <v>0</v>
      </c>
      <c r="O207" t="n">
        <v>0</v>
      </c>
      <c r="P207" t="n">
        <v>0</v>
      </c>
      <c r="Q207" t="n">
        <v>0</v>
      </c>
      <c r="R207" s="2" t="inlineStr"/>
    </row>
    <row r="208" ht="15" customHeight="1">
      <c r="A208" t="inlineStr">
        <is>
          <t>A 16531-2022</t>
        </is>
      </c>
      <c r="B208" s="1" t="n">
        <v>44671</v>
      </c>
      <c r="C208" s="1" t="n">
        <v>45905</v>
      </c>
      <c r="D208" t="inlineStr">
        <is>
          <t>NORRBOTTENS LÄN</t>
        </is>
      </c>
      <c r="E208" t="inlineStr">
        <is>
          <t>BODEN</t>
        </is>
      </c>
      <c r="G208" t="n">
        <v>2</v>
      </c>
      <c r="H208" t="n">
        <v>0</v>
      </c>
      <c r="I208" t="n">
        <v>0</v>
      </c>
      <c r="J208" t="n">
        <v>0</v>
      </c>
      <c r="K208" t="n">
        <v>0</v>
      </c>
      <c r="L208" t="n">
        <v>0</v>
      </c>
      <c r="M208" t="n">
        <v>0</v>
      </c>
      <c r="N208" t="n">
        <v>0</v>
      </c>
      <c r="O208" t="n">
        <v>0</v>
      </c>
      <c r="P208" t="n">
        <v>0</v>
      </c>
      <c r="Q208" t="n">
        <v>0</v>
      </c>
      <c r="R208" s="2" t="inlineStr"/>
    </row>
    <row r="209" ht="15" customHeight="1">
      <c r="A209" t="inlineStr">
        <is>
          <t>A 26013-2022</t>
        </is>
      </c>
      <c r="B209" s="1" t="n">
        <v>44734</v>
      </c>
      <c r="C209" s="1" t="n">
        <v>45905</v>
      </c>
      <c r="D209" t="inlineStr">
        <is>
          <t>NORRBOTTENS LÄN</t>
        </is>
      </c>
      <c r="E209" t="inlineStr">
        <is>
          <t>BODEN</t>
        </is>
      </c>
      <c r="G209" t="n">
        <v>9.1</v>
      </c>
      <c r="H209" t="n">
        <v>0</v>
      </c>
      <c r="I209" t="n">
        <v>0</v>
      </c>
      <c r="J209" t="n">
        <v>0</v>
      </c>
      <c r="K209" t="n">
        <v>0</v>
      </c>
      <c r="L209" t="n">
        <v>0</v>
      </c>
      <c r="M209" t="n">
        <v>0</v>
      </c>
      <c r="N209" t="n">
        <v>0</v>
      </c>
      <c r="O209" t="n">
        <v>0</v>
      </c>
      <c r="P209" t="n">
        <v>0</v>
      </c>
      <c r="Q209" t="n">
        <v>0</v>
      </c>
      <c r="R209" s="2" t="inlineStr"/>
    </row>
    <row r="210" ht="15" customHeight="1">
      <c r="A210" t="inlineStr">
        <is>
          <t>A 8889-2021</t>
        </is>
      </c>
      <c r="B210" s="1" t="n">
        <v>44248</v>
      </c>
      <c r="C210" s="1" t="n">
        <v>45905</v>
      </c>
      <c r="D210" t="inlineStr">
        <is>
          <t>NORRBOTTENS LÄN</t>
        </is>
      </c>
      <c r="E210" t="inlineStr">
        <is>
          <t>BODEN</t>
        </is>
      </c>
      <c r="G210" t="n">
        <v>3.5</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45905</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52591-2020</t>
        </is>
      </c>
      <c r="B212" s="1" t="n">
        <v>44116</v>
      </c>
      <c r="C212" s="1" t="n">
        <v>45905</v>
      </c>
      <c r="D212" t="inlineStr">
        <is>
          <t>NORRBOTTENS LÄN</t>
        </is>
      </c>
      <c r="E212" t="inlineStr">
        <is>
          <t>BODEN</t>
        </is>
      </c>
      <c r="G212" t="n">
        <v>2.5</v>
      </c>
      <c r="H212" t="n">
        <v>0</v>
      </c>
      <c r="I212" t="n">
        <v>0</v>
      </c>
      <c r="J212" t="n">
        <v>0</v>
      </c>
      <c r="K212" t="n">
        <v>0</v>
      </c>
      <c r="L212" t="n">
        <v>0</v>
      </c>
      <c r="M212" t="n">
        <v>0</v>
      </c>
      <c r="N212" t="n">
        <v>0</v>
      </c>
      <c r="O212" t="n">
        <v>0</v>
      </c>
      <c r="P212" t="n">
        <v>0</v>
      </c>
      <c r="Q212" t="n">
        <v>0</v>
      </c>
      <c r="R212" s="2" t="inlineStr"/>
    </row>
    <row r="213" ht="15" customHeight="1">
      <c r="A213" t="inlineStr">
        <is>
          <t>A 19623-2025</t>
        </is>
      </c>
      <c r="B213" s="1" t="n">
        <v>45770.63237268518</v>
      </c>
      <c r="C213" s="1" t="n">
        <v>45905</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710-2022</t>
        </is>
      </c>
      <c r="B214" s="1" t="n">
        <v>44566</v>
      </c>
      <c r="C214" s="1" t="n">
        <v>45905</v>
      </c>
      <c r="D214" t="inlineStr">
        <is>
          <t>NORRBOTTENS LÄN</t>
        </is>
      </c>
      <c r="E214" t="inlineStr">
        <is>
          <t>BODEN</t>
        </is>
      </c>
      <c r="G214" t="n">
        <v>4.6</v>
      </c>
      <c r="H214" t="n">
        <v>0</v>
      </c>
      <c r="I214" t="n">
        <v>0</v>
      </c>
      <c r="J214" t="n">
        <v>0</v>
      </c>
      <c r="K214" t="n">
        <v>0</v>
      </c>
      <c r="L214" t="n">
        <v>0</v>
      </c>
      <c r="M214" t="n">
        <v>0</v>
      </c>
      <c r="N214" t="n">
        <v>0</v>
      </c>
      <c r="O214" t="n">
        <v>0</v>
      </c>
      <c r="P214" t="n">
        <v>0</v>
      </c>
      <c r="Q214" t="n">
        <v>0</v>
      </c>
      <c r="R214" s="2" t="inlineStr"/>
    </row>
    <row r="215" ht="15" customHeight="1">
      <c r="A215" t="inlineStr">
        <is>
          <t>A 714-2022</t>
        </is>
      </c>
      <c r="B215" s="1" t="n">
        <v>44566</v>
      </c>
      <c r="C215" s="1" t="n">
        <v>45905</v>
      </c>
      <c r="D215" t="inlineStr">
        <is>
          <t>NORRBOTTENS LÄN</t>
        </is>
      </c>
      <c r="E215" t="inlineStr">
        <is>
          <t>BODEN</t>
        </is>
      </c>
      <c r="G215" t="n">
        <v>5.6</v>
      </c>
      <c r="H215" t="n">
        <v>0</v>
      </c>
      <c r="I215" t="n">
        <v>0</v>
      </c>
      <c r="J215" t="n">
        <v>0</v>
      </c>
      <c r="K215" t="n">
        <v>0</v>
      </c>
      <c r="L215" t="n">
        <v>0</v>
      </c>
      <c r="M215" t="n">
        <v>0</v>
      </c>
      <c r="N215" t="n">
        <v>0</v>
      </c>
      <c r="O215" t="n">
        <v>0</v>
      </c>
      <c r="P215" t="n">
        <v>0</v>
      </c>
      <c r="Q215" t="n">
        <v>0</v>
      </c>
      <c r="R215" s="2" t="inlineStr"/>
    </row>
    <row r="216" ht="15" customHeight="1">
      <c r="A216" t="inlineStr">
        <is>
          <t>A 6181-2022</t>
        </is>
      </c>
      <c r="B216" s="1" t="n">
        <v>44600.31258101852</v>
      </c>
      <c r="C216" s="1" t="n">
        <v>45905</v>
      </c>
      <c r="D216" t="inlineStr">
        <is>
          <t>NORRBOTTENS LÄN</t>
        </is>
      </c>
      <c r="E216" t="inlineStr">
        <is>
          <t>BODEN</t>
        </is>
      </c>
      <c r="F216" t="inlineStr">
        <is>
          <t>Sveaskog</t>
        </is>
      </c>
      <c r="G216" t="n">
        <v>7.7</v>
      </c>
      <c r="H216" t="n">
        <v>0</v>
      </c>
      <c r="I216" t="n">
        <v>0</v>
      </c>
      <c r="J216" t="n">
        <v>0</v>
      </c>
      <c r="K216" t="n">
        <v>0</v>
      </c>
      <c r="L216" t="n">
        <v>0</v>
      </c>
      <c r="M216" t="n">
        <v>0</v>
      </c>
      <c r="N216" t="n">
        <v>0</v>
      </c>
      <c r="O216" t="n">
        <v>0</v>
      </c>
      <c r="P216" t="n">
        <v>0</v>
      </c>
      <c r="Q216" t="n">
        <v>0</v>
      </c>
      <c r="R216" s="2" t="inlineStr"/>
    </row>
    <row r="217" ht="15" customHeight="1">
      <c r="A217" t="inlineStr">
        <is>
          <t>A 54142-2023</t>
        </is>
      </c>
      <c r="B217" s="1" t="n">
        <v>45232.44363425926</v>
      </c>
      <c r="C217" s="1" t="n">
        <v>45905</v>
      </c>
      <c r="D217" t="inlineStr">
        <is>
          <t>NORRBOTTENS LÄN</t>
        </is>
      </c>
      <c r="E217" t="inlineStr">
        <is>
          <t>BODEN</t>
        </is>
      </c>
      <c r="F217" t="inlineStr">
        <is>
          <t>Sveaskog</t>
        </is>
      </c>
      <c r="G217" t="n">
        <v>6.6</v>
      </c>
      <c r="H217" t="n">
        <v>0</v>
      </c>
      <c r="I217" t="n">
        <v>0</v>
      </c>
      <c r="J217" t="n">
        <v>0</v>
      </c>
      <c r="K217" t="n">
        <v>0</v>
      </c>
      <c r="L217" t="n">
        <v>0</v>
      </c>
      <c r="M217" t="n">
        <v>0</v>
      </c>
      <c r="N217" t="n">
        <v>0</v>
      </c>
      <c r="O217" t="n">
        <v>0</v>
      </c>
      <c r="P217" t="n">
        <v>0</v>
      </c>
      <c r="Q217" t="n">
        <v>0</v>
      </c>
      <c r="R217" s="2" t="inlineStr"/>
    </row>
    <row r="218" ht="15" customHeight="1">
      <c r="A218" t="inlineStr">
        <is>
          <t>A 58877-2021</t>
        </is>
      </c>
      <c r="B218" s="1" t="n">
        <v>44489</v>
      </c>
      <c r="C218" s="1" t="n">
        <v>45905</v>
      </c>
      <c r="D218" t="inlineStr">
        <is>
          <t>NORRBOTTENS LÄN</t>
        </is>
      </c>
      <c r="E218" t="inlineStr">
        <is>
          <t>BODEN</t>
        </is>
      </c>
      <c r="G218" t="n">
        <v>5.9</v>
      </c>
      <c r="H218" t="n">
        <v>0</v>
      </c>
      <c r="I218" t="n">
        <v>0</v>
      </c>
      <c r="J218" t="n">
        <v>0</v>
      </c>
      <c r="K218" t="n">
        <v>0</v>
      </c>
      <c r="L218" t="n">
        <v>0</v>
      </c>
      <c r="M218" t="n">
        <v>0</v>
      </c>
      <c r="N218" t="n">
        <v>0</v>
      </c>
      <c r="O218" t="n">
        <v>0</v>
      </c>
      <c r="P218" t="n">
        <v>0</v>
      </c>
      <c r="Q218" t="n">
        <v>0</v>
      </c>
      <c r="R218" s="2" t="inlineStr"/>
    </row>
    <row r="219" ht="15" customHeight="1">
      <c r="A219" t="inlineStr">
        <is>
          <t>A 19952-2025</t>
        </is>
      </c>
      <c r="B219" s="1" t="n">
        <v>45771</v>
      </c>
      <c r="C219" s="1" t="n">
        <v>45905</v>
      </c>
      <c r="D219" t="inlineStr">
        <is>
          <t>NORRBOTTENS LÄN</t>
        </is>
      </c>
      <c r="E219" t="inlineStr">
        <is>
          <t>BODEN</t>
        </is>
      </c>
      <c r="G219" t="n">
        <v>2.5</v>
      </c>
      <c r="H219" t="n">
        <v>0</v>
      </c>
      <c r="I219" t="n">
        <v>0</v>
      </c>
      <c r="J219" t="n">
        <v>0</v>
      </c>
      <c r="K219" t="n">
        <v>0</v>
      </c>
      <c r="L219" t="n">
        <v>0</v>
      </c>
      <c r="M219" t="n">
        <v>0</v>
      </c>
      <c r="N219" t="n">
        <v>0</v>
      </c>
      <c r="O219" t="n">
        <v>0</v>
      </c>
      <c r="P219" t="n">
        <v>0</v>
      </c>
      <c r="Q219" t="n">
        <v>0</v>
      </c>
      <c r="R219" s="2" t="inlineStr"/>
    </row>
    <row r="220" ht="15" customHeight="1">
      <c r="A220" t="inlineStr">
        <is>
          <t>A 39884-2021</t>
        </is>
      </c>
      <c r="B220" s="1" t="n">
        <v>44417.69528935185</v>
      </c>
      <c r="C220" s="1" t="n">
        <v>45905</v>
      </c>
      <c r="D220" t="inlineStr">
        <is>
          <t>NORRBOTTENS LÄN</t>
        </is>
      </c>
      <c r="E220" t="inlineStr">
        <is>
          <t>BODEN</t>
        </is>
      </c>
      <c r="G220" t="n">
        <v>5.1</v>
      </c>
      <c r="H220" t="n">
        <v>0</v>
      </c>
      <c r="I220" t="n">
        <v>0</v>
      </c>
      <c r="J220" t="n">
        <v>0</v>
      </c>
      <c r="K220" t="n">
        <v>0</v>
      </c>
      <c r="L220" t="n">
        <v>0</v>
      </c>
      <c r="M220" t="n">
        <v>0</v>
      </c>
      <c r="N220" t="n">
        <v>0</v>
      </c>
      <c r="O220" t="n">
        <v>0</v>
      </c>
      <c r="P220" t="n">
        <v>0</v>
      </c>
      <c r="Q220" t="n">
        <v>0</v>
      </c>
      <c r="R220" s="2" t="inlineStr"/>
    </row>
    <row r="221" ht="15" customHeight="1">
      <c r="A221" t="inlineStr">
        <is>
          <t>A 9384-2025</t>
        </is>
      </c>
      <c r="B221" s="1" t="n">
        <v>45715.34438657408</v>
      </c>
      <c r="C221" s="1" t="n">
        <v>45905</v>
      </c>
      <c r="D221" t="inlineStr">
        <is>
          <t>NORRBOTTENS LÄN</t>
        </is>
      </c>
      <c r="E221" t="inlineStr">
        <is>
          <t>BODEN</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9322-2024</t>
        </is>
      </c>
      <c r="B222" s="1" t="n">
        <v>45358</v>
      </c>
      <c r="C222" s="1" t="n">
        <v>45905</v>
      </c>
      <c r="D222" t="inlineStr">
        <is>
          <t>NORRBOTTENS LÄN</t>
        </is>
      </c>
      <c r="E222" t="inlineStr">
        <is>
          <t>BODEN</t>
        </is>
      </c>
      <c r="G222" t="n">
        <v>0.6</v>
      </c>
      <c r="H222" t="n">
        <v>0</v>
      </c>
      <c r="I222" t="n">
        <v>0</v>
      </c>
      <c r="J222" t="n">
        <v>0</v>
      </c>
      <c r="K222" t="n">
        <v>0</v>
      </c>
      <c r="L222" t="n">
        <v>0</v>
      </c>
      <c r="M222" t="n">
        <v>0</v>
      </c>
      <c r="N222" t="n">
        <v>0</v>
      </c>
      <c r="O222" t="n">
        <v>0</v>
      </c>
      <c r="P222" t="n">
        <v>0</v>
      </c>
      <c r="Q222" t="n">
        <v>0</v>
      </c>
      <c r="R222" s="2" t="inlineStr"/>
    </row>
    <row r="223" ht="15" customHeight="1">
      <c r="A223" t="inlineStr">
        <is>
          <t>A 8782-2024</t>
        </is>
      </c>
      <c r="B223" s="1" t="n">
        <v>45356</v>
      </c>
      <c r="C223" s="1" t="n">
        <v>45905</v>
      </c>
      <c r="D223" t="inlineStr">
        <is>
          <t>NORRBOTTENS LÄN</t>
        </is>
      </c>
      <c r="E223" t="inlineStr">
        <is>
          <t>BODEN</t>
        </is>
      </c>
      <c r="G223" t="n">
        <v>3.4</v>
      </c>
      <c r="H223" t="n">
        <v>0</v>
      </c>
      <c r="I223" t="n">
        <v>0</v>
      </c>
      <c r="J223" t="n">
        <v>0</v>
      </c>
      <c r="K223" t="n">
        <v>0</v>
      </c>
      <c r="L223" t="n">
        <v>0</v>
      </c>
      <c r="M223" t="n">
        <v>0</v>
      </c>
      <c r="N223" t="n">
        <v>0</v>
      </c>
      <c r="O223" t="n">
        <v>0</v>
      </c>
      <c r="P223" t="n">
        <v>0</v>
      </c>
      <c r="Q223" t="n">
        <v>0</v>
      </c>
      <c r="R223" s="2" t="inlineStr"/>
    </row>
    <row r="224" ht="15" customHeight="1">
      <c r="A224" t="inlineStr">
        <is>
          <t>A 61103-2022</t>
        </is>
      </c>
      <c r="B224" s="1" t="n">
        <v>44908</v>
      </c>
      <c r="C224" s="1" t="n">
        <v>45905</v>
      </c>
      <c r="D224" t="inlineStr">
        <is>
          <t>NORRBOTTENS LÄN</t>
        </is>
      </c>
      <c r="E224" t="inlineStr">
        <is>
          <t>BODEN</t>
        </is>
      </c>
      <c r="G224" t="n">
        <v>1.4</v>
      </c>
      <c r="H224" t="n">
        <v>0</v>
      </c>
      <c r="I224" t="n">
        <v>0</v>
      </c>
      <c r="J224" t="n">
        <v>0</v>
      </c>
      <c r="K224" t="n">
        <v>0</v>
      </c>
      <c r="L224" t="n">
        <v>0</v>
      </c>
      <c r="M224" t="n">
        <v>0</v>
      </c>
      <c r="N224" t="n">
        <v>0</v>
      </c>
      <c r="O224" t="n">
        <v>0</v>
      </c>
      <c r="P224" t="n">
        <v>0</v>
      </c>
      <c r="Q224" t="n">
        <v>0</v>
      </c>
      <c r="R224" s="2" t="inlineStr"/>
    </row>
    <row r="225" ht="15" customHeight="1">
      <c r="A225" t="inlineStr">
        <is>
          <t>A 28359-2023</t>
        </is>
      </c>
      <c r="B225" s="1" t="n">
        <v>45099</v>
      </c>
      <c r="C225" s="1" t="n">
        <v>45905</v>
      </c>
      <c r="D225" t="inlineStr">
        <is>
          <t>NORRBOTTENS LÄN</t>
        </is>
      </c>
      <c r="E225" t="inlineStr">
        <is>
          <t>BODEN</t>
        </is>
      </c>
      <c r="G225" t="n">
        <v>7.6</v>
      </c>
      <c r="H225" t="n">
        <v>0</v>
      </c>
      <c r="I225" t="n">
        <v>0</v>
      </c>
      <c r="J225" t="n">
        <v>0</v>
      </c>
      <c r="K225" t="n">
        <v>0</v>
      </c>
      <c r="L225" t="n">
        <v>0</v>
      </c>
      <c r="M225" t="n">
        <v>0</v>
      </c>
      <c r="N225" t="n">
        <v>0</v>
      </c>
      <c r="O225" t="n">
        <v>0</v>
      </c>
      <c r="P225" t="n">
        <v>0</v>
      </c>
      <c r="Q225" t="n">
        <v>0</v>
      </c>
      <c r="R225" s="2" t="inlineStr"/>
    </row>
    <row r="226" ht="15" customHeight="1">
      <c r="A226" t="inlineStr">
        <is>
          <t>A 17597-2021</t>
        </is>
      </c>
      <c r="B226" s="1" t="n">
        <v>44299</v>
      </c>
      <c r="C226" s="1" t="n">
        <v>45905</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49410-2023</t>
        </is>
      </c>
      <c r="B227" s="1" t="n">
        <v>45211.44008101852</v>
      </c>
      <c r="C227" s="1" t="n">
        <v>45905</v>
      </c>
      <c r="D227" t="inlineStr">
        <is>
          <t>NORRBOTTENS LÄN</t>
        </is>
      </c>
      <c r="E227" t="inlineStr">
        <is>
          <t>BODEN</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45905</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13728-2021</t>
        </is>
      </c>
      <c r="B229" s="1" t="n">
        <v>44274</v>
      </c>
      <c r="C229" s="1" t="n">
        <v>45905</v>
      </c>
      <c r="D229" t="inlineStr">
        <is>
          <t>NORRBOTTENS LÄN</t>
        </is>
      </c>
      <c r="E229" t="inlineStr">
        <is>
          <t>BODEN</t>
        </is>
      </c>
      <c r="G229" t="n">
        <v>10</v>
      </c>
      <c r="H229" t="n">
        <v>0</v>
      </c>
      <c r="I229" t="n">
        <v>0</v>
      </c>
      <c r="J229" t="n">
        <v>0</v>
      </c>
      <c r="K229" t="n">
        <v>0</v>
      </c>
      <c r="L229" t="n">
        <v>0</v>
      </c>
      <c r="M229" t="n">
        <v>0</v>
      </c>
      <c r="N229" t="n">
        <v>0</v>
      </c>
      <c r="O229" t="n">
        <v>0</v>
      </c>
      <c r="P229" t="n">
        <v>0</v>
      </c>
      <c r="Q229" t="n">
        <v>0</v>
      </c>
      <c r="R229" s="2" t="inlineStr"/>
    </row>
    <row r="230" ht="15" customHeight="1">
      <c r="A230" t="inlineStr">
        <is>
          <t>A 18679-2025</t>
        </is>
      </c>
      <c r="B230" s="1" t="n">
        <v>45763.6009375</v>
      </c>
      <c r="C230" s="1" t="n">
        <v>45905</v>
      </c>
      <c r="D230" t="inlineStr">
        <is>
          <t>NORRBOTTENS LÄN</t>
        </is>
      </c>
      <c r="E230" t="inlineStr">
        <is>
          <t>BODEN</t>
        </is>
      </c>
      <c r="G230" t="n">
        <v>1.8</v>
      </c>
      <c r="H230" t="n">
        <v>0</v>
      </c>
      <c r="I230" t="n">
        <v>0</v>
      </c>
      <c r="J230" t="n">
        <v>0</v>
      </c>
      <c r="K230" t="n">
        <v>0</v>
      </c>
      <c r="L230" t="n">
        <v>0</v>
      </c>
      <c r="M230" t="n">
        <v>0</v>
      </c>
      <c r="N230" t="n">
        <v>0</v>
      </c>
      <c r="O230" t="n">
        <v>0</v>
      </c>
      <c r="P230" t="n">
        <v>0</v>
      </c>
      <c r="Q230" t="n">
        <v>0</v>
      </c>
      <c r="R230" s="2" t="inlineStr"/>
    </row>
    <row r="231" ht="15" customHeight="1">
      <c r="A231" t="inlineStr">
        <is>
          <t>A 17980-2021</t>
        </is>
      </c>
      <c r="B231" s="1" t="n">
        <v>44301.66649305556</v>
      </c>
      <c r="C231" s="1" t="n">
        <v>45905</v>
      </c>
      <c r="D231" t="inlineStr">
        <is>
          <t>NORRBOTTENS LÄN</t>
        </is>
      </c>
      <c r="E231" t="inlineStr">
        <is>
          <t>BODEN</t>
        </is>
      </c>
      <c r="G231" t="n">
        <v>2.6</v>
      </c>
      <c r="H231" t="n">
        <v>0</v>
      </c>
      <c r="I231" t="n">
        <v>0</v>
      </c>
      <c r="J231" t="n">
        <v>0</v>
      </c>
      <c r="K231" t="n">
        <v>0</v>
      </c>
      <c r="L231" t="n">
        <v>0</v>
      </c>
      <c r="M231" t="n">
        <v>0</v>
      </c>
      <c r="N231" t="n">
        <v>0</v>
      </c>
      <c r="O231" t="n">
        <v>0</v>
      </c>
      <c r="P231" t="n">
        <v>0</v>
      </c>
      <c r="Q231" t="n">
        <v>0</v>
      </c>
      <c r="R231" s="2" t="inlineStr"/>
    </row>
    <row r="232" ht="15" customHeight="1">
      <c r="A232" t="inlineStr">
        <is>
          <t>A 43969-2024</t>
        </is>
      </c>
      <c r="B232" s="1" t="n">
        <v>45572.48857638889</v>
      </c>
      <c r="C232" s="1" t="n">
        <v>45905</v>
      </c>
      <c r="D232" t="inlineStr">
        <is>
          <t>NORRBOTTENS LÄN</t>
        </is>
      </c>
      <c r="E232" t="inlineStr">
        <is>
          <t>BODEN</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26022-2022</t>
        </is>
      </c>
      <c r="B233" s="1" t="n">
        <v>44734.56864583334</v>
      </c>
      <c r="C233" s="1" t="n">
        <v>45905</v>
      </c>
      <c r="D233" t="inlineStr">
        <is>
          <t>NORRBOTTENS LÄN</t>
        </is>
      </c>
      <c r="E233" t="inlineStr">
        <is>
          <t>BODEN</t>
        </is>
      </c>
      <c r="G233" t="n">
        <v>1.9</v>
      </c>
      <c r="H233" t="n">
        <v>0</v>
      </c>
      <c r="I233" t="n">
        <v>0</v>
      </c>
      <c r="J233" t="n">
        <v>0</v>
      </c>
      <c r="K233" t="n">
        <v>0</v>
      </c>
      <c r="L233" t="n">
        <v>0</v>
      </c>
      <c r="M233" t="n">
        <v>0</v>
      </c>
      <c r="N233" t="n">
        <v>0</v>
      </c>
      <c r="O233" t="n">
        <v>0</v>
      </c>
      <c r="P233" t="n">
        <v>0</v>
      </c>
      <c r="Q233" t="n">
        <v>0</v>
      </c>
      <c r="R233" s="2" t="inlineStr"/>
    </row>
    <row r="234" ht="15" customHeight="1">
      <c r="A234" t="inlineStr">
        <is>
          <t>A 2444-2021</t>
        </is>
      </c>
      <c r="B234" s="1" t="n">
        <v>44211</v>
      </c>
      <c r="C234" s="1" t="n">
        <v>45905</v>
      </c>
      <c r="D234" t="inlineStr">
        <is>
          <t>NORRBOTTENS LÄN</t>
        </is>
      </c>
      <c r="E234" t="inlineStr">
        <is>
          <t>BODEN</t>
        </is>
      </c>
      <c r="G234" t="n">
        <v>16.4</v>
      </c>
      <c r="H234" t="n">
        <v>0</v>
      </c>
      <c r="I234" t="n">
        <v>0</v>
      </c>
      <c r="J234" t="n">
        <v>0</v>
      </c>
      <c r="K234" t="n">
        <v>0</v>
      </c>
      <c r="L234" t="n">
        <v>0</v>
      </c>
      <c r="M234" t="n">
        <v>0</v>
      </c>
      <c r="N234" t="n">
        <v>0</v>
      </c>
      <c r="O234" t="n">
        <v>0</v>
      </c>
      <c r="P234" t="n">
        <v>0</v>
      </c>
      <c r="Q234" t="n">
        <v>0</v>
      </c>
      <c r="R234" s="2" t="inlineStr"/>
    </row>
    <row r="235" ht="15" customHeight="1">
      <c r="A235" t="inlineStr">
        <is>
          <t>A 9319-2024</t>
        </is>
      </c>
      <c r="B235" s="1" t="n">
        <v>45358.95780092593</v>
      </c>
      <c r="C235" s="1" t="n">
        <v>45905</v>
      </c>
      <c r="D235" t="inlineStr">
        <is>
          <t>NORRBOTTENS LÄN</t>
        </is>
      </c>
      <c r="E235" t="inlineStr">
        <is>
          <t>BODEN</t>
        </is>
      </c>
      <c r="G235" t="n">
        <v>0.6</v>
      </c>
      <c r="H235" t="n">
        <v>0</v>
      </c>
      <c r="I235" t="n">
        <v>0</v>
      </c>
      <c r="J235" t="n">
        <v>0</v>
      </c>
      <c r="K235" t="n">
        <v>0</v>
      </c>
      <c r="L235" t="n">
        <v>0</v>
      </c>
      <c r="M235" t="n">
        <v>0</v>
      </c>
      <c r="N235" t="n">
        <v>0</v>
      </c>
      <c r="O235" t="n">
        <v>0</v>
      </c>
      <c r="P235" t="n">
        <v>0</v>
      </c>
      <c r="Q235" t="n">
        <v>0</v>
      </c>
      <c r="R235" s="2" t="inlineStr"/>
    </row>
    <row r="236" ht="15" customHeight="1">
      <c r="A236" t="inlineStr">
        <is>
          <t>A 7283-2025</t>
        </is>
      </c>
      <c r="B236" s="1" t="n">
        <v>45702.63587962963</v>
      </c>
      <c r="C236" s="1" t="n">
        <v>45905</v>
      </c>
      <c r="D236" t="inlineStr">
        <is>
          <t>NORRBOTTENS LÄN</t>
        </is>
      </c>
      <c r="E236" t="inlineStr">
        <is>
          <t>BODEN</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29150-2023</t>
        </is>
      </c>
      <c r="B237" s="1" t="n">
        <v>45105</v>
      </c>
      <c r="C237" s="1" t="n">
        <v>45905</v>
      </c>
      <c r="D237" t="inlineStr">
        <is>
          <t>NORRBOTTENS LÄN</t>
        </is>
      </c>
      <c r="E237" t="inlineStr">
        <is>
          <t>BODEN</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22127-2023</t>
        </is>
      </c>
      <c r="B238" s="1" t="n">
        <v>45068</v>
      </c>
      <c r="C238" s="1" t="n">
        <v>45905</v>
      </c>
      <c r="D238" t="inlineStr">
        <is>
          <t>NORRBOTTENS LÄN</t>
        </is>
      </c>
      <c r="E238" t="inlineStr">
        <is>
          <t>BODEN</t>
        </is>
      </c>
      <c r="G238" t="n">
        <v>4.1</v>
      </c>
      <c r="H238" t="n">
        <v>0</v>
      </c>
      <c r="I238" t="n">
        <v>0</v>
      </c>
      <c r="J238" t="n">
        <v>0</v>
      </c>
      <c r="K238" t="n">
        <v>0</v>
      </c>
      <c r="L238" t="n">
        <v>0</v>
      </c>
      <c r="M238" t="n">
        <v>0</v>
      </c>
      <c r="N238" t="n">
        <v>0</v>
      </c>
      <c r="O238" t="n">
        <v>0</v>
      </c>
      <c r="P238" t="n">
        <v>0</v>
      </c>
      <c r="Q238" t="n">
        <v>0</v>
      </c>
      <c r="R238" s="2" t="inlineStr"/>
    </row>
    <row r="239" ht="15" customHeight="1">
      <c r="A239" t="inlineStr">
        <is>
          <t>A 43007-2022</t>
        </is>
      </c>
      <c r="B239" s="1" t="n">
        <v>44833</v>
      </c>
      <c r="C239" s="1" t="n">
        <v>45905</v>
      </c>
      <c r="D239" t="inlineStr">
        <is>
          <t>NORRBOTTENS LÄN</t>
        </is>
      </c>
      <c r="E239" t="inlineStr">
        <is>
          <t>BODEN</t>
        </is>
      </c>
      <c r="G239" t="n">
        <v>1.8</v>
      </c>
      <c r="H239" t="n">
        <v>0</v>
      </c>
      <c r="I239" t="n">
        <v>0</v>
      </c>
      <c r="J239" t="n">
        <v>0</v>
      </c>
      <c r="K239" t="n">
        <v>0</v>
      </c>
      <c r="L239" t="n">
        <v>0</v>
      </c>
      <c r="M239" t="n">
        <v>0</v>
      </c>
      <c r="N239" t="n">
        <v>0</v>
      </c>
      <c r="O239" t="n">
        <v>0</v>
      </c>
      <c r="P239" t="n">
        <v>0</v>
      </c>
      <c r="Q239" t="n">
        <v>0</v>
      </c>
      <c r="R239" s="2" t="inlineStr"/>
    </row>
    <row r="240" ht="15" customHeight="1">
      <c r="A240" t="inlineStr">
        <is>
          <t>A 1961-2025</t>
        </is>
      </c>
      <c r="B240" s="1" t="n">
        <v>45672</v>
      </c>
      <c r="C240" s="1" t="n">
        <v>45905</v>
      </c>
      <c r="D240" t="inlineStr">
        <is>
          <t>NORRBOTTENS LÄN</t>
        </is>
      </c>
      <c r="E240" t="inlineStr">
        <is>
          <t>BODEN</t>
        </is>
      </c>
      <c r="G240" t="n">
        <v>0.5</v>
      </c>
      <c r="H240" t="n">
        <v>0</v>
      </c>
      <c r="I240" t="n">
        <v>0</v>
      </c>
      <c r="J240" t="n">
        <v>0</v>
      </c>
      <c r="K240" t="n">
        <v>0</v>
      </c>
      <c r="L240" t="n">
        <v>0</v>
      </c>
      <c r="M240" t="n">
        <v>0</v>
      </c>
      <c r="N240" t="n">
        <v>0</v>
      </c>
      <c r="O240" t="n">
        <v>0</v>
      </c>
      <c r="P240" t="n">
        <v>0</v>
      </c>
      <c r="Q240" t="n">
        <v>0</v>
      </c>
      <c r="R240" s="2" t="inlineStr"/>
    </row>
    <row r="241" ht="15" customHeight="1">
      <c r="A241" t="inlineStr">
        <is>
          <t>A 1023-2023</t>
        </is>
      </c>
      <c r="B241" s="1" t="n">
        <v>44935.46053240741</v>
      </c>
      <c r="C241" s="1" t="n">
        <v>45905</v>
      </c>
      <c r="D241" t="inlineStr">
        <is>
          <t>NORRBOTTENS LÄN</t>
        </is>
      </c>
      <c r="E241" t="inlineStr">
        <is>
          <t>BODEN</t>
        </is>
      </c>
      <c r="G241" t="n">
        <v>3.1</v>
      </c>
      <c r="H241" t="n">
        <v>0</v>
      </c>
      <c r="I241" t="n">
        <v>0</v>
      </c>
      <c r="J241" t="n">
        <v>0</v>
      </c>
      <c r="K241" t="n">
        <v>0</v>
      </c>
      <c r="L241" t="n">
        <v>0</v>
      </c>
      <c r="M241" t="n">
        <v>0</v>
      </c>
      <c r="N241" t="n">
        <v>0</v>
      </c>
      <c r="O241" t="n">
        <v>0</v>
      </c>
      <c r="P241" t="n">
        <v>0</v>
      </c>
      <c r="Q241" t="n">
        <v>0</v>
      </c>
      <c r="R241" s="2" t="inlineStr"/>
    </row>
    <row r="242" ht="15" customHeight="1">
      <c r="A242" t="inlineStr">
        <is>
          <t>A 17961-2024</t>
        </is>
      </c>
      <c r="B242" s="1" t="n">
        <v>45419.6787962963</v>
      </c>
      <c r="C242" s="1" t="n">
        <v>45905</v>
      </c>
      <c r="D242" t="inlineStr">
        <is>
          <t>NORRBOTTENS LÄN</t>
        </is>
      </c>
      <c r="E242" t="inlineStr">
        <is>
          <t>BODEN</t>
        </is>
      </c>
      <c r="G242" t="n">
        <v>5.1</v>
      </c>
      <c r="H242" t="n">
        <v>0</v>
      </c>
      <c r="I242" t="n">
        <v>0</v>
      </c>
      <c r="J242" t="n">
        <v>0</v>
      </c>
      <c r="K242" t="n">
        <v>0</v>
      </c>
      <c r="L242" t="n">
        <v>0</v>
      </c>
      <c r="M242" t="n">
        <v>0</v>
      </c>
      <c r="N242" t="n">
        <v>0</v>
      </c>
      <c r="O242" t="n">
        <v>0</v>
      </c>
      <c r="P242" t="n">
        <v>0</v>
      </c>
      <c r="Q242" t="n">
        <v>0</v>
      </c>
      <c r="R242" s="2" t="inlineStr"/>
    </row>
    <row r="243" ht="15" customHeight="1">
      <c r="A243" t="inlineStr">
        <is>
          <t>A 20754-2021</t>
        </is>
      </c>
      <c r="B243" s="1" t="n">
        <v>44313</v>
      </c>
      <c r="C243" s="1" t="n">
        <v>45905</v>
      </c>
      <c r="D243" t="inlineStr">
        <is>
          <t>NORRBOTTENS LÄN</t>
        </is>
      </c>
      <c r="E243" t="inlineStr">
        <is>
          <t>BODEN</t>
        </is>
      </c>
      <c r="G243" t="n">
        <v>2.2</v>
      </c>
      <c r="H243" t="n">
        <v>0</v>
      </c>
      <c r="I243" t="n">
        <v>0</v>
      </c>
      <c r="J243" t="n">
        <v>0</v>
      </c>
      <c r="K243" t="n">
        <v>0</v>
      </c>
      <c r="L243" t="n">
        <v>0</v>
      </c>
      <c r="M243" t="n">
        <v>0</v>
      </c>
      <c r="N243" t="n">
        <v>0</v>
      </c>
      <c r="O243" t="n">
        <v>0</v>
      </c>
      <c r="P243" t="n">
        <v>0</v>
      </c>
      <c r="Q243" t="n">
        <v>0</v>
      </c>
      <c r="R243" s="2" t="inlineStr"/>
    </row>
    <row r="244" ht="15" customHeight="1">
      <c r="A244" t="inlineStr">
        <is>
          <t>A 1081-2024</t>
        </is>
      </c>
      <c r="B244" s="1" t="n">
        <v>45301</v>
      </c>
      <c r="C244" s="1" t="n">
        <v>45905</v>
      </c>
      <c r="D244" t="inlineStr">
        <is>
          <t>NORRBOTTENS LÄN</t>
        </is>
      </c>
      <c r="E244" t="inlineStr">
        <is>
          <t>BODEN</t>
        </is>
      </c>
      <c r="F244" t="inlineStr">
        <is>
          <t>Övriga statliga verk och myndigheter</t>
        </is>
      </c>
      <c r="G244" t="n">
        <v>10.4</v>
      </c>
      <c r="H244" t="n">
        <v>0</v>
      </c>
      <c r="I244" t="n">
        <v>0</v>
      </c>
      <c r="J244" t="n">
        <v>0</v>
      </c>
      <c r="K244" t="n">
        <v>0</v>
      </c>
      <c r="L244" t="n">
        <v>0</v>
      </c>
      <c r="M244" t="n">
        <v>0</v>
      </c>
      <c r="N244" t="n">
        <v>0</v>
      </c>
      <c r="O244" t="n">
        <v>0</v>
      </c>
      <c r="P244" t="n">
        <v>0</v>
      </c>
      <c r="Q244" t="n">
        <v>0</v>
      </c>
      <c r="R244" s="2" t="inlineStr"/>
    </row>
    <row r="245" ht="15" customHeight="1">
      <c r="A245" t="inlineStr">
        <is>
          <t>A 19624-2025</t>
        </is>
      </c>
      <c r="B245" s="1" t="n">
        <v>45770.63423611111</v>
      </c>
      <c r="C245" s="1" t="n">
        <v>45905</v>
      </c>
      <c r="D245" t="inlineStr">
        <is>
          <t>NORRBOTTENS LÄN</t>
        </is>
      </c>
      <c r="E245" t="inlineStr">
        <is>
          <t>BODEN</t>
        </is>
      </c>
      <c r="G245" t="n">
        <v>1.2</v>
      </c>
      <c r="H245" t="n">
        <v>0</v>
      </c>
      <c r="I245" t="n">
        <v>0</v>
      </c>
      <c r="J245" t="n">
        <v>0</v>
      </c>
      <c r="K245" t="n">
        <v>0</v>
      </c>
      <c r="L245" t="n">
        <v>0</v>
      </c>
      <c r="M245" t="n">
        <v>0</v>
      </c>
      <c r="N245" t="n">
        <v>0</v>
      </c>
      <c r="O245" t="n">
        <v>0</v>
      </c>
      <c r="P245" t="n">
        <v>0</v>
      </c>
      <c r="Q245" t="n">
        <v>0</v>
      </c>
      <c r="R245" s="2" t="inlineStr"/>
    </row>
    <row r="246" ht="15" customHeight="1">
      <c r="A246" t="inlineStr">
        <is>
          <t>A 59584-2023</t>
        </is>
      </c>
      <c r="B246" s="1" t="n">
        <v>45254</v>
      </c>
      <c r="C246" s="1" t="n">
        <v>45905</v>
      </c>
      <c r="D246" t="inlineStr">
        <is>
          <t>NORRBOTTENS LÄN</t>
        </is>
      </c>
      <c r="E246" t="inlineStr">
        <is>
          <t>BODEN</t>
        </is>
      </c>
      <c r="G246" t="n">
        <v>0.9</v>
      </c>
      <c r="H246" t="n">
        <v>0</v>
      </c>
      <c r="I246" t="n">
        <v>0</v>
      </c>
      <c r="J246" t="n">
        <v>0</v>
      </c>
      <c r="K246" t="n">
        <v>0</v>
      </c>
      <c r="L246" t="n">
        <v>0</v>
      </c>
      <c r="M246" t="n">
        <v>0</v>
      </c>
      <c r="N246" t="n">
        <v>0</v>
      </c>
      <c r="O246" t="n">
        <v>0</v>
      </c>
      <c r="P246" t="n">
        <v>0</v>
      </c>
      <c r="Q246" t="n">
        <v>0</v>
      </c>
      <c r="R246" s="2" t="inlineStr"/>
    </row>
    <row r="247" ht="15" customHeight="1">
      <c r="A247" t="inlineStr">
        <is>
          <t>A 28079-2024</t>
        </is>
      </c>
      <c r="B247" s="1" t="n">
        <v>45476.58649305555</v>
      </c>
      <c r="C247" s="1" t="n">
        <v>45905</v>
      </c>
      <c r="D247" t="inlineStr">
        <is>
          <t>NORRBOTTENS LÄN</t>
        </is>
      </c>
      <c r="E247" t="inlineStr">
        <is>
          <t>BODEN</t>
        </is>
      </c>
      <c r="G247" t="n">
        <v>6</v>
      </c>
      <c r="H247" t="n">
        <v>0</v>
      </c>
      <c r="I247" t="n">
        <v>0</v>
      </c>
      <c r="J247" t="n">
        <v>0</v>
      </c>
      <c r="K247" t="n">
        <v>0</v>
      </c>
      <c r="L247" t="n">
        <v>0</v>
      </c>
      <c r="M247" t="n">
        <v>0</v>
      </c>
      <c r="N247" t="n">
        <v>0</v>
      </c>
      <c r="O247" t="n">
        <v>0</v>
      </c>
      <c r="P247" t="n">
        <v>0</v>
      </c>
      <c r="Q247" t="n">
        <v>0</v>
      </c>
      <c r="R247" s="2" t="inlineStr"/>
    </row>
    <row r="248" ht="15" customHeight="1">
      <c r="A248" t="inlineStr">
        <is>
          <t>A 25575-2024</t>
        </is>
      </c>
      <c r="B248" s="1" t="n">
        <v>45463.58862268519</v>
      </c>
      <c r="C248" s="1" t="n">
        <v>45905</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37993-2024</t>
        </is>
      </c>
      <c r="B249" s="1" t="n">
        <v>45544.59535879629</v>
      </c>
      <c r="C249" s="1" t="n">
        <v>45905</v>
      </c>
      <c r="D249" t="inlineStr">
        <is>
          <t>NORRBOTTENS LÄN</t>
        </is>
      </c>
      <c r="E249" t="inlineStr">
        <is>
          <t>BODEN</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30299-2023</t>
        </is>
      </c>
      <c r="B250" s="1" t="n">
        <v>45110</v>
      </c>
      <c r="C250" s="1" t="n">
        <v>45905</v>
      </c>
      <c r="D250" t="inlineStr">
        <is>
          <t>NORRBOTTENS LÄN</t>
        </is>
      </c>
      <c r="E250" t="inlineStr">
        <is>
          <t>BODEN</t>
        </is>
      </c>
      <c r="F250" t="inlineStr">
        <is>
          <t>SCA</t>
        </is>
      </c>
      <c r="G250" t="n">
        <v>5.5</v>
      </c>
      <c r="H250" t="n">
        <v>0</v>
      </c>
      <c r="I250" t="n">
        <v>0</v>
      </c>
      <c r="J250" t="n">
        <v>0</v>
      </c>
      <c r="K250" t="n">
        <v>0</v>
      </c>
      <c r="L250" t="n">
        <v>0</v>
      </c>
      <c r="M250" t="n">
        <v>0</v>
      </c>
      <c r="N250" t="n">
        <v>0</v>
      </c>
      <c r="O250" t="n">
        <v>0</v>
      </c>
      <c r="P250" t="n">
        <v>0</v>
      </c>
      <c r="Q250" t="n">
        <v>0</v>
      </c>
      <c r="R250" s="2" t="inlineStr"/>
    </row>
    <row r="251" ht="15" customHeight="1">
      <c r="A251" t="inlineStr">
        <is>
          <t>A 26964-2023</t>
        </is>
      </c>
      <c r="B251" s="1" t="n">
        <v>45093.68881944445</v>
      </c>
      <c r="C251" s="1" t="n">
        <v>45905</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61509-2023</t>
        </is>
      </c>
      <c r="B252" s="1" t="n">
        <v>45265.27829861111</v>
      </c>
      <c r="C252" s="1" t="n">
        <v>45905</v>
      </c>
      <c r="D252" t="inlineStr">
        <is>
          <t>NORRBOTTENS LÄN</t>
        </is>
      </c>
      <c r="E252" t="inlineStr">
        <is>
          <t>BODEN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19048-2025</t>
        </is>
      </c>
      <c r="B253" s="1" t="n">
        <v>45764</v>
      </c>
      <c r="C253" s="1" t="n">
        <v>45905</v>
      </c>
      <c r="D253" t="inlineStr">
        <is>
          <t>NORRBOTTENS LÄN</t>
        </is>
      </c>
      <c r="E253" t="inlineStr">
        <is>
          <t>BODEN</t>
        </is>
      </c>
      <c r="G253" t="n">
        <v>5.7</v>
      </c>
      <c r="H253" t="n">
        <v>0</v>
      </c>
      <c r="I253" t="n">
        <v>0</v>
      </c>
      <c r="J253" t="n">
        <v>0</v>
      </c>
      <c r="K253" t="n">
        <v>0</v>
      </c>
      <c r="L253" t="n">
        <v>0</v>
      </c>
      <c r="M253" t="n">
        <v>0</v>
      </c>
      <c r="N253" t="n">
        <v>0</v>
      </c>
      <c r="O253" t="n">
        <v>0</v>
      </c>
      <c r="P253" t="n">
        <v>0</v>
      </c>
      <c r="Q253" t="n">
        <v>0</v>
      </c>
      <c r="R253" s="2" t="inlineStr"/>
    </row>
    <row r="254" ht="15" customHeight="1">
      <c r="A254" t="inlineStr">
        <is>
          <t>A 19050-2025</t>
        </is>
      </c>
      <c r="B254" s="1" t="n">
        <v>45764</v>
      </c>
      <c r="C254" s="1" t="n">
        <v>45905</v>
      </c>
      <c r="D254" t="inlineStr">
        <is>
          <t>NORRBOTTENS LÄN</t>
        </is>
      </c>
      <c r="E254" t="inlineStr">
        <is>
          <t>BODEN</t>
        </is>
      </c>
      <c r="G254" t="n">
        <v>3.4</v>
      </c>
      <c r="H254" t="n">
        <v>0</v>
      </c>
      <c r="I254" t="n">
        <v>0</v>
      </c>
      <c r="J254" t="n">
        <v>0</v>
      </c>
      <c r="K254" t="n">
        <v>0</v>
      </c>
      <c r="L254" t="n">
        <v>0</v>
      </c>
      <c r="M254" t="n">
        <v>0</v>
      </c>
      <c r="N254" t="n">
        <v>0</v>
      </c>
      <c r="O254" t="n">
        <v>0</v>
      </c>
      <c r="P254" t="n">
        <v>0</v>
      </c>
      <c r="Q254" t="n">
        <v>0</v>
      </c>
      <c r="R254" s="2" t="inlineStr"/>
    </row>
    <row r="255" ht="15" customHeight="1">
      <c r="A255" t="inlineStr">
        <is>
          <t>A 61768-2024</t>
        </is>
      </c>
      <c r="B255" s="1" t="n">
        <v>45649.45255787037</v>
      </c>
      <c r="C255" s="1" t="n">
        <v>45905</v>
      </c>
      <c r="D255" t="inlineStr">
        <is>
          <t>NORRBOTTENS LÄN</t>
        </is>
      </c>
      <c r="E255" t="inlineStr">
        <is>
          <t>BODEN</t>
        </is>
      </c>
      <c r="G255" t="n">
        <v>2.2</v>
      </c>
      <c r="H255" t="n">
        <v>0</v>
      </c>
      <c r="I255" t="n">
        <v>0</v>
      </c>
      <c r="J255" t="n">
        <v>0</v>
      </c>
      <c r="K255" t="n">
        <v>0</v>
      </c>
      <c r="L255" t="n">
        <v>0</v>
      </c>
      <c r="M255" t="n">
        <v>0</v>
      </c>
      <c r="N255" t="n">
        <v>0</v>
      </c>
      <c r="O255" t="n">
        <v>0</v>
      </c>
      <c r="P255" t="n">
        <v>0</v>
      </c>
      <c r="Q255" t="n">
        <v>0</v>
      </c>
      <c r="R255" s="2" t="inlineStr"/>
    </row>
    <row r="256" ht="15" customHeight="1">
      <c r="A256" t="inlineStr">
        <is>
          <t>A 16700-2024</t>
        </is>
      </c>
      <c r="B256" s="1" t="n">
        <v>45408.96738425926</v>
      </c>
      <c r="C256" s="1" t="n">
        <v>45905</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54236-2022</t>
        </is>
      </c>
      <c r="B257" s="1" t="n">
        <v>44881.9272337963</v>
      </c>
      <c r="C257" s="1" t="n">
        <v>45905</v>
      </c>
      <c r="D257" t="inlineStr">
        <is>
          <t>NORRBOTTENS LÄN</t>
        </is>
      </c>
      <c r="E257" t="inlineStr">
        <is>
          <t>BODEN</t>
        </is>
      </c>
      <c r="G257" t="n">
        <v>1.1</v>
      </c>
      <c r="H257" t="n">
        <v>0</v>
      </c>
      <c r="I257" t="n">
        <v>0</v>
      </c>
      <c r="J257" t="n">
        <v>0</v>
      </c>
      <c r="K257" t="n">
        <v>0</v>
      </c>
      <c r="L257" t="n">
        <v>0</v>
      </c>
      <c r="M257" t="n">
        <v>0</v>
      </c>
      <c r="N257" t="n">
        <v>0</v>
      </c>
      <c r="O257" t="n">
        <v>0</v>
      </c>
      <c r="P257" t="n">
        <v>0</v>
      </c>
      <c r="Q257" t="n">
        <v>0</v>
      </c>
      <c r="R257" s="2" t="inlineStr"/>
    </row>
    <row r="258" ht="15" customHeight="1">
      <c r="A258" t="inlineStr">
        <is>
          <t>A 14801-2024</t>
        </is>
      </c>
      <c r="B258" s="1" t="n">
        <v>45397</v>
      </c>
      <c r="C258" s="1" t="n">
        <v>45905</v>
      </c>
      <c r="D258" t="inlineStr">
        <is>
          <t>NORRBOTTENS LÄN</t>
        </is>
      </c>
      <c r="E258" t="inlineStr">
        <is>
          <t>BODEN</t>
        </is>
      </c>
      <c r="G258" t="n">
        <v>1.9</v>
      </c>
      <c r="H258" t="n">
        <v>0</v>
      </c>
      <c r="I258" t="n">
        <v>0</v>
      </c>
      <c r="J258" t="n">
        <v>0</v>
      </c>
      <c r="K258" t="n">
        <v>0</v>
      </c>
      <c r="L258" t="n">
        <v>0</v>
      </c>
      <c r="M258" t="n">
        <v>0</v>
      </c>
      <c r="N258" t="n">
        <v>0</v>
      </c>
      <c r="O258" t="n">
        <v>0</v>
      </c>
      <c r="P258" t="n">
        <v>0</v>
      </c>
      <c r="Q258" t="n">
        <v>0</v>
      </c>
      <c r="R258" s="2" t="inlineStr"/>
    </row>
    <row r="259" ht="15" customHeight="1">
      <c r="A259" t="inlineStr">
        <is>
          <t>A 14802-2024</t>
        </is>
      </c>
      <c r="B259" s="1" t="n">
        <v>45397</v>
      </c>
      <c r="C259" s="1" t="n">
        <v>45905</v>
      </c>
      <c r="D259" t="inlineStr">
        <is>
          <t>NORRBOTTENS LÄN</t>
        </is>
      </c>
      <c r="E259" t="inlineStr">
        <is>
          <t>BODEN</t>
        </is>
      </c>
      <c r="G259" t="n">
        <v>1.6</v>
      </c>
      <c r="H259" t="n">
        <v>0</v>
      </c>
      <c r="I259" t="n">
        <v>0</v>
      </c>
      <c r="J259" t="n">
        <v>0</v>
      </c>
      <c r="K259" t="n">
        <v>0</v>
      </c>
      <c r="L259" t="n">
        <v>0</v>
      </c>
      <c r="M259" t="n">
        <v>0</v>
      </c>
      <c r="N259" t="n">
        <v>0</v>
      </c>
      <c r="O259" t="n">
        <v>0</v>
      </c>
      <c r="P259" t="n">
        <v>0</v>
      </c>
      <c r="Q259" t="n">
        <v>0</v>
      </c>
      <c r="R259" s="2" t="inlineStr"/>
    </row>
    <row r="260" ht="15" customHeight="1">
      <c r="A260" t="inlineStr">
        <is>
          <t>A 10921-2024</t>
        </is>
      </c>
      <c r="B260" s="1" t="n">
        <v>45370</v>
      </c>
      <c r="C260" s="1" t="n">
        <v>45905</v>
      </c>
      <c r="D260" t="inlineStr">
        <is>
          <t>NORRBOTTENS LÄN</t>
        </is>
      </c>
      <c r="E260" t="inlineStr">
        <is>
          <t>BODEN</t>
        </is>
      </c>
      <c r="G260" t="n">
        <v>2</v>
      </c>
      <c r="H260" t="n">
        <v>0</v>
      </c>
      <c r="I260" t="n">
        <v>0</v>
      </c>
      <c r="J260" t="n">
        <v>0</v>
      </c>
      <c r="K260" t="n">
        <v>0</v>
      </c>
      <c r="L260" t="n">
        <v>0</v>
      </c>
      <c r="M260" t="n">
        <v>0</v>
      </c>
      <c r="N260" t="n">
        <v>0</v>
      </c>
      <c r="O260" t="n">
        <v>0</v>
      </c>
      <c r="P260" t="n">
        <v>0</v>
      </c>
      <c r="Q260" t="n">
        <v>0</v>
      </c>
      <c r="R260" s="2" t="inlineStr"/>
    </row>
    <row r="261" ht="15" customHeight="1">
      <c r="A261" t="inlineStr">
        <is>
          <t>A 60587-2024</t>
        </is>
      </c>
      <c r="B261" s="1" t="n">
        <v>45642</v>
      </c>
      <c r="C261" s="1" t="n">
        <v>45905</v>
      </c>
      <c r="D261" t="inlineStr">
        <is>
          <t>NORRBOTTENS LÄN</t>
        </is>
      </c>
      <c r="E261" t="inlineStr">
        <is>
          <t>BODEN</t>
        </is>
      </c>
      <c r="G261" t="n">
        <v>5.2</v>
      </c>
      <c r="H261" t="n">
        <v>0</v>
      </c>
      <c r="I261" t="n">
        <v>0</v>
      </c>
      <c r="J261" t="n">
        <v>0</v>
      </c>
      <c r="K261" t="n">
        <v>0</v>
      </c>
      <c r="L261" t="n">
        <v>0</v>
      </c>
      <c r="M261" t="n">
        <v>0</v>
      </c>
      <c r="N261" t="n">
        <v>0</v>
      </c>
      <c r="O261" t="n">
        <v>0</v>
      </c>
      <c r="P261" t="n">
        <v>0</v>
      </c>
      <c r="Q261" t="n">
        <v>0</v>
      </c>
      <c r="R261" s="2" t="inlineStr"/>
    </row>
    <row r="262" ht="15" customHeight="1">
      <c r="A262" t="inlineStr">
        <is>
          <t>A 21329-2024</t>
        </is>
      </c>
      <c r="B262" s="1" t="n">
        <v>45440.84460648148</v>
      </c>
      <c r="C262" s="1" t="n">
        <v>45905</v>
      </c>
      <c r="D262" t="inlineStr">
        <is>
          <t>NORRBOTTENS LÄN</t>
        </is>
      </c>
      <c r="E262" t="inlineStr">
        <is>
          <t>BODEN</t>
        </is>
      </c>
      <c r="G262" t="n">
        <v>2.7</v>
      </c>
      <c r="H262" t="n">
        <v>0</v>
      </c>
      <c r="I262" t="n">
        <v>0</v>
      </c>
      <c r="J262" t="n">
        <v>0</v>
      </c>
      <c r="K262" t="n">
        <v>0</v>
      </c>
      <c r="L262" t="n">
        <v>0</v>
      </c>
      <c r="M262" t="n">
        <v>0</v>
      </c>
      <c r="N262" t="n">
        <v>0</v>
      </c>
      <c r="O262" t="n">
        <v>0</v>
      </c>
      <c r="P262" t="n">
        <v>0</v>
      </c>
      <c r="Q262" t="n">
        <v>0</v>
      </c>
      <c r="R262" s="2" t="inlineStr"/>
    </row>
    <row r="263" ht="15" customHeight="1">
      <c r="A263" t="inlineStr">
        <is>
          <t>A 21335-2024</t>
        </is>
      </c>
      <c r="B263" s="1" t="n">
        <v>45429</v>
      </c>
      <c r="C263" s="1" t="n">
        <v>45905</v>
      </c>
      <c r="D263" t="inlineStr">
        <is>
          <t>NORRBOTTENS LÄN</t>
        </is>
      </c>
      <c r="E263" t="inlineStr">
        <is>
          <t>BODEN</t>
        </is>
      </c>
      <c r="G263" t="n">
        <v>3</v>
      </c>
      <c r="H263" t="n">
        <v>0</v>
      </c>
      <c r="I263" t="n">
        <v>0</v>
      </c>
      <c r="J263" t="n">
        <v>0</v>
      </c>
      <c r="K263" t="n">
        <v>0</v>
      </c>
      <c r="L263" t="n">
        <v>0</v>
      </c>
      <c r="M263" t="n">
        <v>0</v>
      </c>
      <c r="N263" t="n">
        <v>0</v>
      </c>
      <c r="O263" t="n">
        <v>0</v>
      </c>
      <c r="P263" t="n">
        <v>0</v>
      </c>
      <c r="Q263" t="n">
        <v>0</v>
      </c>
      <c r="R263" s="2" t="inlineStr"/>
    </row>
    <row r="264" ht="15" customHeight="1">
      <c r="A264" t="inlineStr">
        <is>
          <t>A 39272-2024</t>
        </is>
      </c>
      <c r="B264" s="1" t="n">
        <v>45551.34525462963</v>
      </c>
      <c r="C264" s="1" t="n">
        <v>45905</v>
      </c>
      <c r="D264" t="inlineStr">
        <is>
          <t>NORRBOTTENS LÄN</t>
        </is>
      </c>
      <c r="E264" t="inlineStr">
        <is>
          <t>BODEN</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37014-2023</t>
        </is>
      </c>
      <c r="B265" s="1" t="n">
        <v>45155</v>
      </c>
      <c r="C265" s="1" t="n">
        <v>45905</v>
      </c>
      <c r="D265" t="inlineStr">
        <is>
          <t>NORRBOTTENS LÄN</t>
        </is>
      </c>
      <c r="E265" t="inlineStr">
        <is>
          <t>BODEN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56111-2021</t>
        </is>
      </c>
      <c r="B266" s="1" t="n">
        <v>44477</v>
      </c>
      <c r="C266" s="1" t="n">
        <v>45905</v>
      </c>
      <c r="D266" t="inlineStr">
        <is>
          <t>NORRBOTTENS LÄN</t>
        </is>
      </c>
      <c r="E266" t="inlineStr">
        <is>
          <t>BODEN</t>
        </is>
      </c>
      <c r="G266" t="n">
        <v>2.3</v>
      </c>
      <c r="H266" t="n">
        <v>0</v>
      </c>
      <c r="I266" t="n">
        <v>0</v>
      </c>
      <c r="J266" t="n">
        <v>0</v>
      </c>
      <c r="K266" t="n">
        <v>0</v>
      </c>
      <c r="L266" t="n">
        <v>0</v>
      </c>
      <c r="M266" t="n">
        <v>0</v>
      </c>
      <c r="N266" t="n">
        <v>0</v>
      </c>
      <c r="O266" t="n">
        <v>0</v>
      </c>
      <c r="P266" t="n">
        <v>0</v>
      </c>
      <c r="Q266" t="n">
        <v>0</v>
      </c>
      <c r="R266" s="2" t="inlineStr"/>
    </row>
    <row r="267" ht="15" customHeight="1">
      <c r="A267" t="inlineStr">
        <is>
          <t>A 13925-2024</t>
        </is>
      </c>
      <c r="B267" s="1" t="n">
        <v>45391.93160879629</v>
      </c>
      <c r="C267" s="1" t="n">
        <v>45905</v>
      </c>
      <c r="D267" t="inlineStr">
        <is>
          <t>NORRBOTTENS LÄN</t>
        </is>
      </c>
      <c r="E267" t="inlineStr">
        <is>
          <t>BODEN</t>
        </is>
      </c>
      <c r="G267" t="n">
        <v>1.1</v>
      </c>
      <c r="H267" t="n">
        <v>0</v>
      </c>
      <c r="I267" t="n">
        <v>0</v>
      </c>
      <c r="J267" t="n">
        <v>0</v>
      </c>
      <c r="K267" t="n">
        <v>0</v>
      </c>
      <c r="L267" t="n">
        <v>0</v>
      </c>
      <c r="M267" t="n">
        <v>0</v>
      </c>
      <c r="N267" t="n">
        <v>0</v>
      </c>
      <c r="O267" t="n">
        <v>0</v>
      </c>
      <c r="P267" t="n">
        <v>0</v>
      </c>
      <c r="Q267" t="n">
        <v>0</v>
      </c>
      <c r="R267" s="2" t="inlineStr"/>
    </row>
    <row r="268" ht="15" customHeight="1">
      <c r="A268" t="inlineStr">
        <is>
          <t>A 37866-2024</t>
        </is>
      </c>
      <c r="B268" s="1" t="n">
        <v>45544.39978009259</v>
      </c>
      <c r="C268" s="1" t="n">
        <v>45905</v>
      </c>
      <c r="D268" t="inlineStr">
        <is>
          <t>NORRBOTTENS LÄN</t>
        </is>
      </c>
      <c r="E268" t="inlineStr">
        <is>
          <t>BODEN</t>
        </is>
      </c>
      <c r="G268" t="n">
        <v>4.5</v>
      </c>
      <c r="H268" t="n">
        <v>0</v>
      </c>
      <c r="I268" t="n">
        <v>0</v>
      </c>
      <c r="J268" t="n">
        <v>0</v>
      </c>
      <c r="K268" t="n">
        <v>0</v>
      </c>
      <c r="L268" t="n">
        <v>0</v>
      </c>
      <c r="M268" t="n">
        <v>0</v>
      </c>
      <c r="N268" t="n">
        <v>0</v>
      </c>
      <c r="O268" t="n">
        <v>0</v>
      </c>
      <c r="P268" t="n">
        <v>0</v>
      </c>
      <c r="Q268" t="n">
        <v>0</v>
      </c>
      <c r="R268" s="2" t="inlineStr"/>
    </row>
    <row r="269" ht="15" customHeight="1">
      <c r="A269" t="inlineStr">
        <is>
          <t>A 37976-2024</t>
        </is>
      </c>
      <c r="B269" s="1" t="n">
        <v>45544.57657407408</v>
      </c>
      <c r="C269" s="1" t="n">
        <v>45905</v>
      </c>
      <c r="D269" t="inlineStr">
        <is>
          <t>NORRBOTTENS LÄN</t>
        </is>
      </c>
      <c r="E269" t="inlineStr">
        <is>
          <t>BODEN</t>
        </is>
      </c>
      <c r="G269" t="n">
        <v>0.8</v>
      </c>
      <c r="H269" t="n">
        <v>0</v>
      </c>
      <c r="I269" t="n">
        <v>0</v>
      </c>
      <c r="J269" t="n">
        <v>0</v>
      </c>
      <c r="K269" t="n">
        <v>0</v>
      </c>
      <c r="L269" t="n">
        <v>0</v>
      </c>
      <c r="M269" t="n">
        <v>0</v>
      </c>
      <c r="N269" t="n">
        <v>0</v>
      </c>
      <c r="O269" t="n">
        <v>0</v>
      </c>
      <c r="P269" t="n">
        <v>0</v>
      </c>
      <c r="Q269" t="n">
        <v>0</v>
      </c>
      <c r="R269" s="2" t="inlineStr"/>
    </row>
    <row r="270" ht="15" customHeight="1">
      <c r="A270" t="inlineStr">
        <is>
          <t>A 44553-2024</t>
        </is>
      </c>
      <c r="B270" s="1" t="n">
        <v>45574.46930555555</v>
      </c>
      <c r="C270" s="1" t="n">
        <v>45905</v>
      </c>
      <c r="D270" t="inlineStr">
        <is>
          <t>NORRBOTTENS LÄN</t>
        </is>
      </c>
      <c r="E270" t="inlineStr">
        <is>
          <t>BODEN</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44567-2024</t>
        </is>
      </c>
      <c r="B271" s="1" t="n">
        <v>45574</v>
      </c>
      <c r="C271" s="1" t="n">
        <v>45905</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32276-2024</t>
        </is>
      </c>
      <c r="B272" s="1" t="n">
        <v>45512.36836805556</v>
      </c>
      <c r="C272" s="1" t="n">
        <v>45905</v>
      </c>
      <c r="D272" t="inlineStr">
        <is>
          <t>NORRBOTTENS LÄN</t>
        </is>
      </c>
      <c r="E272" t="inlineStr">
        <is>
          <t>BODEN</t>
        </is>
      </c>
      <c r="G272" t="n">
        <v>4.9</v>
      </c>
      <c r="H272" t="n">
        <v>0</v>
      </c>
      <c r="I272" t="n">
        <v>0</v>
      </c>
      <c r="J272" t="n">
        <v>0</v>
      </c>
      <c r="K272" t="n">
        <v>0</v>
      </c>
      <c r="L272" t="n">
        <v>0</v>
      </c>
      <c r="M272" t="n">
        <v>0</v>
      </c>
      <c r="N272" t="n">
        <v>0</v>
      </c>
      <c r="O272" t="n">
        <v>0</v>
      </c>
      <c r="P272" t="n">
        <v>0</v>
      </c>
      <c r="Q272" t="n">
        <v>0</v>
      </c>
      <c r="R272" s="2" t="inlineStr"/>
    </row>
    <row r="273" ht="15" customHeight="1">
      <c r="A273" t="inlineStr">
        <is>
          <t>A 21128-2025</t>
        </is>
      </c>
      <c r="B273" s="1" t="n">
        <v>45778</v>
      </c>
      <c r="C273" s="1" t="n">
        <v>45905</v>
      </c>
      <c r="D273" t="inlineStr">
        <is>
          <t>NORRBOTTENS LÄN</t>
        </is>
      </c>
      <c r="E273" t="inlineStr">
        <is>
          <t>BODEN</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64649-2023</t>
        </is>
      </c>
      <c r="B274" s="1" t="n">
        <v>45281.57570601852</v>
      </c>
      <c r="C274" s="1" t="n">
        <v>45905</v>
      </c>
      <c r="D274" t="inlineStr">
        <is>
          <t>NORRBOTTENS LÄN</t>
        </is>
      </c>
      <c r="E274" t="inlineStr">
        <is>
          <t>BODEN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68611-2021</t>
        </is>
      </c>
      <c r="B275" s="1" t="n">
        <v>44529</v>
      </c>
      <c r="C275" s="1" t="n">
        <v>45905</v>
      </c>
      <c r="D275" t="inlineStr">
        <is>
          <t>NORRBOTTENS LÄN</t>
        </is>
      </c>
      <c r="E275" t="inlineStr">
        <is>
          <t>BODEN</t>
        </is>
      </c>
      <c r="G275" t="n">
        <v>1.9</v>
      </c>
      <c r="H275" t="n">
        <v>0</v>
      </c>
      <c r="I275" t="n">
        <v>0</v>
      </c>
      <c r="J275" t="n">
        <v>0</v>
      </c>
      <c r="K275" t="n">
        <v>0</v>
      </c>
      <c r="L275" t="n">
        <v>0</v>
      </c>
      <c r="M275" t="n">
        <v>0</v>
      </c>
      <c r="N275" t="n">
        <v>0</v>
      </c>
      <c r="O275" t="n">
        <v>0</v>
      </c>
      <c r="P275" t="n">
        <v>0</v>
      </c>
      <c r="Q275" t="n">
        <v>0</v>
      </c>
      <c r="R275" s="2" t="inlineStr"/>
    </row>
    <row r="276" ht="15" customHeight="1">
      <c r="A276" t="inlineStr">
        <is>
          <t>A 21349-2025</t>
        </is>
      </c>
      <c r="B276" s="1" t="n">
        <v>45782.40684027778</v>
      </c>
      <c r="C276" s="1" t="n">
        <v>45905</v>
      </c>
      <c r="D276" t="inlineStr">
        <is>
          <t>NORRBOTTENS LÄN</t>
        </is>
      </c>
      <c r="E276" t="inlineStr">
        <is>
          <t>BODEN</t>
        </is>
      </c>
      <c r="G276" t="n">
        <v>5.2</v>
      </c>
      <c r="H276" t="n">
        <v>0</v>
      </c>
      <c r="I276" t="n">
        <v>0</v>
      </c>
      <c r="J276" t="n">
        <v>0</v>
      </c>
      <c r="K276" t="n">
        <v>0</v>
      </c>
      <c r="L276" t="n">
        <v>0</v>
      </c>
      <c r="M276" t="n">
        <v>0</v>
      </c>
      <c r="N276" t="n">
        <v>0</v>
      </c>
      <c r="O276" t="n">
        <v>0</v>
      </c>
      <c r="P276" t="n">
        <v>0</v>
      </c>
      <c r="Q276" t="n">
        <v>0</v>
      </c>
      <c r="R276" s="2" t="inlineStr"/>
    </row>
    <row r="277" ht="15" customHeight="1">
      <c r="A277" t="inlineStr">
        <is>
          <t>A 74264-2021</t>
        </is>
      </c>
      <c r="B277" s="1" t="n">
        <v>44558</v>
      </c>
      <c r="C277" s="1" t="n">
        <v>45905</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23454-2021</t>
        </is>
      </c>
      <c r="B278" s="1" t="n">
        <v>44333</v>
      </c>
      <c r="C278" s="1" t="n">
        <v>45905</v>
      </c>
      <c r="D278" t="inlineStr">
        <is>
          <t>NORRBOTTENS LÄN</t>
        </is>
      </c>
      <c r="E278" t="inlineStr">
        <is>
          <t>BODEN</t>
        </is>
      </c>
      <c r="G278" t="n">
        <v>0.9</v>
      </c>
      <c r="H278" t="n">
        <v>0</v>
      </c>
      <c r="I278" t="n">
        <v>0</v>
      </c>
      <c r="J278" t="n">
        <v>0</v>
      </c>
      <c r="K278" t="n">
        <v>0</v>
      </c>
      <c r="L278" t="n">
        <v>0</v>
      </c>
      <c r="M278" t="n">
        <v>0</v>
      </c>
      <c r="N278" t="n">
        <v>0</v>
      </c>
      <c r="O278" t="n">
        <v>0</v>
      </c>
      <c r="P278" t="n">
        <v>0</v>
      </c>
      <c r="Q278" t="n">
        <v>0</v>
      </c>
      <c r="R278" s="2" t="inlineStr"/>
    </row>
    <row r="279" ht="15" customHeight="1">
      <c r="A279" t="inlineStr">
        <is>
          <t>A 21584-2025</t>
        </is>
      </c>
      <c r="B279" s="1" t="n">
        <v>45783.29137731482</v>
      </c>
      <c r="C279" s="1" t="n">
        <v>45905</v>
      </c>
      <c r="D279" t="inlineStr">
        <is>
          <t>NORRBOTTENS LÄN</t>
        </is>
      </c>
      <c r="E279" t="inlineStr">
        <is>
          <t>BODEN</t>
        </is>
      </c>
      <c r="G279" t="n">
        <v>9.1</v>
      </c>
      <c r="H279" t="n">
        <v>0</v>
      </c>
      <c r="I279" t="n">
        <v>0</v>
      </c>
      <c r="J279" t="n">
        <v>0</v>
      </c>
      <c r="K279" t="n">
        <v>0</v>
      </c>
      <c r="L279" t="n">
        <v>0</v>
      </c>
      <c r="M279" t="n">
        <v>0</v>
      </c>
      <c r="N279" t="n">
        <v>0</v>
      </c>
      <c r="O279" t="n">
        <v>0</v>
      </c>
      <c r="P279" t="n">
        <v>0</v>
      </c>
      <c r="Q279" t="n">
        <v>0</v>
      </c>
      <c r="R279" s="2" t="inlineStr"/>
    </row>
    <row r="280" ht="15" customHeight="1">
      <c r="A280" t="inlineStr">
        <is>
          <t>A 54590-2022</t>
        </is>
      </c>
      <c r="B280" s="1" t="n">
        <v>44883</v>
      </c>
      <c r="C280" s="1" t="n">
        <v>45905</v>
      </c>
      <c r="D280" t="inlineStr">
        <is>
          <t>NORRBOTTENS LÄN</t>
        </is>
      </c>
      <c r="E280" t="inlineStr">
        <is>
          <t>BODEN</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37384-2023</t>
        </is>
      </c>
      <c r="B281" s="1" t="n">
        <v>45156</v>
      </c>
      <c r="C281" s="1" t="n">
        <v>45905</v>
      </c>
      <c r="D281" t="inlineStr">
        <is>
          <t>NORRBOTTENS LÄN</t>
        </is>
      </c>
      <c r="E281" t="inlineStr">
        <is>
          <t>BODEN</t>
        </is>
      </c>
      <c r="G281" t="n">
        <v>7</v>
      </c>
      <c r="H281" t="n">
        <v>0</v>
      </c>
      <c r="I281" t="n">
        <v>0</v>
      </c>
      <c r="J281" t="n">
        <v>0</v>
      </c>
      <c r="K281" t="n">
        <v>0</v>
      </c>
      <c r="L281" t="n">
        <v>0</v>
      </c>
      <c r="M281" t="n">
        <v>0</v>
      </c>
      <c r="N281" t="n">
        <v>0</v>
      </c>
      <c r="O281" t="n">
        <v>0</v>
      </c>
      <c r="P281" t="n">
        <v>0</v>
      </c>
      <c r="Q281" t="n">
        <v>0</v>
      </c>
      <c r="R281" s="2" t="inlineStr"/>
    </row>
    <row r="282" ht="15" customHeight="1">
      <c r="A282" t="inlineStr">
        <is>
          <t>A 9596-2023</t>
        </is>
      </c>
      <c r="B282" s="1" t="n">
        <v>44983</v>
      </c>
      <c r="C282" s="1" t="n">
        <v>45905</v>
      </c>
      <c r="D282" t="inlineStr">
        <is>
          <t>NORRBOTTENS LÄN</t>
        </is>
      </c>
      <c r="E282" t="inlineStr">
        <is>
          <t>BODEN</t>
        </is>
      </c>
      <c r="G282" t="n">
        <v>37.1</v>
      </c>
      <c r="H282" t="n">
        <v>0</v>
      </c>
      <c r="I282" t="n">
        <v>0</v>
      </c>
      <c r="J282" t="n">
        <v>0</v>
      </c>
      <c r="K282" t="n">
        <v>0</v>
      </c>
      <c r="L282" t="n">
        <v>0</v>
      </c>
      <c r="M282" t="n">
        <v>0</v>
      </c>
      <c r="N282" t="n">
        <v>0</v>
      </c>
      <c r="O282" t="n">
        <v>0</v>
      </c>
      <c r="P282" t="n">
        <v>0</v>
      </c>
      <c r="Q282" t="n">
        <v>0</v>
      </c>
      <c r="R282" s="2" t="inlineStr"/>
    </row>
    <row r="283" ht="15" customHeight="1">
      <c r="A283" t="inlineStr">
        <is>
          <t>A 46183-2021</t>
        </is>
      </c>
      <c r="B283" s="1" t="n">
        <v>44441</v>
      </c>
      <c r="C283" s="1" t="n">
        <v>45905</v>
      </c>
      <c r="D283" t="inlineStr">
        <is>
          <t>NORRBOTTENS LÄN</t>
        </is>
      </c>
      <c r="E283" t="inlineStr">
        <is>
          <t>BODEN</t>
        </is>
      </c>
      <c r="G283" t="n">
        <v>13.6</v>
      </c>
      <c r="H283" t="n">
        <v>0</v>
      </c>
      <c r="I283" t="n">
        <v>0</v>
      </c>
      <c r="J283" t="n">
        <v>0</v>
      </c>
      <c r="K283" t="n">
        <v>0</v>
      </c>
      <c r="L283" t="n">
        <v>0</v>
      </c>
      <c r="M283" t="n">
        <v>0</v>
      </c>
      <c r="N283" t="n">
        <v>0</v>
      </c>
      <c r="O283" t="n">
        <v>0</v>
      </c>
      <c r="P283" t="n">
        <v>0</v>
      </c>
      <c r="Q283" t="n">
        <v>0</v>
      </c>
      <c r="R283" s="2" t="inlineStr"/>
    </row>
    <row r="284" ht="15" customHeight="1">
      <c r="A284" t="inlineStr">
        <is>
          <t>A 34021-2021</t>
        </is>
      </c>
      <c r="B284" s="1" t="n">
        <v>44378</v>
      </c>
      <c r="C284" s="1" t="n">
        <v>45905</v>
      </c>
      <c r="D284" t="inlineStr">
        <is>
          <t>NORRBOTTENS LÄN</t>
        </is>
      </c>
      <c r="E284" t="inlineStr">
        <is>
          <t>BODEN</t>
        </is>
      </c>
      <c r="G284" t="n">
        <v>2</v>
      </c>
      <c r="H284" t="n">
        <v>0</v>
      </c>
      <c r="I284" t="n">
        <v>0</v>
      </c>
      <c r="J284" t="n">
        <v>0</v>
      </c>
      <c r="K284" t="n">
        <v>0</v>
      </c>
      <c r="L284" t="n">
        <v>0</v>
      </c>
      <c r="M284" t="n">
        <v>0</v>
      </c>
      <c r="N284" t="n">
        <v>0</v>
      </c>
      <c r="O284" t="n">
        <v>0</v>
      </c>
      <c r="P284" t="n">
        <v>0</v>
      </c>
      <c r="Q284" t="n">
        <v>0</v>
      </c>
      <c r="R284" s="2" t="inlineStr"/>
    </row>
    <row r="285" ht="15" customHeight="1">
      <c r="A285" t="inlineStr">
        <is>
          <t>A 54718-2024</t>
        </is>
      </c>
      <c r="B285" s="1" t="n">
        <v>45618.43688657408</v>
      </c>
      <c r="C285" s="1" t="n">
        <v>45905</v>
      </c>
      <c r="D285" t="inlineStr">
        <is>
          <t>NORRBOTTENS LÄN</t>
        </is>
      </c>
      <c r="E285" t="inlineStr">
        <is>
          <t>BODEN</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36610-2023</t>
        </is>
      </c>
      <c r="B286" s="1" t="n">
        <v>45152</v>
      </c>
      <c r="C286" s="1" t="n">
        <v>45905</v>
      </c>
      <c r="D286" t="inlineStr">
        <is>
          <t>NORRBOTTENS LÄN</t>
        </is>
      </c>
      <c r="E286" t="inlineStr">
        <is>
          <t>BODEN</t>
        </is>
      </c>
      <c r="G286" t="n">
        <v>5.9</v>
      </c>
      <c r="H286" t="n">
        <v>0</v>
      </c>
      <c r="I286" t="n">
        <v>0</v>
      </c>
      <c r="J286" t="n">
        <v>0</v>
      </c>
      <c r="K286" t="n">
        <v>0</v>
      </c>
      <c r="L286" t="n">
        <v>0</v>
      </c>
      <c r="M286" t="n">
        <v>0</v>
      </c>
      <c r="N286" t="n">
        <v>0</v>
      </c>
      <c r="O286" t="n">
        <v>0</v>
      </c>
      <c r="P286" t="n">
        <v>0</v>
      </c>
      <c r="Q286" t="n">
        <v>0</v>
      </c>
      <c r="R286" s="2" t="inlineStr"/>
    </row>
    <row r="287" ht="15" customHeight="1">
      <c r="A287" t="inlineStr">
        <is>
          <t>A 51614-2024</t>
        </is>
      </c>
      <c r="B287" s="1" t="n">
        <v>45604.69282407407</v>
      </c>
      <c r="C287" s="1" t="n">
        <v>45905</v>
      </c>
      <c r="D287" t="inlineStr">
        <is>
          <t>NORRBOTTENS LÄN</t>
        </is>
      </c>
      <c r="E287" t="inlineStr">
        <is>
          <t>BODEN</t>
        </is>
      </c>
      <c r="G287" t="n">
        <v>2.2</v>
      </c>
      <c r="H287" t="n">
        <v>0</v>
      </c>
      <c r="I287" t="n">
        <v>0</v>
      </c>
      <c r="J287" t="n">
        <v>0</v>
      </c>
      <c r="K287" t="n">
        <v>0</v>
      </c>
      <c r="L287" t="n">
        <v>0</v>
      </c>
      <c r="M287" t="n">
        <v>0</v>
      </c>
      <c r="N287" t="n">
        <v>0</v>
      </c>
      <c r="O287" t="n">
        <v>0</v>
      </c>
      <c r="P287" t="n">
        <v>0</v>
      </c>
      <c r="Q287" t="n">
        <v>0</v>
      </c>
      <c r="R287" s="2" t="inlineStr"/>
    </row>
    <row r="288" ht="15" customHeight="1">
      <c r="A288" t="inlineStr">
        <is>
          <t>A 17962-2024</t>
        </is>
      </c>
      <c r="B288" s="1" t="n">
        <v>45419</v>
      </c>
      <c r="C288" s="1" t="n">
        <v>45905</v>
      </c>
      <c r="D288" t="inlineStr">
        <is>
          <t>NORRBOTTENS LÄN</t>
        </is>
      </c>
      <c r="E288" t="inlineStr">
        <is>
          <t>BODEN</t>
        </is>
      </c>
      <c r="G288" t="n">
        <v>1.2</v>
      </c>
      <c r="H288" t="n">
        <v>0</v>
      </c>
      <c r="I288" t="n">
        <v>0</v>
      </c>
      <c r="J288" t="n">
        <v>0</v>
      </c>
      <c r="K288" t="n">
        <v>0</v>
      </c>
      <c r="L288" t="n">
        <v>0</v>
      </c>
      <c r="M288" t="n">
        <v>0</v>
      </c>
      <c r="N288" t="n">
        <v>0</v>
      </c>
      <c r="O288" t="n">
        <v>0</v>
      </c>
      <c r="P288" t="n">
        <v>0</v>
      </c>
      <c r="Q288" t="n">
        <v>0</v>
      </c>
      <c r="R288" s="2" t="inlineStr"/>
    </row>
    <row r="289" ht="15" customHeight="1">
      <c r="A289" t="inlineStr">
        <is>
          <t>A 26359-2022</t>
        </is>
      </c>
      <c r="B289" s="1" t="n">
        <v>44735</v>
      </c>
      <c r="C289" s="1" t="n">
        <v>45905</v>
      </c>
      <c r="D289" t="inlineStr">
        <is>
          <t>NORRBOTTENS LÄN</t>
        </is>
      </c>
      <c r="E289" t="inlineStr">
        <is>
          <t>BODEN</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20028-2025</t>
        </is>
      </c>
      <c r="B290" s="1" t="n">
        <v>45772.35200231482</v>
      </c>
      <c r="C290" s="1" t="n">
        <v>45905</v>
      </c>
      <c r="D290" t="inlineStr">
        <is>
          <t>NORRBOTTENS LÄN</t>
        </is>
      </c>
      <c r="E290" t="inlineStr">
        <is>
          <t>BODEN</t>
        </is>
      </c>
      <c r="G290" t="n">
        <v>2.4</v>
      </c>
      <c r="H290" t="n">
        <v>0</v>
      </c>
      <c r="I290" t="n">
        <v>0</v>
      </c>
      <c r="J290" t="n">
        <v>0</v>
      </c>
      <c r="K290" t="n">
        <v>0</v>
      </c>
      <c r="L290" t="n">
        <v>0</v>
      </c>
      <c r="M290" t="n">
        <v>0</v>
      </c>
      <c r="N290" t="n">
        <v>0</v>
      </c>
      <c r="O290" t="n">
        <v>0</v>
      </c>
      <c r="P290" t="n">
        <v>0</v>
      </c>
      <c r="Q290" t="n">
        <v>0</v>
      </c>
      <c r="R290" s="2" t="inlineStr"/>
    </row>
    <row r="291" ht="15" customHeight="1">
      <c r="A291" t="inlineStr">
        <is>
          <t>A 20041-2025</t>
        </is>
      </c>
      <c r="B291" s="1" t="n">
        <v>45772.37400462963</v>
      </c>
      <c r="C291" s="1" t="n">
        <v>45905</v>
      </c>
      <c r="D291" t="inlineStr">
        <is>
          <t>NORRBOTTENS LÄN</t>
        </is>
      </c>
      <c r="E291" t="inlineStr">
        <is>
          <t>BODEN</t>
        </is>
      </c>
      <c r="G291" t="n">
        <v>2</v>
      </c>
      <c r="H291" t="n">
        <v>0</v>
      </c>
      <c r="I291" t="n">
        <v>0</v>
      </c>
      <c r="J291" t="n">
        <v>0</v>
      </c>
      <c r="K291" t="n">
        <v>0</v>
      </c>
      <c r="L291" t="n">
        <v>0</v>
      </c>
      <c r="M291" t="n">
        <v>0</v>
      </c>
      <c r="N291" t="n">
        <v>0</v>
      </c>
      <c r="O291" t="n">
        <v>0</v>
      </c>
      <c r="P291" t="n">
        <v>0</v>
      </c>
      <c r="Q291" t="n">
        <v>0</v>
      </c>
      <c r="R291" s="2" t="inlineStr"/>
    </row>
    <row r="292" ht="15" customHeight="1">
      <c r="A292" t="inlineStr">
        <is>
          <t>A 60337-2024</t>
        </is>
      </c>
      <c r="B292" s="1" t="n">
        <v>45643.40710648148</v>
      </c>
      <c r="C292" s="1" t="n">
        <v>45905</v>
      </c>
      <c r="D292" t="inlineStr">
        <is>
          <t>NORRBOTTENS LÄN</t>
        </is>
      </c>
      <c r="E292" t="inlineStr">
        <is>
          <t>BODEN</t>
        </is>
      </c>
      <c r="G292" t="n">
        <v>8</v>
      </c>
      <c r="H292" t="n">
        <v>0</v>
      </c>
      <c r="I292" t="n">
        <v>0</v>
      </c>
      <c r="J292" t="n">
        <v>0</v>
      </c>
      <c r="K292" t="n">
        <v>0</v>
      </c>
      <c r="L292" t="n">
        <v>0</v>
      </c>
      <c r="M292" t="n">
        <v>0</v>
      </c>
      <c r="N292" t="n">
        <v>0</v>
      </c>
      <c r="O292" t="n">
        <v>0</v>
      </c>
      <c r="P292" t="n">
        <v>0</v>
      </c>
      <c r="Q292" t="n">
        <v>0</v>
      </c>
      <c r="R292" s="2" t="inlineStr"/>
    </row>
    <row r="293" ht="15" customHeight="1">
      <c r="A293" t="inlineStr">
        <is>
          <t>A 61600-2024</t>
        </is>
      </c>
      <c r="B293" s="1" t="n">
        <v>45646.63835648148</v>
      </c>
      <c r="C293" s="1" t="n">
        <v>45905</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67068-2021</t>
        </is>
      </c>
      <c r="B294" s="1" t="n">
        <v>44522.9206712963</v>
      </c>
      <c r="C294" s="1" t="n">
        <v>45905</v>
      </c>
      <c r="D294" t="inlineStr">
        <is>
          <t>NORRBOTTENS LÄN</t>
        </is>
      </c>
      <c r="E294" t="inlineStr">
        <is>
          <t>BODEN</t>
        </is>
      </c>
      <c r="G294" t="n">
        <v>5.1</v>
      </c>
      <c r="H294" t="n">
        <v>0</v>
      </c>
      <c r="I294" t="n">
        <v>0</v>
      </c>
      <c r="J294" t="n">
        <v>0</v>
      </c>
      <c r="K294" t="n">
        <v>0</v>
      </c>
      <c r="L294" t="n">
        <v>0</v>
      </c>
      <c r="M294" t="n">
        <v>0</v>
      </c>
      <c r="N294" t="n">
        <v>0</v>
      </c>
      <c r="O294" t="n">
        <v>0</v>
      </c>
      <c r="P294" t="n">
        <v>0</v>
      </c>
      <c r="Q294" t="n">
        <v>0</v>
      </c>
      <c r="R294" s="2" t="inlineStr"/>
    </row>
    <row r="295" ht="15" customHeight="1">
      <c r="A295" t="inlineStr">
        <is>
          <t>A 32906-2024</t>
        </is>
      </c>
      <c r="B295" s="1" t="n">
        <v>45516</v>
      </c>
      <c r="C295" s="1" t="n">
        <v>45905</v>
      </c>
      <c r="D295" t="inlineStr">
        <is>
          <t>NORRBOTTENS LÄN</t>
        </is>
      </c>
      <c r="E295" t="inlineStr">
        <is>
          <t>BODEN</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32913-2024</t>
        </is>
      </c>
      <c r="B296" s="1" t="n">
        <v>45516.94962962963</v>
      </c>
      <c r="C296" s="1" t="n">
        <v>45905</v>
      </c>
      <c r="D296" t="inlineStr">
        <is>
          <t>NORRBOTTENS LÄN</t>
        </is>
      </c>
      <c r="E296" t="inlineStr">
        <is>
          <t>BODEN</t>
        </is>
      </c>
      <c r="F296" t="inlineStr">
        <is>
          <t>SCA</t>
        </is>
      </c>
      <c r="G296" t="n">
        <v>1</v>
      </c>
      <c r="H296" t="n">
        <v>0</v>
      </c>
      <c r="I296" t="n">
        <v>0</v>
      </c>
      <c r="J296" t="n">
        <v>0</v>
      </c>
      <c r="K296" t="n">
        <v>0</v>
      </c>
      <c r="L296" t="n">
        <v>0</v>
      </c>
      <c r="M296" t="n">
        <v>0</v>
      </c>
      <c r="N296" t="n">
        <v>0</v>
      </c>
      <c r="O296" t="n">
        <v>0</v>
      </c>
      <c r="P296" t="n">
        <v>0</v>
      </c>
      <c r="Q296" t="n">
        <v>0</v>
      </c>
      <c r="R296" s="2" t="inlineStr"/>
    </row>
    <row r="297" ht="15" customHeight="1">
      <c r="A297" t="inlineStr">
        <is>
          <t>A 48472-2024</t>
        </is>
      </c>
      <c r="B297" s="1" t="n">
        <v>45591</v>
      </c>
      <c r="C297" s="1" t="n">
        <v>45905</v>
      </c>
      <c r="D297" t="inlineStr">
        <is>
          <t>NORRBOTTENS LÄN</t>
        </is>
      </c>
      <c r="E297" t="inlineStr">
        <is>
          <t>BODEN</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36463-2021</t>
        </is>
      </c>
      <c r="B298" s="1" t="n">
        <v>44391</v>
      </c>
      <c r="C298" s="1" t="n">
        <v>45905</v>
      </c>
      <c r="D298" t="inlineStr">
        <is>
          <t>NORRBOTTENS LÄN</t>
        </is>
      </c>
      <c r="E298" t="inlineStr">
        <is>
          <t>BODEN</t>
        </is>
      </c>
      <c r="G298" t="n">
        <v>7.4</v>
      </c>
      <c r="H298" t="n">
        <v>0</v>
      </c>
      <c r="I298" t="n">
        <v>0</v>
      </c>
      <c r="J298" t="n">
        <v>0</v>
      </c>
      <c r="K298" t="n">
        <v>0</v>
      </c>
      <c r="L298" t="n">
        <v>0</v>
      </c>
      <c r="M298" t="n">
        <v>0</v>
      </c>
      <c r="N298" t="n">
        <v>0</v>
      </c>
      <c r="O298" t="n">
        <v>0</v>
      </c>
      <c r="P298" t="n">
        <v>0</v>
      </c>
      <c r="Q298" t="n">
        <v>0</v>
      </c>
      <c r="R298" s="2" t="inlineStr"/>
    </row>
    <row r="299" ht="15" customHeight="1">
      <c r="A299" t="inlineStr">
        <is>
          <t>A 8120-2022</t>
        </is>
      </c>
      <c r="B299" s="1" t="n">
        <v>44609</v>
      </c>
      <c r="C299" s="1" t="n">
        <v>45905</v>
      </c>
      <c r="D299" t="inlineStr">
        <is>
          <t>NORRBOTTENS LÄN</t>
        </is>
      </c>
      <c r="E299" t="inlineStr">
        <is>
          <t>BODEN</t>
        </is>
      </c>
      <c r="G299" t="n">
        <v>1.7</v>
      </c>
      <c r="H299" t="n">
        <v>0</v>
      </c>
      <c r="I299" t="n">
        <v>0</v>
      </c>
      <c r="J299" t="n">
        <v>0</v>
      </c>
      <c r="K299" t="n">
        <v>0</v>
      </c>
      <c r="L299" t="n">
        <v>0</v>
      </c>
      <c r="M299" t="n">
        <v>0</v>
      </c>
      <c r="N299" t="n">
        <v>0</v>
      </c>
      <c r="O299" t="n">
        <v>0</v>
      </c>
      <c r="P299" t="n">
        <v>0</v>
      </c>
      <c r="Q299" t="n">
        <v>0</v>
      </c>
      <c r="R299" s="2" t="inlineStr"/>
    </row>
    <row r="300" ht="15" customHeight="1">
      <c r="A300" t="inlineStr">
        <is>
          <t>A 32511-2021</t>
        </is>
      </c>
      <c r="B300" s="1" t="n">
        <v>44374</v>
      </c>
      <c r="C300" s="1" t="n">
        <v>45905</v>
      </c>
      <c r="D300" t="inlineStr">
        <is>
          <t>NORRBOTTENS LÄN</t>
        </is>
      </c>
      <c r="E300" t="inlineStr">
        <is>
          <t>BODEN</t>
        </is>
      </c>
      <c r="G300" t="n">
        <v>3.7</v>
      </c>
      <c r="H300" t="n">
        <v>0</v>
      </c>
      <c r="I300" t="n">
        <v>0</v>
      </c>
      <c r="J300" t="n">
        <v>0</v>
      </c>
      <c r="K300" t="n">
        <v>0</v>
      </c>
      <c r="L300" t="n">
        <v>0</v>
      </c>
      <c r="M300" t="n">
        <v>0</v>
      </c>
      <c r="N300" t="n">
        <v>0</v>
      </c>
      <c r="O300" t="n">
        <v>0</v>
      </c>
      <c r="P300" t="n">
        <v>0</v>
      </c>
      <c r="Q300" t="n">
        <v>0</v>
      </c>
      <c r="R300" s="2" t="inlineStr"/>
    </row>
    <row r="301" ht="15" customHeight="1">
      <c r="A301" t="inlineStr">
        <is>
          <t>A 22372-2025</t>
        </is>
      </c>
      <c r="B301" s="1" t="n">
        <v>45786</v>
      </c>
      <c r="C301" s="1" t="n">
        <v>45905</v>
      </c>
      <c r="D301" t="inlineStr">
        <is>
          <t>NORRBOTTENS LÄN</t>
        </is>
      </c>
      <c r="E301" t="inlineStr">
        <is>
          <t>BODEN</t>
        </is>
      </c>
      <c r="F301" t="inlineStr">
        <is>
          <t>Kommuner</t>
        </is>
      </c>
      <c r="G301" t="n">
        <v>16.3</v>
      </c>
      <c r="H301" t="n">
        <v>0</v>
      </c>
      <c r="I301" t="n">
        <v>0</v>
      </c>
      <c r="J301" t="n">
        <v>0</v>
      </c>
      <c r="K301" t="n">
        <v>0</v>
      </c>
      <c r="L301" t="n">
        <v>0</v>
      </c>
      <c r="M301" t="n">
        <v>0</v>
      </c>
      <c r="N301" t="n">
        <v>0</v>
      </c>
      <c r="O301" t="n">
        <v>0</v>
      </c>
      <c r="P301" t="n">
        <v>0</v>
      </c>
      <c r="Q301" t="n">
        <v>0</v>
      </c>
      <c r="R301" s="2" t="inlineStr"/>
    </row>
    <row r="302" ht="15" customHeight="1">
      <c r="A302" t="inlineStr">
        <is>
          <t>A 36115-2023</t>
        </is>
      </c>
      <c r="B302" s="1" t="n">
        <v>45149</v>
      </c>
      <c r="C302" s="1" t="n">
        <v>45905</v>
      </c>
      <c r="D302" t="inlineStr">
        <is>
          <t>NORRBOTTENS LÄN</t>
        </is>
      </c>
      <c r="E302" t="inlineStr">
        <is>
          <t>BODEN</t>
        </is>
      </c>
      <c r="G302" t="n">
        <v>3.4</v>
      </c>
      <c r="H302" t="n">
        <v>0</v>
      </c>
      <c r="I302" t="n">
        <v>0</v>
      </c>
      <c r="J302" t="n">
        <v>0</v>
      </c>
      <c r="K302" t="n">
        <v>0</v>
      </c>
      <c r="L302" t="n">
        <v>0</v>
      </c>
      <c r="M302" t="n">
        <v>0</v>
      </c>
      <c r="N302" t="n">
        <v>0</v>
      </c>
      <c r="O302" t="n">
        <v>0</v>
      </c>
      <c r="P302" t="n">
        <v>0</v>
      </c>
      <c r="Q302" t="n">
        <v>0</v>
      </c>
      <c r="R302" s="2" t="inlineStr"/>
    </row>
    <row r="303" ht="15" customHeight="1">
      <c r="A303" t="inlineStr">
        <is>
          <t>A 38371-2023</t>
        </is>
      </c>
      <c r="B303" s="1" t="n">
        <v>45161</v>
      </c>
      <c r="C303" s="1" t="n">
        <v>45905</v>
      </c>
      <c r="D303" t="inlineStr">
        <is>
          <t>NORRBOTTENS LÄN</t>
        </is>
      </c>
      <c r="E303" t="inlineStr">
        <is>
          <t>BODEN</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38372-2023</t>
        </is>
      </c>
      <c r="B304" s="1" t="n">
        <v>45161</v>
      </c>
      <c r="C304" s="1" t="n">
        <v>45905</v>
      </c>
      <c r="D304" t="inlineStr">
        <is>
          <t>NORRBOTTENS LÄN</t>
        </is>
      </c>
      <c r="E304" t="inlineStr">
        <is>
          <t>BODEN</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17839-2025</t>
        </is>
      </c>
      <c r="B305" s="1" t="n">
        <v>45758</v>
      </c>
      <c r="C305" s="1" t="n">
        <v>45905</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34969-2024</t>
        </is>
      </c>
      <c r="B306" s="1" t="n">
        <v>45527.50440972222</v>
      </c>
      <c r="C306" s="1" t="n">
        <v>45905</v>
      </c>
      <c r="D306" t="inlineStr">
        <is>
          <t>NORRBOTTENS LÄN</t>
        </is>
      </c>
      <c r="E306" t="inlineStr">
        <is>
          <t>BODEN</t>
        </is>
      </c>
      <c r="G306" t="n">
        <v>6.7</v>
      </c>
      <c r="H306" t="n">
        <v>0</v>
      </c>
      <c r="I306" t="n">
        <v>0</v>
      </c>
      <c r="J306" t="n">
        <v>0</v>
      </c>
      <c r="K306" t="n">
        <v>0</v>
      </c>
      <c r="L306" t="n">
        <v>0</v>
      </c>
      <c r="M306" t="n">
        <v>0</v>
      </c>
      <c r="N306" t="n">
        <v>0</v>
      </c>
      <c r="O306" t="n">
        <v>0</v>
      </c>
      <c r="P306" t="n">
        <v>0</v>
      </c>
      <c r="Q306" t="n">
        <v>0</v>
      </c>
      <c r="R306" s="2" t="inlineStr"/>
    </row>
    <row r="307" ht="15" customHeight="1">
      <c r="A307" t="inlineStr">
        <is>
          <t>A 18002-2025</t>
        </is>
      </c>
      <c r="B307" s="1" t="n">
        <v>45761</v>
      </c>
      <c r="C307" s="1" t="n">
        <v>45905</v>
      </c>
      <c r="D307" t="inlineStr">
        <is>
          <t>NORRBOTTENS LÄN</t>
        </is>
      </c>
      <c r="E307" t="inlineStr">
        <is>
          <t>BODEN</t>
        </is>
      </c>
      <c r="F307" t="inlineStr">
        <is>
          <t>Övriga statliga verk och myndigheter</t>
        </is>
      </c>
      <c r="G307" t="n">
        <v>11.5</v>
      </c>
      <c r="H307" t="n">
        <v>0</v>
      </c>
      <c r="I307" t="n">
        <v>0</v>
      </c>
      <c r="J307" t="n">
        <v>0</v>
      </c>
      <c r="K307" t="n">
        <v>0</v>
      </c>
      <c r="L307" t="n">
        <v>0</v>
      </c>
      <c r="M307" t="n">
        <v>0</v>
      </c>
      <c r="N307" t="n">
        <v>0</v>
      </c>
      <c r="O307" t="n">
        <v>0</v>
      </c>
      <c r="P307" t="n">
        <v>0</v>
      </c>
      <c r="Q307" t="n">
        <v>0</v>
      </c>
      <c r="R307" s="2" t="inlineStr"/>
    </row>
    <row r="308" ht="15" customHeight="1">
      <c r="A308" t="inlineStr">
        <is>
          <t>A 54614-2020</t>
        </is>
      </c>
      <c r="B308" s="1" t="n">
        <v>44127</v>
      </c>
      <c r="C308" s="1" t="n">
        <v>45905</v>
      </c>
      <c r="D308" t="inlineStr">
        <is>
          <t>NORRBOTTENS LÄN</t>
        </is>
      </c>
      <c r="E308" t="inlineStr">
        <is>
          <t>BODEN</t>
        </is>
      </c>
      <c r="F308" t="inlineStr">
        <is>
          <t>Sveaskog</t>
        </is>
      </c>
      <c r="G308" t="n">
        <v>2.4</v>
      </c>
      <c r="H308" t="n">
        <v>0</v>
      </c>
      <c r="I308" t="n">
        <v>0</v>
      </c>
      <c r="J308" t="n">
        <v>0</v>
      </c>
      <c r="K308" t="n">
        <v>0</v>
      </c>
      <c r="L308" t="n">
        <v>0</v>
      </c>
      <c r="M308" t="n">
        <v>0</v>
      </c>
      <c r="N308" t="n">
        <v>0</v>
      </c>
      <c r="O308" t="n">
        <v>0</v>
      </c>
      <c r="P308" t="n">
        <v>0</v>
      </c>
      <c r="Q308" t="n">
        <v>0</v>
      </c>
      <c r="R308" s="2" t="inlineStr"/>
    </row>
    <row r="309" ht="15" customHeight="1">
      <c r="A309" t="inlineStr">
        <is>
          <t>A 47920-2024</t>
        </is>
      </c>
      <c r="B309" s="1" t="n">
        <v>45589</v>
      </c>
      <c r="C309" s="1" t="n">
        <v>45905</v>
      </c>
      <c r="D309" t="inlineStr">
        <is>
          <t>NORRBOTTENS LÄN</t>
        </is>
      </c>
      <c r="E309" t="inlineStr">
        <is>
          <t>BODEN</t>
        </is>
      </c>
      <c r="F309" t="inlineStr">
        <is>
          <t>Naturvårdsverket</t>
        </is>
      </c>
      <c r="G309" t="n">
        <v>1.6</v>
      </c>
      <c r="H309" t="n">
        <v>0</v>
      </c>
      <c r="I309" t="n">
        <v>0</v>
      </c>
      <c r="J309" t="n">
        <v>0</v>
      </c>
      <c r="K309" t="n">
        <v>0</v>
      </c>
      <c r="L309" t="n">
        <v>0</v>
      </c>
      <c r="M309" t="n">
        <v>0</v>
      </c>
      <c r="N309" t="n">
        <v>0</v>
      </c>
      <c r="O309" t="n">
        <v>0</v>
      </c>
      <c r="P309" t="n">
        <v>0</v>
      </c>
      <c r="Q309" t="n">
        <v>0</v>
      </c>
      <c r="R309" s="2" t="inlineStr"/>
    </row>
    <row r="310" ht="15" customHeight="1">
      <c r="A310" t="inlineStr">
        <is>
          <t>A 34760-2022</t>
        </is>
      </c>
      <c r="B310" s="1" t="n">
        <v>44795</v>
      </c>
      <c r="C310" s="1" t="n">
        <v>45905</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29328-2024</t>
        </is>
      </c>
      <c r="B311" s="1" t="n">
        <v>45483</v>
      </c>
      <c r="C311" s="1" t="n">
        <v>45905</v>
      </c>
      <c r="D311" t="inlineStr">
        <is>
          <t>NORRBOTTENS LÄN</t>
        </is>
      </c>
      <c r="E311" t="inlineStr">
        <is>
          <t>BODEN</t>
        </is>
      </c>
      <c r="G311" t="n">
        <v>10.6</v>
      </c>
      <c r="H311" t="n">
        <v>0</v>
      </c>
      <c r="I311" t="n">
        <v>0</v>
      </c>
      <c r="J311" t="n">
        <v>0</v>
      </c>
      <c r="K311" t="n">
        <v>0</v>
      </c>
      <c r="L311" t="n">
        <v>0</v>
      </c>
      <c r="M311" t="n">
        <v>0</v>
      </c>
      <c r="N311" t="n">
        <v>0</v>
      </c>
      <c r="O311" t="n">
        <v>0</v>
      </c>
      <c r="P311" t="n">
        <v>0</v>
      </c>
      <c r="Q311" t="n">
        <v>0</v>
      </c>
      <c r="R311" s="2" t="inlineStr"/>
    </row>
    <row r="312" ht="15" customHeight="1">
      <c r="A312" t="inlineStr">
        <is>
          <t>A 50327-2023</t>
        </is>
      </c>
      <c r="B312" s="1" t="n">
        <v>45216</v>
      </c>
      <c r="C312" s="1" t="n">
        <v>45905</v>
      </c>
      <c r="D312" t="inlineStr">
        <is>
          <t>NORRBOTTENS LÄN</t>
        </is>
      </c>
      <c r="E312" t="inlineStr">
        <is>
          <t>BODEN</t>
        </is>
      </c>
      <c r="F312" t="inlineStr">
        <is>
          <t>Sveaskog</t>
        </is>
      </c>
      <c r="G312" t="n">
        <v>4.3</v>
      </c>
      <c r="H312" t="n">
        <v>0</v>
      </c>
      <c r="I312" t="n">
        <v>0</v>
      </c>
      <c r="J312" t="n">
        <v>0</v>
      </c>
      <c r="K312" t="n">
        <v>0</v>
      </c>
      <c r="L312" t="n">
        <v>0</v>
      </c>
      <c r="M312" t="n">
        <v>0</v>
      </c>
      <c r="N312" t="n">
        <v>0</v>
      </c>
      <c r="O312" t="n">
        <v>0</v>
      </c>
      <c r="P312" t="n">
        <v>0</v>
      </c>
      <c r="Q312" t="n">
        <v>0</v>
      </c>
      <c r="R312" s="2" t="inlineStr"/>
    </row>
    <row r="313" ht="15" customHeight="1">
      <c r="A313" t="inlineStr">
        <is>
          <t>A 49730-2024</t>
        </is>
      </c>
      <c r="B313" s="1" t="n">
        <v>45596</v>
      </c>
      <c r="C313" s="1" t="n">
        <v>45905</v>
      </c>
      <c r="D313" t="inlineStr">
        <is>
          <t>NORRBOTTENS LÄN</t>
        </is>
      </c>
      <c r="E313" t="inlineStr">
        <is>
          <t>BODEN</t>
        </is>
      </c>
      <c r="G313" t="n">
        <v>5.6</v>
      </c>
      <c r="H313" t="n">
        <v>0</v>
      </c>
      <c r="I313" t="n">
        <v>0</v>
      </c>
      <c r="J313" t="n">
        <v>0</v>
      </c>
      <c r="K313" t="n">
        <v>0</v>
      </c>
      <c r="L313" t="n">
        <v>0</v>
      </c>
      <c r="M313" t="n">
        <v>0</v>
      </c>
      <c r="N313" t="n">
        <v>0</v>
      </c>
      <c r="O313" t="n">
        <v>0</v>
      </c>
      <c r="P313" t="n">
        <v>0</v>
      </c>
      <c r="Q313" t="n">
        <v>0</v>
      </c>
      <c r="R313" s="2" t="inlineStr"/>
    </row>
    <row r="314" ht="15" customHeight="1">
      <c r="A314" t="inlineStr">
        <is>
          <t>A 50103-2024</t>
        </is>
      </c>
      <c r="B314" s="1" t="n">
        <v>45600.3993287037</v>
      </c>
      <c r="C314" s="1" t="n">
        <v>45905</v>
      </c>
      <c r="D314" t="inlineStr">
        <is>
          <t>NORRBOTTENS LÄN</t>
        </is>
      </c>
      <c r="E314" t="inlineStr">
        <is>
          <t>BODEN</t>
        </is>
      </c>
      <c r="G314" t="n">
        <v>0.9</v>
      </c>
      <c r="H314" t="n">
        <v>0</v>
      </c>
      <c r="I314" t="n">
        <v>0</v>
      </c>
      <c r="J314" t="n">
        <v>0</v>
      </c>
      <c r="K314" t="n">
        <v>0</v>
      </c>
      <c r="L314" t="n">
        <v>0</v>
      </c>
      <c r="M314" t="n">
        <v>0</v>
      </c>
      <c r="N314" t="n">
        <v>0</v>
      </c>
      <c r="O314" t="n">
        <v>0</v>
      </c>
      <c r="P314" t="n">
        <v>0</v>
      </c>
      <c r="Q314" t="n">
        <v>0</v>
      </c>
      <c r="R314" s="2" t="inlineStr"/>
    </row>
    <row r="315" ht="15" customHeight="1">
      <c r="A315" t="inlineStr">
        <is>
          <t>A 50107-2024</t>
        </is>
      </c>
      <c r="B315" s="1" t="n">
        <v>45600.40488425926</v>
      </c>
      <c r="C315" s="1" t="n">
        <v>45905</v>
      </c>
      <c r="D315" t="inlineStr">
        <is>
          <t>NORRBOTTENS LÄN</t>
        </is>
      </c>
      <c r="E315" t="inlineStr">
        <is>
          <t>BODEN</t>
        </is>
      </c>
      <c r="G315" t="n">
        <v>0.9</v>
      </c>
      <c r="H315" t="n">
        <v>0</v>
      </c>
      <c r="I315" t="n">
        <v>0</v>
      </c>
      <c r="J315" t="n">
        <v>0</v>
      </c>
      <c r="K315" t="n">
        <v>0</v>
      </c>
      <c r="L315" t="n">
        <v>0</v>
      </c>
      <c r="M315" t="n">
        <v>0</v>
      </c>
      <c r="N315" t="n">
        <v>0</v>
      </c>
      <c r="O315" t="n">
        <v>0</v>
      </c>
      <c r="P315" t="n">
        <v>0</v>
      </c>
      <c r="Q315" t="n">
        <v>0</v>
      </c>
      <c r="R315" s="2" t="inlineStr"/>
    </row>
    <row r="316" ht="15" customHeight="1">
      <c r="A316" t="inlineStr">
        <is>
          <t>A 23323-2025</t>
        </is>
      </c>
      <c r="B316" s="1" t="n">
        <v>45791.61981481482</v>
      </c>
      <c r="C316" s="1" t="n">
        <v>45905</v>
      </c>
      <c r="D316" t="inlineStr">
        <is>
          <t>NORRBOTTENS LÄN</t>
        </is>
      </c>
      <c r="E316" t="inlineStr">
        <is>
          <t>BODEN</t>
        </is>
      </c>
      <c r="F316" t="inlineStr">
        <is>
          <t>Sveaskog</t>
        </is>
      </c>
      <c r="G316" t="n">
        <v>21.8</v>
      </c>
      <c r="H316" t="n">
        <v>0</v>
      </c>
      <c r="I316" t="n">
        <v>0</v>
      </c>
      <c r="J316" t="n">
        <v>0</v>
      </c>
      <c r="K316" t="n">
        <v>0</v>
      </c>
      <c r="L316" t="n">
        <v>0</v>
      </c>
      <c r="M316" t="n">
        <v>0</v>
      </c>
      <c r="N316" t="n">
        <v>0</v>
      </c>
      <c r="O316" t="n">
        <v>0</v>
      </c>
      <c r="P316" t="n">
        <v>0</v>
      </c>
      <c r="Q316" t="n">
        <v>0</v>
      </c>
      <c r="R316" s="2" t="inlineStr"/>
    </row>
    <row r="317" ht="15" customHeight="1">
      <c r="A317" t="inlineStr">
        <is>
          <t>A 53069-2020</t>
        </is>
      </c>
      <c r="B317" s="1" t="n">
        <v>44120</v>
      </c>
      <c r="C317" s="1" t="n">
        <v>45905</v>
      </c>
      <c r="D317" t="inlineStr">
        <is>
          <t>NORRBOTTENS LÄN</t>
        </is>
      </c>
      <c r="E317" t="inlineStr">
        <is>
          <t>BODEN</t>
        </is>
      </c>
      <c r="G317" t="n">
        <v>2.8</v>
      </c>
      <c r="H317" t="n">
        <v>0</v>
      </c>
      <c r="I317" t="n">
        <v>0</v>
      </c>
      <c r="J317" t="n">
        <v>0</v>
      </c>
      <c r="K317" t="n">
        <v>0</v>
      </c>
      <c r="L317" t="n">
        <v>0</v>
      </c>
      <c r="M317" t="n">
        <v>0</v>
      </c>
      <c r="N317" t="n">
        <v>0</v>
      </c>
      <c r="O317" t="n">
        <v>0</v>
      </c>
      <c r="P317" t="n">
        <v>0</v>
      </c>
      <c r="Q317" t="n">
        <v>0</v>
      </c>
      <c r="R317" s="2" t="inlineStr"/>
    </row>
    <row r="318" ht="15" customHeight="1">
      <c r="A318" t="inlineStr">
        <is>
          <t>A 53102-2020</t>
        </is>
      </c>
      <c r="B318" s="1" t="n">
        <v>44120</v>
      </c>
      <c r="C318" s="1" t="n">
        <v>45905</v>
      </c>
      <c r="D318" t="inlineStr">
        <is>
          <t>NORRBOTTENS LÄN</t>
        </is>
      </c>
      <c r="E318" t="inlineStr">
        <is>
          <t>BODEN</t>
        </is>
      </c>
      <c r="G318" t="n">
        <v>0.8</v>
      </c>
      <c r="H318" t="n">
        <v>0</v>
      </c>
      <c r="I318" t="n">
        <v>0</v>
      </c>
      <c r="J318" t="n">
        <v>0</v>
      </c>
      <c r="K318" t="n">
        <v>0</v>
      </c>
      <c r="L318" t="n">
        <v>0</v>
      </c>
      <c r="M318" t="n">
        <v>0</v>
      </c>
      <c r="N318" t="n">
        <v>0</v>
      </c>
      <c r="O318" t="n">
        <v>0</v>
      </c>
      <c r="P318" t="n">
        <v>0</v>
      </c>
      <c r="Q318" t="n">
        <v>0</v>
      </c>
      <c r="R318" s="2" t="inlineStr"/>
    </row>
    <row r="319" ht="15" customHeight="1">
      <c r="A319" t="inlineStr">
        <is>
          <t>A 706-2022</t>
        </is>
      </c>
      <c r="B319" s="1" t="n">
        <v>44566</v>
      </c>
      <c r="C319" s="1" t="n">
        <v>45905</v>
      </c>
      <c r="D319" t="inlineStr">
        <is>
          <t>NORRBOTTENS LÄN</t>
        </is>
      </c>
      <c r="E319" t="inlineStr">
        <is>
          <t>BODEN</t>
        </is>
      </c>
      <c r="G319" t="n">
        <v>12.4</v>
      </c>
      <c r="H319" t="n">
        <v>0</v>
      </c>
      <c r="I319" t="n">
        <v>0</v>
      </c>
      <c r="J319" t="n">
        <v>0</v>
      </c>
      <c r="K319" t="n">
        <v>0</v>
      </c>
      <c r="L319" t="n">
        <v>0</v>
      </c>
      <c r="M319" t="n">
        <v>0</v>
      </c>
      <c r="N319" t="n">
        <v>0</v>
      </c>
      <c r="O319" t="n">
        <v>0</v>
      </c>
      <c r="P319" t="n">
        <v>0</v>
      </c>
      <c r="Q319" t="n">
        <v>0</v>
      </c>
      <c r="R319" s="2" t="inlineStr"/>
    </row>
    <row r="320" ht="15" customHeight="1">
      <c r="A320" t="inlineStr">
        <is>
          <t>A 23559-2025</t>
        </is>
      </c>
      <c r="B320" s="1" t="n">
        <v>45792.58290509259</v>
      </c>
      <c r="C320" s="1" t="n">
        <v>45905</v>
      </c>
      <c r="D320" t="inlineStr">
        <is>
          <t>NORRBOTTENS LÄN</t>
        </is>
      </c>
      <c r="E320" t="inlineStr">
        <is>
          <t>BODEN</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23648-2025</t>
        </is>
      </c>
      <c r="B321" s="1" t="n">
        <v>45792.69864583333</v>
      </c>
      <c r="C321" s="1" t="n">
        <v>45905</v>
      </c>
      <c r="D321" t="inlineStr">
        <is>
          <t>NORRBOTTENS LÄN</t>
        </is>
      </c>
      <c r="E321" t="inlineStr">
        <is>
          <t>BODEN</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61210-2024</t>
        </is>
      </c>
      <c r="B322" s="1" t="n">
        <v>45645</v>
      </c>
      <c r="C322" s="1" t="n">
        <v>45905</v>
      </c>
      <c r="D322" t="inlineStr">
        <is>
          <t>NORRBOTTENS LÄN</t>
        </is>
      </c>
      <c r="E322" t="inlineStr">
        <is>
          <t>BODEN</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12558-2024</t>
        </is>
      </c>
      <c r="B323" s="1" t="n">
        <v>45379</v>
      </c>
      <c r="C323" s="1" t="n">
        <v>45905</v>
      </c>
      <c r="D323" t="inlineStr">
        <is>
          <t>NORRBOTTENS LÄN</t>
        </is>
      </c>
      <c r="E323" t="inlineStr">
        <is>
          <t>BODEN</t>
        </is>
      </c>
      <c r="G323" t="n">
        <v>2.3</v>
      </c>
      <c r="H323" t="n">
        <v>0</v>
      </c>
      <c r="I323" t="n">
        <v>0</v>
      </c>
      <c r="J323" t="n">
        <v>0</v>
      </c>
      <c r="K323" t="n">
        <v>0</v>
      </c>
      <c r="L323" t="n">
        <v>0</v>
      </c>
      <c r="M323" t="n">
        <v>0</v>
      </c>
      <c r="N323" t="n">
        <v>0</v>
      </c>
      <c r="O323" t="n">
        <v>0</v>
      </c>
      <c r="P323" t="n">
        <v>0</v>
      </c>
      <c r="Q323" t="n">
        <v>0</v>
      </c>
      <c r="R323" s="2" t="inlineStr"/>
    </row>
    <row r="324" ht="15" customHeight="1">
      <c r="A324" t="inlineStr">
        <is>
          <t>A 23092-2025</t>
        </is>
      </c>
      <c r="B324" s="1" t="n">
        <v>45791.34467592592</v>
      </c>
      <c r="C324" s="1" t="n">
        <v>45905</v>
      </c>
      <c r="D324" t="inlineStr">
        <is>
          <t>NORRBOTTENS LÄN</t>
        </is>
      </c>
      <c r="E324" t="inlineStr">
        <is>
          <t>BODEN</t>
        </is>
      </c>
      <c r="F324" t="inlineStr">
        <is>
          <t>SCA</t>
        </is>
      </c>
      <c r="G324" t="n">
        <v>6.2</v>
      </c>
      <c r="H324" t="n">
        <v>0</v>
      </c>
      <c r="I324" t="n">
        <v>0</v>
      </c>
      <c r="J324" t="n">
        <v>0</v>
      </c>
      <c r="K324" t="n">
        <v>0</v>
      </c>
      <c r="L324" t="n">
        <v>0</v>
      </c>
      <c r="M324" t="n">
        <v>0</v>
      </c>
      <c r="N324" t="n">
        <v>0</v>
      </c>
      <c r="O324" t="n">
        <v>0</v>
      </c>
      <c r="P324" t="n">
        <v>0</v>
      </c>
      <c r="Q324" t="n">
        <v>0</v>
      </c>
      <c r="R324" s="2" t="inlineStr"/>
    </row>
    <row r="325" ht="15" customHeight="1">
      <c r="A325" t="inlineStr">
        <is>
          <t>A 23321-2025</t>
        </is>
      </c>
      <c r="B325" s="1" t="n">
        <v>45791.615625</v>
      </c>
      <c r="C325" s="1" t="n">
        <v>45905</v>
      </c>
      <c r="D325" t="inlineStr">
        <is>
          <t>NORRBOTTENS LÄN</t>
        </is>
      </c>
      <c r="E325" t="inlineStr">
        <is>
          <t>BODEN</t>
        </is>
      </c>
      <c r="F325" t="inlineStr">
        <is>
          <t>Sveaskog</t>
        </is>
      </c>
      <c r="G325" t="n">
        <v>10</v>
      </c>
      <c r="H325" t="n">
        <v>0</v>
      </c>
      <c r="I325" t="n">
        <v>0</v>
      </c>
      <c r="J325" t="n">
        <v>0</v>
      </c>
      <c r="K325" t="n">
        <v>0</v>
      </c>
      <c r="L325" t="n">
        <v>0</v>
      </c>
      <c r="M325" t="n">
        <v>0</v>
      </c>
      <c r="N325" t="n">
        <v>0</v>
      </c>
      <c r="O325" t="n">
        <v>0</v>
      </c>
      <c r="P325" t="n">
        <v>0</v>
      </c>
      <c r="Q325" t="n">
        <v>0</v>
      </c>
      <c r="R325" s="2" t="inlineStr"/>
    </row>
    <row r="326" ht="15" customHeight="1">
      <c r="A326" t="inlineStr">
        <is>
          <t>A 23315-2025</t>
        </is>
      </c>
      <c r="B326" s="1" t="n">
        <v>45791.61200231482</v>
      </c>
      <c r="C326" s="1" t="n">
        <v>45905</v>
      </c>
      <c r="D326" t="inlineStr">
        <is>
          <t>NORRBOTTENS LÄN</t>
        </is>
      </c>
      <c r="E326" t="inlineStr">
        <is>
          <t>BODEN</t>
        </is>
      </c>
      <c r="F326" t="inlineStr">
        <is>
          <t>Sveaskog</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1507-2022</t>
        </is>
      </c>
      <c r="B327" s="1" t="n">
        <v>44573</v>
      </c>
      <c r="C327" s="1" t="n">
        <v>45905</v>
      </c>
      <c r="D327" t="inlineStr">
        <is>
          <t>NORRBOTTENS LÄN</t>
        </is>
      </c>
      <c r="E327" t="inlineStr">
        <is>
          <t>BODEN</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60466-2024</t>
        </is>
      </c>
      <c r="B328" s="1" t="n">
        <v>45643</v>
      </c>
      <c r="C328" s="1" t="n">
        <v>45905</v>
      </c>
      <c r="D328" t="inlineStr">
        <is>
          <t>NORRBOTTENS LÄN</t>
        </is>
      </c>
      <c r="E328" t="inlineStr">
        <is>
          <t>BODEN</t>
        </is>
      </c>
      <c r="F328" t="inlineStr">
        <is>
          <t>Sveaskog</t>
        </is>
      </c>
      <c r="G328" t="n">
        <v>4.1</v>
      </c>
      <c r="H328" t="n">
        <v>0</v>
      </c>
      <c r="I328" t="n">
        <v>0</v>
      </c>
      <c r="J328" t="n">
        <v>0</v>
      </c>
      <c r="K328" t="n">
        <v>0</v>
      </c>
      <c r="L328" t="n">
        <v>0</v>
      </c>
      <c r="M328" t="n">
        <v>0</v>
      </c>
      <c r="N328" t="n">
        <v>0</v>
      </c>
      <c r="O328" t="n">
        <v>0</v>
      </c>
      <c r="P328" t="n">
        <v>0</v>
      </c>
      <c r="Q328" t="n">
        <v>0</v>
      </c>
      <c r="R328" s="2" t="inlineStr"/>
    </row>
    <row r="329" ht="15" customHeight="1">
      <c r="A329" t="inlineStr">
        <is>
          <t>A 23302-2025</t>
        </is>
      </c>
      <c r="B329" s="1" t="n">
        <v>45791.59711805556</v>
      </c>
      <c r="C329" s="1" t="n">
        <v>45905</v>
      </c>
      <c r="D329" t="inlineStr">
        <is>
          <t>NORRBOTTENS LÄN</t>
        </is>
      </c>
      <c r="E329" t="inlineStr">
        <is>
          <t>BODEN</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23414-2025</t>
        </is>
      </c>
      <c r="B330" s="1" t="n">
        <v>45792.34626157407</v>
      </c>
      <c r="C330" s="1" t="n">
        <v>45905</v>
      </c>
      <c r="D330" t="inlineStr">
        <is>
          <t>NORRBOTTENS LÄN</t>
        </is>
      </c>
      <c r="E330" t="inlineStr">
        <is>
          <t>BODEN</t>
        </is>
      </c>
      <c r="F330" t="inlineStr">
        <is>
          <t>SCA</t>
        </is>
      </c>
      <c r="G330" t="n">
        <v>12.7</v>
      </c>
      <c r="H330" t="n">
        <v>0</v>
      </c>
      <c r="I330" t="n">
        <v>0</v>
      </c>
      <c r="J330" t="n">
        <v>0</v>
      </c>
      <c r="K330" t="n">
        <v>0</v>
      </c>
      <c r="L330" t="n">
        <v>0</v>
      </c>
      <c r="M330" t="n">
        <v>0</v>
      </c>
      <c r="N330" t="n">
        <v>0</v>
      </c>
      <c r="O330" t="n">
        <v>0</v>
      </c>
      <c r="P330" t="n">
        <v>0</v>
      </c>
      <c r="Q330" t="n">
        <v>0</v>
      </c>
      <c r="R330" s="2" t="inlineStr"/>
    </row>
    <row r="331" ht="15" customHeight="1">
      <c r="A331" t="inlineStr">
        <is>
          <t>A 61107-2022</t>
        </is>
      </c>
      <c r="B331" s="1" t="n">
        <v>44908</v>
      </c>
      <c r="C331" s="1" t="n">
        <v>45905</v>
      </c>
      <c r="D331" t="inlineStr">
        <is>
          <t>NORRBOTTENS LÄN</t>
        </is>
      </c>
      <c r="E331" t="inlineStr">
        <is>
          <t>BODEN</t>
        </is>
      </c>
      <c r="G331" t="n">
        <v>2.5</v>
      </c>
      <c r="H331" t="n">
        <v>0</v>
      </c>
      <c r="I331" t="n">
        <v>0</v>
      </c>
      <c r="J331" t="n">
        <v>0</v>
      </c>
      <c r="K331" t="n">
        <v>0</v>
      </c>
      <c r="L331" t="n">
        <v>0</v>
      </c>
      <c r="M331" t="n">
        <v>0</v>
      </c>
      <c r="N331" t="n">
        <v>0</v>
      </c>
      <c r="O331" t="n">
        <v>0</v>
      </c>
      <c r="P331" t="n">
        <v>0</v>
      </c>
      <c r="Q331" t="n">
        <v>0</v>
      </c>
      <c r="R331" s="2" t="inlineStr"/>
    </row>
    <row r="332" ht="15" customHeight="1">
      <c r="A332" t="inlineStr">
        <is>
          <t>A 19528-2024</t>
        </is>
      </c>
      <c r="B332" s="1" t="n">
        <v>45429</v>
      </c>
      <c r="C332" s="1" t="n">
        <v>45905</v>
      </c>
      <c r="D332" t="inlineStr">
        <is>
          <t>NORRBOTTENS LÄN</t>
        </is>
      </c>
      <c r="E332" t="inlineStr">
        <is>
          <t>BODEN</t>
        </is>
      </c>
      <c r="G332" t="n">
        <v>3.9</v>
      </c>
      <c r="H332" t="n">
        <v>0</v>
      </c>
      <c r="I332" t="n">
        <v>0</v>
      </c>
      <c r="J332" t="n">
        <v>0</v>
      </c>
      <c r="K332" t="n">
        <v>0</v>
      </c>
      <c r="L332" t="n">
        <v>0</v>
      </c>
      <c r="M332" t="n">
        <v>0</v>
      </c>
      <c r="N332" t="n">
        <v>0</v>
      </c>
      <c r="O332" t="n">
        <v>0</v>
      </c>
      <c r="P332" t="n">
        <v>0</v>
      </c>
      <c r="Q332" t="n">
        <v>0</v>
      </c>
      <c r="R332" s="2" t="inlineStr"/>
    </row>
    <row r="333" ht="15" customHeight="1">
      <c r="A333" t="inlineStr">
        <is>
          <t>A 19533-2024</t>
        </is>
      </c>
      <c r="B333" s="1" t="n">
        <v>45429</v>
      </c>
      <c r="C333" s="1" t="n">
        <v>45905</v>
      </c>
      <c r="D333" t="inlineStr">
        <is>
          <t>NORRBOTTENS LÄN</t>
        </is>
      </c>
      <c r="E333" t="inlineStr">
        <is>
          <t>BODEN</t>
        </is>
      </c>
      <c r="G333" t="n">
        <v>3.2</v>
      </c>
      <c r="H333" t="n">
        <v>0</v>
      </c>
      <c r="I333" t="n">
        <v>0</v>
      </c>
      <c r="J333" t="n">
        <v>0</v>
      </c>
      <c r="K333" t="n">
        <v>0</v>
      </c>
      <c r="L333" t="n">
        <v>0</v>
      </c>
      <c r="M333" t="n">
        <v>0</v>
      </c>
      <c r="N333" t="n">
        <v>0</v>
      </c>
      <c r="O333" t="n">
        <v>0</v>
      </c>
      <c r="P333" t="n">
        <v>0</v>
      </c>
      <c r="Q333" t="n">
        <v>0</v>
      </c>
      <c r="R333" s="2" t="inlineStr"/>
    </row>
    <row r="334" ht="15" customHeight="1">
      <c r="A334" t="inlineStr">
        <is>
          <t>A 61603-2024</t>
        </is>
      </c>
      <c r="B334" s="1" t="n">
        <v>45646.64119212963</v>
      </c>
      <c r="C334" s="1" t="n">
        <v>45905</v>
      </c>
      <c r="D334" t="inlineStr">
        <is>
          <t>NORRBOTTENS LÄN</t>
        </is>
      </c>
      <c r="E334" t="inlineStr">
        <is>
          <t>BODEN</t>
        </is>
      </c>
      <c r="G334" t="n">
        <v>1.2</v>
      </c>
      <c r="H334" t="n">
        <v>0</v>
      </c>
      <c r="I334" t="n">
        <v>0</v>
      </c>
      <c r="J334" t="n">
        <v>0</v>
      </c>
      <c r="K334" t="n">
        <v>0</v>
      </c>
      <c r="L334" t="n">
        <v>0</v>
      </c>
      <c r="M334" t="n">
        <v>0</v>
      </c>
      <c r="N334" t="n">
        <v>0</v>
      </c>
      <c r="O334" t="n">
        <v>0</v>
      </c>
      <c r="P334" t="n">
        <v>0</v>
      </c>
      <c r="Q334" t="n">
        <v>0</v>
      </c>
      <c r="R334" s="2" t="inlineStr"/>
    </row>
    <row r="335" ht="15" customHeight="1">
      <c r="A335" t="inlineStr">
        <is>
          <t>A 23724-2025</t>
        </is>
      </c>
      <c r="B335" s="1" t="n">
        <v>45793</v>
      </c>
      <c r="C335" s="1" t="n">
        <v>45905</v>
      </c>
      <c r="D335" t="inlineStr">
        <is>
          <t>NORRBOTTENS LÄN</t>
        </is>
      </c>
      <c r="E335" t="inlineStr">
        <is>
          <t>BODEN</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22892-2024</t>
        </is>
      </c>
      <c r="B336" s="1" t="n">
        <v>45448</v>
      </c>
      <c r="C336" s="1" t="n">
        <v>45905</v>
      </c>
      <c r="D336" t="inlineStr">
        <is>
          <t>NORRBOTTENS LÄN</t>
        </is>
      </c>
      <c r="E336" t="inlineStr">
        <is>
          <t>BODEN</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48420-2024</t>
        </is>
      </c>
      <c r="B337" s="1" t="n">
        <v>45590</v>
      </c>
      <c r="C337" s="1" t="n">
        <v>45905</v>
      </c>
      <c r="D337" t="inlineStr">
        <is>
          <t>NORRBOTTENS LÄN</t>
        </is>
      </c>
      <c r="E337" t="inlineStr">
        <is>
          <t>BODEN</t>
        </is>
      </c>
      <c r="G337" t="n">
        <v>1.5</v>
      </c>
      <c r="H337" t="n">
        <v>0</v>
      </c>
      <c r="I337" t="n">
        <v>0</v>
      </c>
      <c r="J337" t="n">
        <v>0</v>
      </c>
      <c r="K337" t="n">
        <v>0</v>
      </c>
      <c r="L337" t="n">
        <v>0</v>
      </c>
      <c r="M337" t="n">
        <v>0</v>
      </c>
      <c r="N337" t="n">
        <v>0</v>
      </c>
      <c r="O337" t="n">
        <v>0</v>
      </c>
      <c r="P337" t="n">
        <v>0</v>
      </c>
      <c r="Q337" t="n">
        <v>0</v>
      </c>
      <c r="R337" s="2" t="inlineStr"/>
    </row>
    <row r="338" ht="15" customHeight="1">
      <c r="A338" t="inlineStr">
        <is>
          <t>A 48427-2024</t>
        </is>
      </c>
      <c r="B338" s="1" t="n">
        <v>45590</v>
      </c>
      <c r="C338" s="1" t="n">
        <v>45905</v>
      </c>
      <c r="D338" t="inlineStr">
        <is>
          <t>NORRBOTTENS LÄN</t>
        </is>
      </c>
      <c r="E338" t="inlineStr">
        <is>
          <t>BODEN</t>
        </is>
      </c>
      <c r="G338" t="n">
        <v>1.8</v>
      </c>
      <c r="H338" t="n">
        <v>0</v>
      </c>
      <c r="I338" t="n">
        <v>0</v>
      </c>
      <c r="J338" t="n">
        <v>0</v>
      </c>
      <c r="K338" t="n">
        <v>0</v>
      </c>
      <c r="L338" t="n">
        <v>0</v>
      </c>
      <c r="M338" t="n">
        <v>0</v>
      </c>
      <c r="N338" t="n">
        <v>0</v>
      </c>
      <c r="O338" t="n">
        <v>0</v>
      </c>
      <c r="P338" t="n">
        <v>0</v>
      </c>
      <c r="Q338" t="n">
        <v>0</v>
      </c>
      <c r="R338" s="2" t="inlineStr"/>
    </row>
    <row r="339" ht="15" customHeight="1">
      <c r="A339" t="inlineStr">
        <is>
          <t>A 23763-2025</t>
        </is>
      </c>
      <c r="B339" s="1" t="n">
        <v>45793.4693287037</v>
      </c>
      <c r="C339" s="1" t="n">
        <v>45905</v>
      </c>
      <c r="D339" t="inlineStr">
        <is>
          <t>NORRBOTTENS LÄN</t>
        </is>
      </c>
      <c r="E339" t="inlineStr">
        <is>
          <t>BODEN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23761-2025</t>
        </is>
      </c>
      <c r="B340" s="1" t="n">
        <v>45793</v>
      </c>
      <c r="C340" s="1" t="n">
        <v>45905</v>
      </c>
      <c r="D340" t="inlineStr">
        <is>
          <t>NORRBOTTENS LÄN</t>
        </is>
      </c>
      <c r="E340" t="inlineStr">
        <is>
          <t>BODEN</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11651-2023</t>
        </is>
      </c>
      <c r="B341" s="1" t="n">
        <v>44994</v>
      </c>
      <c r="C341" s="1" t="n">
        <v>45905</v>
      </c>
      <c r="D341" t="inlineStr">
        <is>
          <t>NORRBOTTENS LÄN</t>
        </is>
      </c>
      <c r="E341" t="inlineStr">
        <is>
          <t>BODEN</t>
        </is>
      </c>
      <c r="G341" t="n">
        <v>0.7</v>
      </c>
      <c r="H341" t="n">
        <v>0</v>
      </c>
      <c r="I341" t="n">
        <v>0</v>
      </c>
      <c r="J341" t="n">
        <v>0</v>
      </c>
      <c r="K341" t="n">
        <v>0</v>
      </c>
      <c r="L341" t="n">
        <v>0</v>
      </c>
      <c r="M341" t="n">
        <v>0</v>
      </c>
      <c r="N341" t="n">
        <v>0</v>
      </c>
      <c r="O341" t="n">
        <v>0</v>
      </c>
      <c r="P341" t="n">
        <v>0</v>
      </c>
      <c r="Q341" t="n">
        <v>0</v>
      </c>
      <c r="R341" s="2" t="inlineStr"/>
    </row>
    <row r="342" ht="15" customHeight="1">
      <c r="A342" t="inlineStr">
        <is>
          <t>A 24134-2025</t>
        </is>
      </c>
      <c r="B342" s="1" t="n">
        <v>45796.63600694444</v>
      </c>
      <c r="C342" s="1" t="n">
        <v>45905</v>
      </c>
      <c r="D342" t="inlineStr">
        <is>
          <t>NORRBOTTENS LÄN</t>
        </is>
      </c>
      <c r="E342" t="inlineStr">
        <is>
          <t>BODEN</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48415-2024</t>
        </is>
      </c>
      <c r="B343" s="1" t="n">
        <v>45590.64114583333</v>
      </c>
      <c r="C343" s="1" t="n">
        <v>45905</v>
      </c>
      <c r="D343" t="inlineStr">
        <is>
          <t>NORRBOTTENS LÄN</t>
        </is>
      </c>
      <c r="E343" t="inlineStr">
        <is>
          <t>BODEN</t>
        </is>
      </c>
      <c r="F343" t="inlineStr">
        <is>
          <t>SCA</t>
        </is>
      </c>
      <c r="G343" t="n">
        <v>0.1</v>
      </c>
      <c r="H343" t="n">
        <v>0</v>
      </c>
      <c r="I343" t="n">
        <v>0</v>
      </c>
      <c r="J343" t="n">
        <v>0</v>
      </c>
      <c r="K343" t="n">
        <v>0</v>
      </c>
      <c r="L343" t="n">
        <v>0</v>
      </c>
      <c r="M343" t="n">
        <v>0</v>
      </c>
      <c r="N343" t="n">
        <v>0</v>
      </c>
      <c r="O343" t="n">
        <v>0</v>
      </c>
      <c r="P343" t="n">
        <v>0</v>
      </c>
      <c r="Q343" t="n">
        <v>0</v>
      </c>
      <c r="R343" s="2" t="inlineStr"/>
    </row>
    <row r="344" ht="15" customHeight="1">
      <c r="A344" t="inlineStr">
        <is>
          <t>A 50545-2020</t>
        </is>
      </c>
      <c r="B344" s="1" t="n">
        <v>44110</v>
      </c>
      <c r="C344" s="1" t="n">
        <v>45905</v>
      </c>
      <c r="D344" t="inlineStr">
        <is>
          <t>NORRBOTTENS LÄN</t>
        </is>
      </c>
      <c r="E344" t="inlineStr">
        <is>
          <t>BODEN</t>
        </is>
      </c>
      <c r="G344" t="n">
        <v>4.2</v>
      </c>
      <c r="H344" t="n">
        <v>0</v>
      </c>
      <c r="I344" t="n">
        <v>0</v>
      </c>
      <c r="J344" t="n">
        <v>0</v>
      </c>
      <c r="K344" t="n">
        <v>0</v>
      </c>
      <c r="L344" t="n">
        <v>0</v>
      </c>
      <c r="M344" t="n">
        <v>0</v>
      </c>
      <c r="N344" t="n">
        <v>0</v>
      </c>
      <c r="O344" t="n">
        <v>0</v>
      </c>
      <c r="P344" t="n">
        <v>0</v>
      </c>
      <c r="Q344" t="n">
        <v>0</v>
      </c>
      <c r="R344" s="2" t="inlineStr"/>
    </row>
    <row r="345" ht="15" customHeight="1">
      <c r="A345" t="inlineStr">
        <is>
          <t>A 24699-2025</t>
        </is>
      </c>
      <c r="B345" s="1" t="n">
        <v>45798.71922453704</v>
      </c>
      <c r="C345" s="1" t="n">
        <v>45905</v>
      </c>
      <c r="D345" t="inlineStr">
        <is>
          <t>NORRBOTTENS LÄN</t>
        </is>
      </c>
      <c r="E345" t="inlineStr">
        <is>
          <t>BODEN</t>
        </is>
      </c>
      <c r="F345" t="inlineStr">
        <is>
          <t>SCA</t>
        </is>
      </c>
      <c r="G345" t="n">
        <v>11.8</v>
      </c>
      <c r="H345" t="n">
        <v>0</v>
      </c>
      <c r="I345" t="n">
        <v>0</v>
      </c>
      <c r="J345" t="n">
        <v>0</v>
      </c>
      <c r="K345" t="n">
        <v>0</v>
      </c>
      <c r="L345" t="n">
        <v>0</v>
      </c>
      <c r="M345" t="n">
        <v>0</v>
      </c>
      <c r="N345" t="n">
        <v>0</v>
      </c>
      <c r="O345" t="n">
        <v>0</v>
      </c>
      <c r="P345" t="n">
        <v>0</v>
      </c>
      <c r="Q345" t="n">
        <v>0</v>
      </c>
      <c r="R345" s="2" t="inlineStr"/>
    </row>
    <row r="346" ht="15" customHeight="1">
      <c r="A346" t="inlineStr">
        <is>
          <t>A 61630-2024</t>
        </is>
      </c>
      <c r="B346" s="1" t="n">
        <v>45646.66561342592</v>
      </c>
      <c r="C346" s="1" t="n">
        <v>45905</v>
      </c>
      <c r="D346" t="inlineStr">
        <is>
          <t>NORRBOTTENS LÄN</t>
        </is>
      </c>
      <c r="E346" t="inlineStr">
        <is>
          <t>BODEN</t>
        </is>
      </c>
      <c r="G346" t="n">
        <v>4.7</v>
      </c>
      <c r="H346" t="n">
        <v>0</v>
      </c>
      <c r="I346" t="n">
        <v>0</v>
      </c>
      <c r="J346" t="n">
        <v>0</v>
      </c>
      <c r="K346" t="n">
        <v>0</v>
      </c>
      <c r="L346" t="n">
        <v>0</v>
      </c>
      <c r="M346" t="n">
        <v>0</v>
      </c>
      <c r="N346" t="n">
        <v>0</v>
      </c>
      <c r="O346" t="n">
        <v>0</v>
      </c>
      <c r="P346" t="n">
        <v>0</v>
      </c>
      <c r="Q346" t="n">
        <v>0</v>
      </c>
      <c r="R346" s="2" t="inlineStr"/>
    </row>
    <row r="347" ht="15" customHeight="1">
      <c r="A347" t="inlineStr">
        <is>
          <t>A 13568-2022</t>
        </is>
      </c>
      <c r="B347" s="1" t="n">
        <v>44648</v>
      </c>
      <c r="C347" s="1" t="n">
        <v>45905</v>
      </c>
      <c r="D347" t="inlineStr">
        <is>
          <t>NORRBOTTENS LÄN</t>
        </is>
      </c>
      <c r="E347" t="inlineStr">
        <is>
          <t>BODEN</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48417-2023</t>
        </is>
      </c>
      <c r="B348" s="1" t="n">
        <v>45205</v>
      </c>
      <c r="C348" s="1" t="n">
        <v>45905</v>
      </c>
      <c r="D348" t="inlineStr">
        <is>
          <t>NORRBOTTENS LÄN</t>
        </is>
      </c>
      <c r="E348" t="inlineStr">
        <is>
          <t>BODEN</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28134-2024</t>
        </is>
      </c>
      <c r="B349" s="1" t="n">
        <v>45476.69083333333</v>
      </c>
      <c r="C349" s="1" t="n">
        <v>45905</v>
      </c>
      <c r="D349" t="inlineStr">
        <is>
          <t>NORRBOTTENS LÄN</t>
        </is>
      </c>
      <c r="E349" t="inlineStr">
        <is>
          <t>BODEN</t>
        </is>
      </c>
      <c r="G349" t="n">
        <v>2.6</v>
      </c>
      <c r="H349" t="n">
        <v>0</v>
      </c>
      <c r="I349" t="n">
        <v>0</v>
      </c>
      <c r="J349" t="n">
        <v>0</v>
      </c>
      <c r="K349" t="n">
        <v>0</v>
      </c>
      <c r="L349" t="n">
        <v>0</v>
      </c>
      <c r="M349" t="n">
        <v>0</v>
      </c>
      <c r="N349" t="n">
        <v>0</v>
      </c>
      <c r="O349" t="n">
        <v>0</v>
      </c>
      <c r="P349" t="n">
        <v>0</v>
      </c>
      <c r="Q349" t="n">
        <v>0</v>
      </c>
      <c r="R349" s="2" t="inlineStr"/>
    </row>
    <row r="350" ht="15" customHeight="1">
      <c r="A350" t="inlineStr">
        <is>
          <t>A 49113-2023</t>
        </is>
      </c>
      <c r="B350" s="1" t="n">
        <v>45204</v>
      </c>
      <c r="C350" s="1" t="n">
        <v>45905</v>
      </c>
      <c r="D350" t="inlineStr">
        <is>
          <t>NORRBOTTENS LÄN</t>
        </is>
      </c>
      <c r="E350" t="inlineStr">
        <is>
          <t>BODEN</t>
        </is>
      </c>
      <c r="G350" t="n">
        <v>5.6</v>
      </c>
      <c r="H350" t="n">
        <v>0</v>
      </c>
      <c r="I350" t="n">
        <v>0</v>
      </c>
      <c r="J350" t="n">
        <v>0</v>
      </c>
      <c r="K350" t="n">
        <v>0</v>
      </c>
      <c r="L350" t="n">
        <v>0</v>
      </c>
      <c r="M350" t="n">
        <v>0</v>
      </c>
      <c r="N350" t="n">
        <v>0</v>
      </c>
      <c r="O350" t="n">
        <v>0</v>
      </c>
      <c r="P350" t="n">
        <v>0</v>
      </c>
      <c r="Q350" t="n">
        <v>0</v>
      </c>
      <c r="R350" s="2" t="inlineStr"/>
    </row>
    <row r="351" ht="15" customHeight="1">
      <c r="A351" t="inlineStr">
        <is>
          <t>A 28758-2024</t>
        </is>
      </c>
      <c r="B351" s="1" t="n">
        <v>45478</v>
      </c>
      <c r="C351" s="1" t="n">
        <v>45905</v>
      </c>
      <c r="D351" t="inlineStr">
        <is>
          <t>NORRBOTTENS LÄN</t>
        </is>
      </c>
      <c r="E351" t="inlineStr">
        <is>
          <t>BODEN</t>
        </is>
      </c>
      <c r="G351" t="n">
        <v>7.5</v>
      </c>
      <c r="H351" t="n">
        <v>0</v>
      </c>
      <c r="I351" t="n">
        <v>0</v>
      </c>
      <c r="J351" t="n">
        <v>0</v>
      </c>
      <c r="K351" t="n">
        <v>0</v>
      </c>
      <c r="L351" t="n">
        <v>0</v>
      </c>
      <c r="M351" t="n">
        <v>0</v>
      </c>
      <c r="N351" t="n">
        <v>0</v>
      </c>
      <c r="O351" t="n">
        <v>0</v>
      </c>
      <c r="P351" t="n">
        <v>0</v>
      </c>
      <c r="Q351" t="n">
        <v>0</v>
      </c>
      <c r="R351" s="2" t="inlineStr"/>
    </row>
    <row r="352" ht="15" customHeight="1">
      <c r="A352" t="inlineStr">
        <is>
          <t>A 50618-2020</t>
        </is>
      </c>
      <c r="B352" s="1" t="n">
        <v>44110</v>
      </c>
      <c r="C352" s="1" t="n">
        <v>45905</v>
      </c>
      <c r="D352" t="inlineStr">
        <is>
          <t>NORRBOTTENS LÄN</t>
        </is>
      </c>
      <c r="E352" t="inlineStr">
        <is>
          <t>BODEN</t>
        </is>
      </c>
      <c r="F352" t="inlineStr">
        <is>
          <t>SCA</t>
        </is>
      </c>
      <c r="G352" t="n">
        <v>6.8</v>
      </c>
      <c r="H352" t="n">
        <v>0</v>
      </c>
      <c r="I352" t="n">
        <v>0</v>
      </c>
      <c r="J352" t="n">
        <v>0</v>
      </c>
      <c r="K352" t="n">
        <v>0</v>
      </c>
      <c r="L352" t="n">
        <v>0</v>
      </c>
      <c r="M352" t="n">
        <v>0</v>
      </c>
      <c r="N352" t="n">
        <v>0</v>
      </c>
      <c r="O352" t="n">
        <v>0</v>
      </c>
      <c r="P352" t="n">
        <v>0</v>
      </c>
      <c r="Q352" t="n">
        <v>0</v>
      </c>
      <c r="R352" s="2" t="inlineStr"/>
    </row>
    <row r="353" ht="15" customHeight="1">
      <c r="A353" t="inlineStr">
        <is>
          <t>A 59775-2020</t>
        </is>
      </c>
      <c r="B353" s="1" t="n">
        <v>44151</v>
      </c>
      <c r="C353" s="1" t="n">
        <v>45905</v>
      </c>
      <c r="D353" t="inlineStr">
        <is>
          <t>NORRBOTTENS LÄN</t>
        </is>
      </c>
      <c r="E353" t="inlineStr">
        <is>
          <t>BODEN</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56163-2022</t>
        </is>
      </c>
      <c r="B354" s="1" t="n">
        <v>44889</v>
      </c>
      <c r="C354" s="1" t="n">
        <v>45905</v>
      </c>
      <c r="D354" t="inlineStr">
        <is>
          <t>NORRBOTTENS LÄN</t>
        </is>
      </c>
      <c r="E354" t="inlineStr">
        <is>
          <t>BODEN</t>
        </is>
      </c>
      <c r="G354" t="n">
        <v>6.1</v>
      </c>
      <c r="H354" t="n">
        <v>0</v>
      </c>
      <c r="I354" t="n">
        <v>0</v>
      </c>
      <c r="J354" t="n">
        <v>0</v>
      </c>
      <c r="K354" t="n">
        <v>0</v>
      </c>
      <c r="L354" t="n">
        <v>0</v>
      </c>
      <c r="M354" t="n">
        <v>0</v>
      </c>
      <c r="N354" t="n">
        <v>0</v>
      </c>
      <c r="O354" t="n">
        <v>0</v>
      </c>
      <c r="P354" t="n">
        <v>0</v>
      </c>
      <c r="Q354" t="n">
        <v>0</v>
      </c>
      <c r="R354" s="2" t="inlineStr"/>
    </row>
    <row r="355" ht="15" customHeight="1">
      <c r="A355" t="inlineStr">
        <is>
          <t>A 58373-2022</t>
        </is>
      </c>
      <c r="B355" s="1" t="n">
        <v>44901</v>
      </c>
      <c r="C355" s="1" t="n">
        <v>45905</v>
      </c>
      <c r="D355" t="inlineStr">
        <is>
          <t>NORRBOTTENS LÄN</t>
        </is>
      </c>
      <c r="E355" t="inlineStr">
        <is>
          <t>BODEN</t>
        </is>
      </c>
      <c r="G355" t="n">
        <v>1.2</v>
      </c>
      <c r="H355" t="n">
        <v>0</v>
      </c>
      <c r="I355" t="n">
        <v>0</v>
      </c>
      <c r="J355" t="n">
        <v>0</v>
      </c>
      <c r="K355" t="n">
        <v>0</v>
      </c>
      <c r="L355" t="n">
        <v>0</v>
      </c>
      <c r="M355" t="n">
        <v>0</v>
      </c>
      <c r="N355" t="n">
        <v>0</v>
      </c>
      <c r="O355" t="n">
        <v>0</v>
      </c>
      <c r="P355" t="n">
        <v>0</v>
      </c>
      <c r="Q355" t="n">
        <v>0</v>
      </c>
      <c r="R355" s="2" t="inlineStr"/>
    </row>
    <row r="356" ht="15" customHeight="1">
      <c r="A356" t="inlineStr">
        <is>
          <t>A 24538-2025</t>
        </is>
      </c>
      <c r="B356" s="1" t="n">
        <v>45798</v>
      </c>
      <c r="C356" s="1" t="n">
        <v>45905</v>
      </c>
      <c r="D356" t="inlineStr">
        <is>
          <t>NORRBOTTENS LÄN</t>
        </is>
      </c>
      <c r="E356" t="inlineStr">
        <is>
          <t>BODEN</t>
        </is>
      </c>
      <c r="F356" t="inlineStr">
        <is>
          <t>Sveaskog</t>
        </is>
      </c>
      <c r="G356" t="n">
        <v>15.8</v>
      </c>
      <c r="H356" t="n">
        <v>0</v>
      </c>
      <c r="I356" t="n">
        <v>0</v>
      </c>
      <c r="J356" t="n">
        <v>0</v>
      </c>
      <c r="K356" t="n">
        <v>0</v>
      </c>
      <c r="L356" t="n">
        <v>0</v>
      </c>
      <c r="M356" t="n">
        <v>0</v>
      </c>
      <c r="N356" t="n">
        <v>0</v>
      </c>
      <c r="O356" t="n">
        <v>0</v>
      </c>
      <c r="P356" t="n">
        <v>0</v>
      </c>
      <c r="Q356" t="n">
        <v>0</v>
      </c>
      <c r="R356" s="2" t="inlineStr"/>
    </row>
    <row r="357" ht="15" customHeight="1">
      <c r="A357" t="inlineStr">
        <is>
          <t>A 24358-2025</t>
        </is>
      </c>
      <c r="B357" s="1" t="n">
        <v>45797</v>
      </c>
      <c r="C357" s="1" t="n">
        <v>45905</v>
      </c>
      <c r="D357" t="inlineStr">
        <is>
          <t>NORRBOTTENS LÄN</t>
        </is>
      </c>
      <c r="E357" t="inlineStr">
        <is>
          <t>BODEN</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24545-2025</t>
        </is>
      </c>
      <c r="B358" s="1" t="n">
        <v>45798.44548611111</v>
      </c>
      <c r="C358" s="1" t="n">
        <v>45905</v>
      </c>
      <c r="D358" t="inlineStr">
        <is>
          <t>NORRBOTTENS LÄN</t>
        </is>
      </c>
      <c r="E358" t="inlineStr">
        <is>
          <t>BODEN</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49806-2022</t>
        </is>
      </c>
      <c r="B359" s="1" t="n">
        <v>44862.66424768518</v>
      </c>
      <c r="C359" s="1" t="n">
        <v>45905</v>
      </c>
      <c r="D359" t="inlineStr">
        <is>
          <t>NORRBOTTENS LÄN</t>
        </is>
      </c>
      <c r="E359" t="inlineStr">
        <is>
          <t>BODEN</t>
        </is>
      </c>
      <c r="G359" t="n">
        <v>7.9</v>
      </c>
      <c r="H359" t="n">
        <v>0</v>
      </c>
      <c r="I359" t="n">
        <v>0</v>
      </c>
      <c r="J359" t="n">
        <v>0</v>
      </c>
      <c r="K359" t="n">
        <v>0</v>
      </c>
      <c r="L359" t="n">
        <v>0</v>
      </c>
      <c r="M359" t="n">
        <v>0</v>
      </c>
      <c r="N359" t="n">
        <v>0</v>
      </c>
      <c r="O359" t="n">
        <v>0</v>
      </c>
      <c r="P359" t="n">
        <v>0</v>
      </c>
      <c r="Q359" t="n">
        <v>0</v>
      </c>
      <c r="R359" s="2" t="inlineStr"/>
    </row>
    <row r="360" ht="15" customHeight="1">
      <c r="A360" t="inlineStr">
        <is>
          <t>A 59028-2022</t>
        </is>
      </c>
      <c r="B360" s="1" t="n">
        <v>44903.92694444444</v>
      </c>
      <c r="C360" s="1" t="n">
        <v>45905</v>
      </c>
      <c r="D360" t="inlineStr">
        <is>
          <t>NORRBOTTENS LÄN</t>
        </is>
      </c>
      <c r="E360" t="inlineStr">
        <is>
          <t>BODEN</t>
        </is>
      </c>
      <c r="G360" t="n">
        <v>16.1</v>
      </c>
      <c r="H360" t="n">
        <v>0</v>
      </c>
      <c r="I360" t="n">
        <v>0</v>
      </c>
      <c r="J360" t="n">
        <v>0</v>
      </c>
      <c r="K360" t="n">
        <v>0</v>
      </c>
      <c r="L360" t="n">
        <v>0</v>
      </c>
      <c r="M360" t="n">
        <v>0</v>
      </c>
      <c r="N360" t="n">
        <v>0</v>
      </c>
      <c r="O360" t="n">
        <v>0</v>
      </c>
      <c r="P360" t="n">
        <v>0</v>
      </c>
      <c r="Q360" t="n">
        <v>0</v>
      </c>
      <c r="R360" s="2" t="inlineStr"/>
    </row>
    <row r="361" ht="15" customHeight="1">
      <c r="A361" t="inlineStr">
        <is>
          <t>A 68560-2021</t>
        </is>
      </c>
      <c r="B361" s="1" t="n">
        <v>44529</v>
      </c>
      <c r="C361" s="1" t="n">
        <v>45905</v>
      </c>
      <c r="D361" t="inlineStr">
        <is>
          <t>NORRBOTTENS LÄN</t>
        </is>
      </c>
      <c r="E361" t="inlineStr">
        <is>
          <t>BODEN</t>
        </is>
      </c>
      <c r="G361" t="n">
        <v>3.5</v>
      </c>
      <c r="H361" t="n">
        <v>0</v>
      </c>
      <c r="I361" t="n">
        <v>0</v>
      </c>
      <c r="J361" t="n">
        <v>0</v>
      </c>
      <c r="K361" t="n">
        <v>0</v>
      </c>
      <c r="L361" t="n">
        <v>0</v>
      </c>
      <c r="M361" t="n">
        <v>0</v>
      </c>
      <c r="N361" t="n">
        <v>0</v>
      </c>
      <c r="O361" t="n">
        <v>0</v>
      </c>
      <c r="P361" t="n">
        <v>0</v>
      </c>
      <c r="Q361" t="n">
        <v>0</v>
      </c>
      <c r="R361" s="2" t="inlineStr"/>
    </row>
    <row r="362" ht="15" customHeight="1">
      <c r="A362" t="inlineStr">
        <is>
          <t>A 68565-2021</t>
        </is>
      </c>
      <c r="B362" s="1" t="n">
        <v>44529</v>
      </c>
      <c r="C362" s="1" t="n">
        <v>45905</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33289-2024</t>
        </is>
      </c>
      <c r="B363" s="1" t="n">
        <v>45518</v>
      </c>
      <c r="C363" s="1" t="n">
        <v>45905</v>
      </c>
      <c r="D363" t="inlineStr">
        <is>
          <t>NORRBOTTENS LÄN</t>
        </is>
      </c>
      <c r="E363" t="inlineStr">
        <is>
          <t>BODEN</t>
        </is>
      </c>
      <c r="G363" t="n">
        <v>3</v>
      </c>
      <c r="H363" t="n">
        <v>0</v>
      </c>
      <c r="I363" t="n">
        <v>0</v>
      </c>
      <c r="J363" t="n">
        <v>0</v>
      </c>
      <c r="K363" t="n">
        <v>0</v>
      </c>
      <c r="L363" t="n">
        <v>0</v>
      </c>
      <c r="M363" t="n">
        <v>0</v>
      </c>
      <c r="N363" t="n">
        <v>0</v>
      </c>
      <c r="O363" t="n">
        <v>0</v>
      </c>
      <c r="P363" t="n">
        <v>0</v>
      </c>
      <c r="Q363" t="n">
        <v>0</v>
      </c>
      <c r="R363" s="2" t="inlineStr"/>
    </row>
    <row r="364" ht="15" customHeight="1">
      <c r="A364" t="inlineStr">
        <is>
          <t>A 16965-2024</t>
        </is>
      </c>
      <c r="B364" s="1" t="n">
        <v>45411</v>
      </c>
      <c r="C364" s="1" t="n">
        <v>45905</v>
      </c>
      <c r="D364" t="inlineStr">
        <is>
          <t>NORRBOTTENS LÄN</t>
        </is>
      </c>
      <c r="E364" t="inlineStr">
        <is>
          <t>BODEN</t>
        </is>
      </c>
      <c r="G364" t="n">
        <v>2.3</v>
      </c>
      <c r="H364" t="n">
        <v>0</v>
      </c>
      <c r="I364" t="n">
        <v>0</v>
      </c>
      <c r="J364" t="n">
        <v>0</v>
      </c>
      <c r="K364" t="n">
        <v>0</v>
      </c>
      <c r="L364" t="n">
        <v>0</v>
      </c>
      <c r="M364" t="n">
        <v>0</v>
      </c>
      <c r="N364" t="n">
        <v>0</v>
      </c>
      <c r="O364" t="n">
        <v>0</v>
      </c>
      <c r="P364" t="n">
        <v>0</v>
      </c>
      <c r="Q364" t="n">
        <v>0</v>
      </c>
      <c r="R364" s="2" t="inlineStr"/>
    </row>
    <row r="365" ht="15" customHeight="1">
      <c r="A365" t="inlineStr">
        <is>
          <t>A 2426-2024</t>
        </is>
      </c>
      <c r="B365" s="1" t="n">
        <v>45310.9390162037</v>
      </c>
      <c r="C365" s="1" t="n">
        <v>45905</v>
      </c>
      <c r="D365" t="inlineStr">
        <is>
          <t>NORRBOTTENS LÄN</t>
        </is>
      </c>
      <c r="E365" t="inlineStr">
        <is>
          <t>BODEN</t>
        </is>
      </c>
      <c r="F365" t="inlineStr">
        <is>
          <t>SCA</t>
        </is>
      </c>
      <c r="G365" t="n">
        <v>3.3</v>
      </c>
      <c r="H365" t="n">
        <v>0</v>
      </c>
      <c r="I365" t="n">
        <v>0</v>
      </c>
      <c r="J365" t="n">
        <v>0</v>
      </c>
      <c r="K365" t="n">
        <v>0</v>
      </c>
      <c r="L365" t="n">
        <v>0</v>
      </c>
      <c r="M365" t="n">
        <v>0</v>
      </c>
      <c r="N365" t="n">
        <v>0</v>
      </c>
      <c r="O365" t="n">
        <v>0</v>
      </c>
      <c r="P365" t="n">
        <v>0</v>
      </c>
      <c r="Q365" t="n">
        <v>0</v>
      </c>
      <c r="R365" s="2" t="inlineStr"/>
    </row>
    <row r="366" ht="15" customHeight="1">
      <c r="A366" t="inlineStr">
        <is>
          <t>A 24733-2025</t>
        </is>
      </c>
      <c r="B366" s="1" t="n">
        <v>45799.34436342592</v>
      </c>
      <c r="C366" s="1" t="n">
        <v>45905</v>
      </c>
      <c r="D366" t="inlineStr">
        <is>
          <t>NORRBOTTENS LÄN</t>
        </is>
      </c>
      <c r="E366" t="inlineStr">
        <is>
          <t>BODEN</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24738-2025</t>
        </is>
      </c>
      <c r="B367" s="1" t="n">
        <v>45799.34511574074</v>
      </c>
      <c r="C367" s="1" t="n">
        <v>45905</v>
      </c>
      <c r="D367" t="inlineStr">
        <is>
          <t>NORRBOTTENS LÄN</t>
        </is>
      </c>
      <c r="E367" t="inlineStr">
        <is>
          <t>BODEN</t>
        </is>
      </c>
      <c r="F367" t="inlineStr">
        <is>
          <t>SCA</t>
        </is>
      </c>
      <c r="G367" t="n">
        <v>5.1</v>
      </c>
      <c r="H367" t="n">
        <v>0</v>
      </c>
      <c r="I367" t="n">
        <v>0</v>
      </c>
      <c r="J367" t="n">
        <v>0</v>
      </c>
      <c r="K367" t="n">
        <v>0</v>
      </c>
      <c r="L367" t="n">
        <v>0</v>
      </c>
      <c r="M367" t="n">
        <v>0</v>
      </c>
      <c r="N367" t="n">
        <v>0</v>
      </c>
      <c r="O367" t="n">
        <v>0</v>
      </c>
      <c r="P367" t="n">
        <v>0</v>
      </c>
      <c r="Q367" t="n">
        <v>0</v>
      </c>
      <c r="R367" s="2" t="inlineStr"/>
    </row>
    <row r="368" ht="15" customHeight="1">
      <c r="A368" t="inlineStr">
        <is>
          <t>A 5071-2025</t>
        </is>
      </c>
      <c r="B368" s="1" t="n">
        <v>45691.49005787037</v>
      </c>
      <c r="C368" s="1" t="n">
        <v>45905</v>
      </c>
      <c r="D368" t="inlineStr">
        <is>
          <t>NORRBOTTENS LÄN</t>
        </is>
      </c>
      <c r="E368" t="inlineStr">
        <is>
          <t>BODEN</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62137-2024</t>
        </is>
      </c>
      <c r="B369" s="1" t="n">
        <v>45646</v>
      </c>
      <c r="C369" s="1" t="n">
        <v>45905</v>
      </c>
      <c r="D369" t="inlineStr">
        <is>
          <t>NORRBOTTENS LÄN</t>
        </is>
      </c>
      <c r="E369" t="inlineStr">
        <is>
          <t>BODEN</t>
        </is>
      </c>
      <c r="G369" t="n">
        <v>0.9</v>
      </c>
      <c r="H369" t="n">
        <v>0</v>
      </c>
      <c r="I369" t="n">
        <v>0</v>
      </c>
      <c r="J369" t="n">
        <v>0</v>
      </c>
      <c r="K369" t="n">
        <v>0</v>
      </c>
      <c r="L369" t="n">
        <v>0</v>
      </c>
      <c r="M369" t="n">
        <v>0</v>
      </c>
      <c r="N369" t="n">
        <v>0</v>
      </c>
      <c r="O369" t="n">
        <v>0</v>
      </c>
      <c r="P369" t="n">
        <v>0</v>
      </c>
      <c r="Q369" t="n">
        <v>0</v>
      </c>
      <c r="R369" s="2" t="inlineStr"/>
    </row>
    <row r="370" ht="15" customHeight="1">
      <c r="A370" t="inlineStr">
        <is>
          <t>A 54240-2022</t>
        </is>
      </c>
      <c r="B370" s="1" t="n">
        <v>44881</v>
      </c>
      <c r="C370" s="1" t="n">
        <v>45905</v>
      </c>
      <c r="D370" t="inlineStr">
        <is>
          <t>NORRBOTTENS LÄN</t>
        </is>
      </c>
      <c r="E370" t="inlineStr">
        <is>
          <t>BODEN</t>
        </is>
      </c>
      <c r="G370" t="n">
        <v>1.1</v>
      </c>
      <c r="H370" t="n">
        <v>0</v>
      </c>
      <c r="I370" t="n">
        <v>0</v>
      </c>
      <c r="J370" t="n">
        <v>0</v>
      </c>
      <c r="K370" t="n">
        <v>0</v>
      </c>
      <c r="L370" t="n">
        <v>0</v>
      </c>
      <c r="M370" t="n">
        <v>0</v>
      </c>
      <c r="N370" t="n">
        <v>0</v>
      </c>
      <c r="O370" t="n">
        <v>0</v>
      </c>
      <c r="P370" t="n">
        <v>0</v>
      </c>
      <c r="Q370" t="n">
        <v>0</v>
      </c>
      <c r="R370" s="2" t="inlineStr"/>
    </row>
    <row r="371" ht="15" customHeight="1">
      <c r="A371" t="inlineStr">
        <is>
          <t>A 61583-2024</t>
        </is>
      </c>
      <c r="B371" s="1" t="n">
        <v>45646.62667824074</v>
      </c>
      <c r="C371" s="1" t="n">
        <v>45905</v>
      </c>
      <c r="D371" t="inlineStr">
        <is>
          <t>NORRBOTTENS LÄN</t>
        </is>
      </c>
      <c r="E371" t="inlineStr">
        <is>
          <t>BODEN</t>
        </is>
      </c>
      <c r="G371" t="n">
        <v>1.4</v>
      </c>
      <c r="H371" t="n">
        <v>0</v>
      </c>
      <c r="I371" t="n">
        <v>0</v>
      </c>
      <c r="J371" t="n">
        <v>0</v>
      </c>
      <c r="K371" t="n">
        <v>0</v>
      </c>
      <c r="L371" t="n">
        <v>0</v>
      </c>
      <c r="M371" t="n">
        <v>0</v>
      </c>
      <c r="N371" t="n">
        <v>0</v>
      </c>
      <c r="O371" t="n">
        <v>0</v>
      </c>
      <c r="P371" t="n">
        <v>0</v>
      </c>
      <c r="Q371" t="n">
        <v>0</v>
      </c>
      <c r="R371" s="2" t="inlineStr"/>
    </row>
    <row r="372" ht="15" customHeight="1">
      <c r="A372" t="inlineStr">
        <is>
          <t>A 61587-2024</t>
        </is>
      </c>
      <c r="B372" s="1" t="n">
        <v>45646.62850694444</v>
      </c>
      <c r="C372" s="1" t="n">
        <v>45905</v>
      </c>
      <c r="D372" t="inlineStr">
        <is>
          <t>NORRBOTTENS LÄN</t>
        </is>
      </c>
      <c r="E372" t="inlineStr">
        <is>
          <t>BODEN</t>
        </is>
      </c>
      <c r="G372" t="n">
        <v>2.9</v>
      </c>
      <c r="H372" t="n">
        <v>0</v>
      </c>
      <c r="I372" t="n">
        <v>0</v>
      </c>
      <c r="J372" t="n">
        <v>0</v>
      </c>
      <c r="K372" t="n">
        <v>0</v>
      </c>
      <c r="L372" t="n">
        <v>0</v>
      </c>
      <c r="M372" t="n">
        <v>0</v>
      </c>
      <c r="N372" t="n">
        <v>0</v>
      </c>
      <c r="O372" t="n">
        <v>0</v>
      </c>
      <c r="P372" t="n">
        <v>0</v>
      </c>
      <c r="Q372" t="n">
        <v>0</v>
      </c>
      <c r="R372" s="2" t="inlineStr"/>
    </row>
    <row r="373" ht="15" customHeight="1">
      <c r="A373" t="inlineStr">
        <is>
          <t>A 6776-2023</t>
        </is>
      </c>
      <c r="B373" s="1" t="n">
        <v>44966.95085648148</v>
      </c>
      <c r="C373" s="1" t="n">
        <v>45905</v>
      </c>
      <c r="D373" t="inlineStr">
        <is>
          <t>NORRBOTTENS LÄN</t>
        </is>
      </c>
      <c r="E373" t="inlineStr">
        <is>
          <t>BODEN</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25654-2025</t>
        </is>
      </c>
      <c r="B374" s="1" t="n">
        <v>45803.61491898148</v>
      </c>
      <c r="C374" s="1" t="n">
        <v>45905</v>
      </c>
      <c r="D374" t="inlineStr">
        <is>
          <t>NORRBOTTENS LÄN</t>
        </is>
      </c>
      <c r="E374" t="inlineStr">
        <is>
          <t>BODEN</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25692-2025</t>
        </is>
      </c>
      <c r="B375" s="1" t="n">
        <v>45803.66424768518</v>
      </c>
      <c r="C375" s="1" t="n">
        <v>45905</v>
      </c>
      <c r="D375" t="inlineStr">
        <is>
          <t>NORRBOTTENS LÄN</t>
        </is>
      </c>
      <c r="E375" t="inlineStr">
        <is>
          <t>BODEN</t>
        </is>
      </c>
      <c r="F375" t="inlineStr">
        <is>
          <t>Sveaskog</t>
        </is>
      </c>
      <c r="G375" t="n">
        <v>3.6</v>
      </c>
      <c r="H375" t="n">
        <v>0</v>
      </c>
      <c r="I375" t="n">
        <v>0</v>
      </c>
      <c r="J375" t="n">
        <v>0</v>
      </c>
      <c r="K375" t="n">
        <v>0</v>
      </c>
      <c r="L375" t="n">
        <v>0</v>
      </c>
      <c r="M375" t="n">
        <v>0</v>
      </c>
      <c r="N375" t="n">
        <v>0</v>
      </c>
      <c r="O375" t="n">
        <v>0</v>
      </c>
      <c r="P375" t="n">
        <v>0</v>
      </c>
      <c r="Q375" t="n">
        <v>0</v>
      </c>
      <c r="R375" s="2" t="inlineStr"/>
    </row>
    <row r="376" ht="15" customHeight="1">
      <c r="A376" t="inlineStr">
        <is>
          <t>A 25983-2025</t>
        </is>
      </c>
      <c r="B376" s="1" t="n">
        <v>45803</v>
      </c>
      <c r="C376" s="1" t="n">
        <v>45905</v>
      </c>
      <c r="D376" t="inlineStr">
        <is>
          <t>NORRBOTTENS LÄN</t>
        </is>
      </c>
      <c r="E376" t="inlineStr">
        <is>
          <t>BODEN</t>
        </is>
      </c>
      <c r="G376" t="n">
        <v>1.6</v>
      </c>
      <c r="H376" t="n">
        <v>0</v>
      </c>
      <c r="I376" t="n">
        <v>0</v>
      </c>
      <c r="J376" t="n">
        <v>0</v>
      </c>
      <c r="K376" t="n">
        <v>0</v>
      </c>
      <c r="L376" t="n">
        <v>0</v>
      </c>
      <c r="M376" t="n">
        <v>0</v>
      </c>
      <c r="N376" t="n">
        <v>0</v>
      </c>
      <c r="O376" t="n">
        <v>0</v>
      </c>
      <c r="P376" t="n">
        <v>0</v>
      </c>
      <c r="Q376" t="n">
        <v>0</v>
      </c>
      <c r="R376" s="2" t="inlineStr"/>
    </row>
    <row r="377" ht="15" customHeight="1">
      <c r="A377" t="inlineStr">
        <is>
          <t>A 3833-2025</t>
        </is>
      </c>
      <c r="B377" s="1" t="n">
        <v>45682</v>
      </c>
      <c r="C377" s="1" t="n">
        <v>45905</v>
      </c>
      <c r="D377" t="inlineStr">
        <is>
          <t>NORRBOTTENS LÄN</t>
        </is>
      </c>
      <c r="E377" t="inlineStr">
        <is>
          <t>BODEN</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20029-2025</t>
        </is>
      </c>
      <c r="B378" s="1" t="n">
        <v>45772.35642361111</v>
      </c>
      <c r="C378" s="1" t="n">
        <v>45905</v>
      </c>
      <c r="D378" t="inlineStr">
        <is>
          <t>NORRBOTTENS LÄN</t>
        </is>
      </c>
      <c r="E378" t="inlineStr">
        <is>
          <t>BODEN</t>
        </is>
      </c>
      <c r="G378" t="n">
        <v>2.2</v>
      </c>
      <c r="H378" t="n">
        <v>0</v>
      </c>
      <c r="I378" t="n">
        <v>0</v>
      </c>
      <c r="J378" t="n">
        <v>0</v>
      </c>
      <c r="K378" t="n">
        <v>0</v>
      </c>
      <c r="L378" t="n">
        <v>0</v>
      </c>
      <c r="M378" t="n">
        <v>0</v>
      </c>
      <c r="N378" t="n">
        <v>0</v>
      </c>
      <c r="O378" t="n">
        <v>0</v>
      </c>
      <c r="P378" t="n">
        <v>0</v>
      </c>
      <c r="Q378" t="n">
        <v>0</v>
      </c>
      <c r="R378" s="2" t="inlineStr"/>
    </row>
    <row r="379" ht="15" customHeight="1">
      <c r="A379" t="inlineStr">
        <is>
          <t>A 16180-2025</t>
        </is>
      </c>
      <c r="B379" s="1" t="n">
        <v>45750</v>
      </c>
      <c r="C379" s="1" t="n">
        <v>45905</v>
      </c>
      <c r="D379" t="inlineStr">
        <is>
          <t>NORRBOTTENS LÄN</t>
        </is>
      </c>
      <c r="E379" t="inlineStr">
        <is>
          <t>BODEN</t>
        </is>
      </c>
      <c r="F379" t="inlineStr">
        <is>
          <t>Övriga Aktiebolag</t>
        </is>
      </c>
      <c r="G379" t="n">
        <v>7.1</v>
      </c>
      <c r="H379" t="n">
        <v>0</v>
      </c>
      <c r="I379" t="n">
        <v>0</v>
      </c>
      <c r="J379" t="n">
        <v>0</v>
      </c>
      <c r="K379" t="n">
        <v>0</v>
      </c>
      <c r="L379" t="n">
        <v>0</v>
      </c>
      <c r="M379" t="n">
        <v>0</v>
      </c>
      <c r="N379" t="n">
        <v>0</v>
      </c>
      <c r="O379" t="n">
        <v>0</v>
      </c>
      <c r="P379" t="n">
        <v>0</v>
      </c>
      <c r="Q379" t="n">
        <v>0</v>
      </c>
      <c r="R379" s="2" t="inlineStr"/>
    </row>
    <row r="380" ht="15" customHeight="1">
      <c r="A380" t="inlineStr">
        <is>
          <t>A 11092-2022</t>
        </is>
      </c>
      <c r="B380" s="1" t="n">
        <v>44628</v>
      </c>
      <c r="C380" s="1" t="n">
        <v>45905</v>
      </c>
      <c r="D380" t="inlineStr">
        <is>
          <t>NORRBOTTENS LÄN</t>
        </is>
      </c>
      <c r="E380" t="inlineStr">
        <is>
          <t>BODEN</t>
        </is>
      </c>
      <c r="G380" t="n">
        <v>4.8</v>
      </c>
      <c r="H380" t="n">
        <v>0</v>
      </c>
      <c r="I380" t="n">
        <v>0</v>
      </c>
      <c r="J380" t="n">
        <v>0</v>
      </c>
      <c r="K380" t="n">
        <v>0</v>
      </c>
      <c r="L380" t="n">
        <v>0</v>
      </c>
      <c r="M380" t="n">
        <v>0</v>
      </c>
      <c r="N380" t="n">
        <v>0</v>
      </c>
      <c r="O380" t="n">
        <v>0</v>
      </c>
      <c r="P380" t="n">
        <v>0</v>
      </c>
      <c r="Q380" t="n">
        <v>0</v>
      </c>
      <c r="R380" s="2" t="inlineStr"/>
    </row>
    <row r="381" ht="15" customHeight="1">
      <c r="A381" t="inlineStr">
        <is>
          <t>A 25767-2025</t>
        </is>
      </c>
      <c r="B381" s="1" t="n">
        <v>45804.34440972222</v>
      </c>
      <c r="C381" s="1" t="n">
        <v>45905</v>
      </c>
      <c r="D381" t="inlineStr">
        <is>
          <t>NORRBOTTENS LÄN</t>
        </is>
      </c>
      <c r="E381" t="inlineStr">
        <is>
          <t>BODEN</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25839-2025</t>
        </is>
      </c>
      <c r="B382" s="1" t="n">
        <v>45804.45221064815</v>
      </c>
      <c r="C382" s="1" t="n">
        <v>45905</v>
      </c>
      <c r="D382" t="inlineStr">
        <is>
          <t>NORRBOTTENS LÄN</t>
        </is>
      </c>
      <c r="E382" t="inlineStr">
        <is>
          <t>BODEN</t>
        </is>
      </c>
      <c r="G382" t="n">
        <v>1.7</v>
      </c>
      <c r="H382" t="n">
        <v>0</v>
      </c>
      <c r="I382" t="n">
        <v>0</v>
      </c>
      <c r="J382" t="n">
        <v>0</v>
      </c>
      <c r="K382" t="n">
        <v>0</v>
      </c>
      <c r="L382" t="n">
        <v>0</v>
      </c>
      <c r="M382" t="n">
        <v>0</v>
      </c>
      <c r="N382" t="n">
        <v>0</v>
      </c>
      <c r="O382" t="n">
        <v>0</v>
      </c>
      <c r="P382" t="n">
        <v>0</v>
      </c>
      <c r="Q382" t="n">
        <v>0</v>
      </c>
      <c r="R382" s="2" t="inlineStr"/>
    </row>
    <row r="383" ht="15" customHeight="1">
      <c r="A383" t="inlineStr">
        <is>
          <t>A 41957-2024</t>
        </is>
      </c>
      <c r="B383" s="1" t="n">
        <v>45561.5891087963</v>
      </c>
      <c r="C383" s="1" t="n">
        <v>45905</v>
      </c>
      <c r="D383" t="inlineStr">
        <is>
          <t>NORRBOTTENS LÄN</t>
        </is>
      </c>
      <c r="E383" t="inlineStr">
        <is>
          <t>BODEN</t>
        </is>
      </c>
      <c r="G383" t="n">
        <v>0.8</v>
      </c>
      <c r="H383" t="n">
        <v>0</v>
      </c>
      <c r="I383" t="n">
        <v>0</v>
      </c>
      <c r="J383" t="n">
        <v>0</v>
      </c>
      <c r="K383" t="n">
        <v>0</v>
      </c>
      <c r="L383" t="n">
        <v>0</v>
      </c>
      <c r="M383" t="n">
        <v>0</v>
      </c>
      <c r="N383" t="n">
        <v>0</v>
      </c>
      <c r="O383" t="n">
        <v>0</v>
      </c>
      <c r="P383" t="n">
        <v>0</v>
      </c>
      <c r="Q383" t="n">
        <v>0</v>
      </c>
      <c r="R383" s="2" t="inlineStr"/>
    </row>
    <row r="384" ht="15" customHeight="1">
      <c r="A384" t="inlineStr">
        <is>
          <t>A 33697-2023</t>
        </is>
      </c>
      <c r="B384" s="1" t="n">
        <v>45132</v>
      </c>
      <c r="C384" s="1" t="n">
        <v>45905</v>
      </c>
      <c r="D384" t="inlineStr">
        <is>
          <t>NORRBOTTENS LÄN</t>
        </is>
      </c>
      <c r="E384" t="inlineStr">
        <is>
          <t>BODEN</t>
        </is>
      </c>
      <c r="G384" t="n">
        <v>4.5</v>
      </c>
      <c r="H384" t="n">
        <v>0</v>
      </c>
      <c r="I384" t="n">
        <v>0</v>
      </c>
      <c r="J384" t="n">
        <v>0</v>
      </c>
      <c r="K384" t="n">
        <v>0</v>
      </c>
      <c r="L384" t="n">
        <v>0</v>
      </c>
      <c r="M384" t="n">
        <v>0</v>
      </c>
      <c r="N384" t="n">
        <v>0</v>
      </c>
      <c r="O384" t="n">
        <v>0</v>
      </c>
      <c r="P384" t="n">
        <v>0</v>
      </c>
      <c r="Q384" t="n">
        <v>0</v>
      </c>
      <c r="R384" s="2" t="inlineStr"/>
    </row>
    <row r="385" ht="15" customHeight="1">
      <c r="A385" t="inlineStr">
        <is>
          <t>A 32347-2024</t>
        </is>
      </c>
      <c r="B385" s="1" t="n">
        <v>45512.53328703704</v>
      </c>
      <c r="C385" s="1" t="n">
        <v>45905</v>
      </c>
      <c r="D385" t="inlineStr">
        <is>
          <t>NORRBOTTENS LÄN</t>
        </is>
      </c>
      <c r="E385" t="inlineStr">
        <is>
          <t>BODEN</t>
        </is>
      </c>
      <c r="G385" t="n">
        <v>0.3</v>
      </c>
      <c r="H385" t="n">
        <v>0</v>
      </c>
      <c r="I385" t="n">
        <v>0</v>
      </c>
      <c r="J385" t="n">
        <v>0</v>
      </c>
      <c r="K385" t="n">
        <v>0</v>
      </c>
      <c r="L385" t="n">
        <v>0</v>
      </c>
      <c r="M385" t="n">
        <v>0</v>
      </c>
      <c r="N385" t="n">
        <v>0</v>
      </c>
      <c r="O385" t="n">
        <v>0</v>
      </c>
      <c r="P385" t="n">
        <v>0</v>
      </c>
      <c r="Q385" t="n">
        <v>0</v>
      </c>
      <c r="R385" s="2" t="inlineStr"/>
    </row>
    <row r="386" ht="15" customHeight="1">
      <c r="A386" t="inlineStr">
        <is>
          <t>A 14743-2023</t>
        </is>
      </c>
      <c r="B386" s="1" t="n">
        <v>45013</v>
      </c>
      <c r="C386" s="1" t="n">
        <v>45905</v>
      </c>
      <c r="D386" t="inlineStr">
        <is>
          <t>NORRBOTTENS LÄN</t>
        </is>
      </c>
      <c r="E386" t="inlineStr">
        <is>
          <t>BODEN</t>
        </is>
      </c>
      <c r="G386" t="n">
        <v>2.2</v>
      </c>
      <c r="H386" t="n">
        <v>0</v>
      </c>
      <c r="I386" t="n">
        <v>0</v>
      </c>
      <c r="J386" t="n">
        <v>0</v>
      </c>
      <c r="K386" t="n">
        <v>0</v>
      </c>
      <c r="L386" t="n">
        <v>0</v>
      </c>
      <c r="M386" t="n">
        <v>0</v>
      </c>
      <c r="N386" t="n">
        <v>0</v>
      </c>
      <c r="O386" t="n">
        <v>0</v>
      </c>
      <c r="P386" t="n">
        <v>0</v>
      </c>
      <c r="Q386" t="n">
        <v>0</v>
      </c>
      <c r="R386" s="2" t="inlineStr"/>
    </row>
    <row r="387" ht="15" customHeight="1">
      <c r="A387" t="inlineStr">
        <is>
          <t>A 26010-2025</t>
        </is>
      </c>
      <c r="B387" s="1" t="n">
        <v>45804</v>
      </c>
      <c r="C387" s="1" t="n">
        <v>45905</v>
      </c>
      <c r="D387" t="inlineStr">
        <is>
          <t>NORRBOTTENS LÄN</t>
        </is>
      </c>
      <c r="E387" t="inlineStr">
        <is>
          <t>BODEN</t>
        </is>
      </c>
      <c r="G387" t="n">
        <v>10.2</v>
      </c>
      <c r="H387" t="n">
        <v>0</v>
      </c>
      <c r="I387" t="n">
        <v>0</v>
      </c>
      <c r="J387" t="n">
        <v>0</v>
      </c>
      <c r="K387" t="n">
        <v>0</v>
      </c>
      <c r="L387" t="n">
        <v>0</v>
      </c>
      <c r="M387" t="n">
        <v>0</v>
      </c>
      <c r="N387" t="n">
        <v>0</v>
      </c>
      <c r="O387" t="n">
        <v>0</v>
      </c>
      <c r="P387" t="n">
        <v>0</v>
      </c>
      <c r="Q387" t="n">
        <v>0</v>
      </c>
      <c r="R387" s="2" t="inlineStr"/>
    </row>
    <row r="388" ht="15" customHeight="1">
      <c r="A388" t="inlineStr">
        <is>
          <t>A 48431-2024</t>
        </is>
      </c>
      <c r="B388" s="1" t="n">
        <v>45590</v>
      </c>
      <c r="C388" s="1" t="n">
        <v>45905</v>
      </c>
      <c r="D388" t="inlineStr">
        <is>
          <t>NORRBOTTENS LÄN</t>
        </is>
      </c>
      <c r="E388" t="inlineStr">
        <is>
          <t>BODEN</t>
        </is>
      </c>
      <c r="G388" t="n">
        <v>2.4</v>
      </c>
      <c r="H388" t="n">
        <v>0</v>
      </c>
      <c r="I388" t="n">
        <v>0</v>
      </c>
      <c r="J388" t="n">
        <v>0</v>
      </c>
      <c r="K388" t="n">
        <v>0</v>
      </c>
      <c r="L388" t="n">
        <v>0</v>
      </c>
      <c r="M388" t="n">
        <v>0</v>
      </c>
      <c r="N388" t="n">
        <v>0</v>
      </c>
      <c r="O388" t="n">
        <v>0</v>
      </c>
      <c r="P388" t="n">
        <v>0</v>
      </c>
      <c r="Q388" t="n">
        <v>0</v>
      </c>
      <c r="R388" s="2" t="inlineStr"/>
    </row>
    <row r="389" ht="15" customHeight="1">
      <c r="A389" t="inlineStr">
        <is>
          <t>A 61260-2023</t>
        </is>
      </c>
      <c r="B389" s="1" t="n">
        <v>45264.48927083334</v>
      </c>
      <c r="C389" s="1" t="n">
        <v>45905</v>
      </c>
      <c r="D389" t="inlineStr">
        <is>
          <t>NORRBOTTENS LÄN</t>
        </is>
      </c>
      <c r="E389" t="inlineStr">
        <is>
          <t>BODEN</t>
        </is>
      </c>
      <c r="G389" t="n">
        <v>2.1</v>
      </c>
      <c r="H389" t="n">
        <v>0</v>
      </c>
      <c r="I389" t="n">
        <v>0</v>
      </c>
      <c r="J389" t="n">
        <v>0</v>
      </c>
      <c r="K389" t="n">
        <v>0</v>
      </c>
      <c r="L389" t="n">
        <v>0</v>
      </c>
      <c r="M389" t="n">
        <v>0</v>
      </c>
      <c r="N389" t="n">
        <v>0</v>
      </c>
      <c r="O389" t="n">
        <v>0</v>
      </c>
      <c r="P389" t="n">
        <v>0</v>
      </c>
      <c r="Q389" t="n">
        <v>0</v>
      </c>
      <c r="R389" s="2" t="inlineStr"/>
    </row>
    <row r="390" ht="15" customHeight="1">
      <c r="A390" t="inlineStr">
        <is>
          <t>A 41485-2024</t>
        </is>
      </c>
      <c r="B390" s="1" t="n">
        <v>45560.44894675926</v>
      </c>
      <c r="C390" s="1" t="n">
        <v>45905</v>
      </c>
      <c r="D390" t="inlineStr">
        <is>
          <t>NORRBOTTENS LÄN</t>
        </is>
      </c>
      <c r="E390" t="inlineStr">
        <is>
          <t>BODEN</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52246-2024</t>
        </is>
      </c>
      <c r="B391" s="1" t="n">
        <v>45608</v>
      </c>
      <c r="C391" s="1" t="n">
        <v>45905</v>
      </c>
      <c r="D391" t="inlineStr">
        <is>
          <t>NORRBOTTENS LÄN</t>
        </is>
      </c>
      <c r="E391" t="inlineStr">
        <is>
          <t>BODEN</t>
        </is>
      </c>
      <c r="G391" t="n">
        <v>7.9</v>
      </c>
      <c r="H391" t="n">
        <v>0</v>
      </c>
      <c r="I391" t="n">
        <v>0</v>
      </c>
      <c r="J391" t="n">
        <v>0</v>
      </c>
      <c r="K391" t="n">
        <v>0</v>
      </c>
      <c r="L391" t="n">
        <v>0</v>
      </c>
      <c r="M391" t="n">
        <v>0</v>
      </c>
      <c r="N391" t="n">
        <v>0</v>
      </c>
      <c r="O391" t="n">
        <v>0</v>
      </c>
      <c r="P391" t="n">
        <v>0</v>
      </c>
      <c r="Q391" t="n">
        <v>0</v>
      </c>
      <c r="R391" s="2" t="inlineStr"/>
    </row>
    <row r="392" ht="15" customHeight="1">
      <c r="A392" t="inlineStr">
        <is>
          <t>A 52247-2024</t>
        </is>
      </c>
      <c r="B392" s="1" t="n">
        <v>45608</v>
      </c>
      <c r="C392" s="1" t="n">
        <v>45905</v>
      </c>
      <c r="D392" t="inlineStr">
        <is>
          <t>NORRBOTTENS LÄN</t>
        </is>
      </c>
      <c r="E392" t="inlineStr">
        <is>
          <t>BODEN</t>
        </is>
      </c>
      <c r="G392" t="n">
        <v>5</v>
      </c>
      <c r="H392" t="n">
        <v>0</v>
      </c>
      <c r="I392" t="n">
        <v>0</v>
      </c>
      <c r="J392" t="n">
        <v>0</v>
      </c>
      <c r="K392" t="n">
        <v>0</v>
      </c>
      <c r="L392" t="n">
        <v>0</v>
      </c>
      <c r="M392" t="n">
        <v>0</v>
      </c>
      <c r="N392" t="n">
        <v>0</v>
      </c>
      <c r="O392" t="n">
        <v>0</v>
      </c>
      <c r="P392" t="n">
        <v>0</v>
      </c>
      <c r="Q392" t="n">
        <v>0</v>
      </c>
      <c r="R392" s="2" t="inlineStr"/>
    </row>
    <row r="393" ht="15" customHeight="1">
      <c r="A393" t="inlineStr">
        <is>
          <t>A 46900-2024</t>
        </is>
      </c>
      <c r="B393" s="1" t="n">
        <v>45583</v>
      </c>
      <c r="C393" s="1" t="n">
        <v>45905</v>
      </c>
      <c r="D393" t="inlineStr">
        <is>
          <t>NORRBOTTENS LÄN</t>
        </is>
      </c>
      <c r="E393" t="inlineStr">
        <is>
          <t>BODEN</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46903-2024</t>
        </is>
      </c>
      <c r="B394" s="1" t="n">
        <v>45583.69863425926</v>
      </c>
      <c r="C394" s="1" t="n">
        <v>45905</v>
      </c>
      <c r="D394" t="inlineStr">
        <is>
          <t>NORRBOTTENS LÄN</t>
        </is>
      </c>
      <c r="E394" t="inlineStr">
        <is>
          <t>BODEN</t>
        </is>
      </c>
      <c r="F394" t="inlineStr">
        <is>
          <t>SCA</t>
        </is>
      </c>
      <c r="G394" t="n">
        <v>21.2</v>
      </c>
      <c r="H394" t="n">
        <v>0</v>
      </c>
      <c r="I394" t="n">
        <v>0</v>
      </c>
      <c r="J394" t="n">
        <v>0</v>
      </c>
      <c r="K394" t="n">
        <v>0</v>
      </c>
      <c r="L394" t="n">
        <v>0</v>
      </c>
      <c r="M394" t="n">
        <v>0</v>
      </c>
      <c r="N394" t="n">
        <v>0</v>
      </c>
      <c r="O394" t="n">
        <v>0</v>
      </c>
      <c r="P394" t="n">
        <v>0</v>
      </c>
      <c r="Q394" t="n">
        <v>0</v>
      </c>
      <c r="R394" s="2" t="inlineStr"/>
    </row>
    <row r="395" ht="15" customHeight="1">
      <c r="A395" t="inlineStr">
        <is>
          <t>A 52248-2024</t>
        </is>
      </c>
      <c r="B395" s="1" t="n">
        <v>45608</v>
      </c>
      <c r="C395" s="1" t="n">
        <v>45905</v>
      </c>
      <c r="D395" t="inlineStr">
        <is>
          <t>NORRBOTTENS LÄN</t>
        </is>
      </c>
      <c r="E395" t="inlineStr">
        <is>
          <t>BODEN</t>
        </is>
      </c>
      <c r="G395" t="n">
        <v>1.2</v>
      </c>
      <c r="H395" t="n">
        <v>0</v>
      </c>
      <c r="I395" t="n">
        <v>0</v>
      </c>
      <c r="J395" t="n">
        <v>0</v>
      </c>
      <c r="K395" t="n">
        <v>0</v>
      </c>
      <c r="L395" t="n">
        <v>0</v>
      </c>
      <c r="M395" t="n">
        <v>0</v>
      </c>
      <c r="N395" t="n">
        <v>0</v>
      </c>
      <c r="O395" t="n">
        <v>0</v>
      </c>
      <c r="P395" t="n">
        <v>0</v>
      </c>
      <c r="Q395" t="n">
        <v>0</v>
      </c>
      <c r="R395" s="2" t="inlineStr"/>
    </row>
    <row r="396" ht="15" customHeight="1">
      <c r="A396" t="inlineStr">
        <is>
          <t>A 8170-2025</t>
        </is>
      </c>
      <c r="B396" s="1" t="n">
        <v>45708.36651620371</v>
      </c>
      <c r="C396" s="1" t="n">
        <v>45905</v>
      </c>
      <c r="D396" t="inlineStr">
        <is>
          <t>NORRBOTTENS LÄN</t>
        </is>
      </c>
      <c r="E396" t="inlineStr">
        <is>
          <t>BODEN</t>
        </is>
      </c>
      <c r="F396" t="inlineStr">
        <is>
          <t>Övriga Aktiebolag</t>
        </is>
      </c>
      <c r="G396" t="n">
        <v>15</v>
      </c>
      <c r="H396" t="n">
        <v>0</v>
      </c>
      <c r="I396" t="n">
        <v>0</v>
      </c>
      <c r="J396" t="n">
        <v>0</v>
      </c>
      <c r="K396" t="n">
        <v>0</v>
      </c>
      <c r="L396" t="n">
        <v>0</v>
      </c>
      <c r="M396" t="n">
        <v>0</v>
      </c>
      <c r="N396" t="n">
        <v>0</v>
      </c>
      <c r="O396" t="n">
        <v>0</v>
      </c>
      <c r="P396" t="n">
        <v>0</v>
      </c>
      <c r="Q396" t="n">
        <v>0</v>
      </c>
      <c r="R396" s="2" t="inlineStr"/>
    </row>
    <row r="397" ht="15" customHeight="1">
      <c r="A397" t="inlineStr">
        <is>
          <t>A 61921-2024</t>
        </is>
      </c>
      <c r="B397" s="1" t="n">
        <v>45653</v>
      </c>
      <c r="C397" s="1" t="n">
        <v>45905</v>
      </c>
      <c r="D397" t="inlineStr">
        <is>
          <t>NORRBOTTENS LÄN</t>
        </is>
      </c>
      <c r="E397" t="inlineStr">
        <is>
          <t>BODEN</t>
        </is>
      </c>
      <c r="G397" t="n">
        <v>47.3</v>
      </c>
      <c r="H397" t="n">
        <v>0</v>
      </c>
      <c r="I397" t="n">
        <v>0</v>
      </c>
      <c r="J397" t="n">
        <v>0</v>
      </c>
      <c r="K397" t="n">
        <v>0</v>
      </c>
      <c r="L397" t="n">
        <v>0</v>
      </c>
      <c r="M397" t="n">
        <v>0</v>
      </c>
      <c r="N397" t="n">
        <v>0</v>
      </c>
      <c r="O397" t="n">
        <v>0</v>
      </c>
      <c r="P397" t="n">
        <v>0</v>
      </c>
      <c r="Q397" t="n">
        <v>0</v>
      </c>
      <c r="R397" s="2" t="inlineStr"/>
    </row>
    <row r="398" ht="15" customHeight="1">
      <c r="A398" t="inlineStr">
        <is>
          <t>A 48950-2022</t>
        </is>
      </c>
      <c r="B398" s="1" t="n">
        <v>44859.95792824074</v>
      </c>
      <c r="C398" s="1" t="n">
        <v>45905</v>
      </c>
      <c r="D398" t="inlineStr">
        <is>
          <t>NORRBOTTENS LÄN</t>
        </is>
      </c>
      <c r="E398" t="inlineStr">
        <is>
          <t>BODEN</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61941-2024</t>
        </is>
      </c>
      <c r="B399" s="1" t="n">
        <v>45653</v>
      </c>
      <c r="C399" s="1" t="n">
        <v>45905</v>
      </c>
      <c r="D399" t="inlineStr">
        <is>
          <t>NORRBOTTENS LÄN</t>
        </is>
      </c>
      <c r="E399" t="inlineStr">
        <is>
          <t>BODEN</t>
        </is>
      </c>
      <c r="G399" t="n">
        <v>17.6</v>
      </c>
      <c r="H399" t="n">
        <v>0</v>
      </c>
      <c r="I399" t="n">
        <v>0</v>
      </c>
      <c r="J399" t="n">
        <v>0</v>
      </c>
      <c r="K399" t="n">
        <v>0</v>
      </c>
      <c r="L399" t="n">
        <v>0</v>
      </c>
      <c r="M399" t="n">
        <v>0</v>
      </c>
      <c r="N399" t="n">
        <v>0</v>
      </c>
      <c r="O399" t="n">
        <v>0</v>
      </c>
      <c r="P399" t="n">
        <v>0</v>
      </c>
      <c r="Q399" t="n">
        <v>0</v>
      </c>
      <c r="R399" s="2" t="inlineStr"/>
    </row>
    <row r="400" ht="15" customHeight="1">
      <c r="A400" t="inlineStr">
        <is>
          <t>A 52976-2023</t>
        </is>
      </c>
      <c r="B400" s="1" t="n">
        <v>45226</v>
      </c>
      <c r="C400" s="1" t="n">
        <v>45905</v>
      </c>
      <c r="D400" t="inlineStr">
        <is>
          <t>NORRBOTTENS LÄN</t>
        </is>
      </c>
      <c r="E400" t="inlineStr">
        <is>
          <t>BODEN</t>
        </is>
      </c>
      <c r="F400" t="inlineStr">
        <is>
          <t>Sveaskog</t>
        </is>
      </c>
      <c r="G400" t="n">
        <v>7.5</v>
      </c>
      <c r="H400" t="n">
        <v>0</v>
      </c>
      <c r="I400" t="n">
        <v>0</v>
      </c>
      <c r="J400" t="n">
        <v>0</v>
      </c>
      <c r="K400" t="n">
        <v>0</v>
      </c>
      <c r="L400" t="n">
        <v>0</v>
      </c>
      <c r="M400" t="n">
        <v>0</v>
      </c>
      <c r="N400" t="n">
        <v>0</v>
      </c>
      <c r="O400" t="n">
        <v>0</v>
      </c>
      <c r="P400" t="n">
        <v>0</v>
      </c>
      <c r="Q400" t="n">
        <v>0</v>
      </c>
      <c r="R400" s="2" t="inlineStr"/>
    </row>
    <row r="401" ht="15" customHeight="1">
      <c r="A401" t="inlineStr">
        <is>
          <t>A 49859-2023</t>
        </is>
      </c>
      <c r="B401" s="1" t="n">
        <v>45212</v>
      </c>
      <c r="C401" s="1" t="n">
        <v>45905</v>
      </c>
      <c r="D401" t="inlineStr">
        <is>
          <t>NORRBOTTENS LÄN</t>
        </is>
      </c>
      <c r="E401" t="inlineStr">
        <is>
          <t>BODEN</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4630-2025</t>
        </is>
      </c>
      <c r="B402" s="1" t="n">
        <v>45687</v>
      </c>
      <c r="C402" s="1" t="n">
        <v>45905</v>
      </c>
      <c r="D402" t="inlineStr">
        <is>
          <t>NORRBOTTENS LÄN</t>
        </is>
      </c>
      <c r="E402" t="inlineStr">
        <is>
          <t>BODEN</t>
        </is>
      </c>
      <c r="G402" t="n">
        <v>2.4</v>
      </c>
      <c r="H402" t="n">
        <v>0</v>
      </c>
      <c r="I402" t="n">
        <v>0</v>
      </c>
      <c r="J402" t="n">
        <v>0</v>
      </c>
      <c r="K402" t="n">
        <v>0</v>
      </c>
      <c r="L402" t="n">
        <v>0</v>
      </c>
      <c r="M402" t="n">
        <v>0</v>
      </c>
      <c r="N402" t="n">
        <v>0</v>
      </c>
      <c r="O402" t="n">
        <v>0</v>
      </c>
      <c r="P402" t="n">
        <v>0</v>
      </c>
      <c r="Q402" t="n">
        <v>0</v>
      </c>
      <c r="R402" s="2" t="inlineStr"/>
    </row>
    <row r="403" ht="15" customHeight="1">
      <c r="A403" t="inlineStr">
        <is>
          <t>A 54139-2023</t>
        </is>
      </c>
      <c r="B403" s="1" t="n">
        <v>45232</v>
      </c>
      <c r="C403" s="1" t="n">
        <v>45905</v>
      </c>
      <c r="D403" t="inlineStr">
        <is>
          <t>NORRBOTTENS LÄN</t>
        </is>
      </c>
      <c r="E403" t="inlineStr">
        <is>
          <t>BODEN</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18671-2025</t>
        </is>
      </c>
      <c r="B404" s="1" t="n">
        <v>45763.5946412037</v>
      </c>
      <c r="C404" s="1" t="n">
        <v>45905</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41487-2024</t>
        </is>
      </c>
      <c r="B405" s="1" t="n">
        <v>45560.44918981481</v>
      </c>
      <c r="C405" s="1" t="n">
        <v>45905</v>
      </c>
      <c r="D405" t="inlineStr">
        <is>
          <t>NORRBOTTENS LÄN</t>
        </is>
      </c>
      <c r="E405" t="inlineStr">
        <is>
          <t>BODEN</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19590-2025</t>
        </is>
      </c>
      <c r="B406" s="1" t="n">
        <v>45770</v>
      </c>
      <c r="C406" s="1" t="n">
        <v>45905</v>
      </c>
      <c r="D406" t="inlineStr">
        <is>
          <t>NORRBOTTENS LÄN</t>
        </is>
      </c>
      <c r="E406" t="inlineStr">
        <is>
          <t>BODEN</t>
        </is>
      </c>
      <c r="G406" t="n">
        <v>2.1</v>
      </c>
      <c r="H406" t="n">
        <v>0</v>
      </c>
      <c r="I406" t="n">
        <v>0</v>
      </c>
      <c r="J406" t="n">
        <v>0</v>
      </c>
      <c r="K406" t="n">
        <v>0</v>
      </c>
      <c r="L406" t="n">
        <v>0</v>
      </c>
      <c r="M406" t="n">
        <v>0</v>
      </c>
      <c r="N406" t="n">
        <v>0</v>
      </c>
      <c r="O406" t="n">
        <v>0</v>
      </c>
      <c r="P406" t="n">
        <v>0</v>
      </c>
      <c r="Q406" t="n">
        <v>0</v>
      </c>
      <c r="R406" s="2" t="inlineStr"/>
    </row>
    <row r="407" ht="15" customHeight="1">
      <c r="A407" t="inlineStr">
        <is>
          <t>A 18910-2025</t>
        </is>
      </c>
      <c r="B407" s="1" t="n">
        <v>45764.46482638889</v>
      </c>
      <c r="C407" s="1" t="n">
        <v>45905</v>
      </c>
      <c r="D407" t="inlineStr">
        <is>
          <t>NORRBOTTENS LÄN</t>
        </is>
      </c>
      <c r="E407" t="inlineStr">
        <is>
          <t>BODEN</t>
        </is>
      </c>
      <c r="G407" t="n">
        <v>2.8</v>
      </c>
      <c r="H407" t="n">
        <v>0</v>
      </c>
      <c r="I407" t="n">
        <v>0</v>
      </c>
      <c r="J407" t="n">
        <v>0</v>
      </c>
      <c r="K407" t="n">
        <v>0</v>
      </c>
      <c r="L407" t="n">
        <v>0</v>
      </c>
      <c r="M407" t="n">
        <v>0</v>
      </c>
      <c r="N407" t="n">
        <v>0</v>
      </c>
      <c r="O407" t="n">
        <v>0</v>
      </c>
      <c r="P407" t="n">
        <v>0</v>
      </c>
      <c r="Q407" t="n">
        <v>0</v>
      </c>
      <c r="R407" s="2" t="inlineStr"/>
    </row>
    <row r="408" ht="15" customHeight="1">
      <c r="A408" t="inlineStr">
        <is>
          <t>A 33915-2024</t>
        </is>
      </c>
      <c r="B408" s="1" t="n">
        <v>45523.38938657408</v>
      </c>
      <c r="C408" s="1" t="n">
        <v>45905</v>
      </c>
      <c r="D408" t="inlineStr">
        <is>
          <t>NORRBOTTENS LÄN</t>
        </is>
      </c>
      <c r="E408" t="inlineStr">
        <is>
          <t>BODEN</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57691-2024</t>
        </is>
      </c>
      <c r="B409" s="1" t="n">
        <v>45630.65877314815</v>
      </c>
      <c r="C409" s="1" t="n">
        <v>45905</v>
      </c>
      <c r="D409" t="inlineStr">
        <is>
          <t>NORRBOTTENS LÄN</t>
        </is>
      </c>
      <c r="E409" t="inlineStr">
        <is>
          <t>BODEN</t>
        </is>
      </c>
      <c r="G409" t="n">
        <v>1.4</v>
      </c>
      <c r="H409" t="n">
        <v>0</v>
      </c>
      <c r="I409" t="n">
        <v>0</v>
      </c>
      <c r="J409" t="n">
        <v>0</v>
      </c>
      <c r="K409" t="n">
        <v>0</v>
      </c>
      <c r="L409" t="n">
        <v>0</v>
      </c>
      <c r="M409" t="n">
        <v>0</v>
      </c>
      <c r="N409" t="n">
        <v>0</v>
      </c>
      <c r="O409" t="n">
        <v>0</v>
      </c>
      <c r="P409" t="n">
        <v>0</v>
      </c>
      <c r="Q409" t="n">
        <v>0</v>
      </c>
      <c r="R409" s="2" t="inlineStr"/>
    </row>
    <row r="410" ht="15" customHeight="1">
      <c r="A410" t="inlineStr">
        <is>
          <t>A 46541-2021</t>
        </is>
      </c>
      <c r="B410" s="1" t="n">
        <v>44445</v>
      </c>
      <c r="C410" s="1" t="n">
        <v>45905</v>
      </c>
      <c r="D410" t="inlineStr">
        <is>
          <t>NORRBOTTENS LÄN</t>
        </is>
      </c>
      <c r="E410" t="inlineStr">
        <is>
          <t>BODEN</t>
        </is>
      </c>
      <c r="G410" t="n">
        <v>0.8</v>
      </c>
      <c r="H410" t="n">
        <v>0</v>
      </c>
      <c r="I410" t="n">
        <v>0</v>
      </c>
      <c r="J410" t="n">
        <v>0</v>
      </c>
      <c r="K410" t="n">
        <v>0</v>
      </c>
      <c r="L410" t="n">
        <v>0</v>
      </c>
      <c r="M410" t="n">
        <v>0</v>
      </c>
      <c r="N410" t="n">
        <v>0</v>
      </c>
      <c r="O410" t="n">
        <v>0</v>
      </c>
      <c r="P410" t="n">
        <v>0</v>
      </c>
      <c r="Q410" t="n">
        <v>0</v>
      </c>
      <c r="R410" s="2" t="inlineStr"/>
    </row>
    <row r="411" ht="15" customHeight="1">
      <c r="A411" t="inlineStr">
        <is>
          <t>A 38652-2024</t>
        </is>
      </c>
      <c r="B411" s="1" t="n">
        <v>45546</v>
      </c>
      <c r="C411" s="1" t="n">
        <v>45905</v>
      </c>
      <c r="D411" t="inlineStr">
        <is>
          <t>NORRBOTTENS LÄN</t>
        </is>
      </c>
      <c r="E411" t="inlineStr">
        <is>
          <t>BODEN</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25735-2024</t>
        </is>
      </c>
      <c r="B412" s="1" t="n">
        <v>45464</v>
      </c>
      <c r="C412" s="1" t="n">
        <v>45905</v>
      </c>
      <c r="D412" t="inlineStr">
        <is>
          <t>NORRBOTTENS LÄN</t>
        </is>
      </c>
      <c r="E412" t="inlineStr">
        <is>
          <t>BODEN</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47424-2024</t>
        </is>
      </c>
      <c r="B413" s="1" t="n">
        <v>45587.49114583333</v>
      </c>
      <c r="C413" s="1" t="n">
        <v>45905</v>
      </c>
      <c r="D413" t="inlineStr">
        <is>
          <t>NORRBOTTENS LÄN</t>
        </is>
      </c>
      <c r="E413" t="inlineStr">
        <is>
          <t>BODEN</t>
        </is>
      </c>
      <c r="G413" t="n">
        <v>1.9</v>
      </c>
      <c r="H413" t="n">
        <v>0</v>
      </c>
      <c r="I413" t="n">
        <v>0</v>
      </c>
      <c r="J413" t="n">
        <v>0</v>
      </c>
      <c r="K413" t="n">
        <v>0</v>
      </c>
      <c r="L413" t="n">
        <v>0</v>
      </c>
      <c r="M413" t="n">
        <v>0</v>
      </c>
      <c r="N413" t="n">
        <v>0</v>
      </c>
      <c r="O413" t="n">
        <v>0</v>
      </c>
      <c r="P413" t="n">
        <v>0</v>
      </c>
      <c r="Q413" t="n">
        <v>0</v>
      </c>
      <c r="R413" s="2" t="inlineStr"/>
    </row>
    <row r="414" ht="15" customHeight="1">
      <c r="A414" t="inlineStr">
        <is>
          <t>A 46901-2024</t>
        </is>
      </c>
      <c r="B414" s="1" t="n">
        <v>45583.69834490741</v>
      </c>
      <c r="C414" s="1" t="n">
        <v>45905</v>
      </c>
      <c r="D414" t="inlineStr">
        <is>
          <t>NORRBOTTENS LÄN</t>
        </is>
      </c>
      <c r="E414" t="inlineStr">
        <is>
          <t>BODEN</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56474-2023</t>
        </is>
      </c>
      <c r="B415" s="1" t="n">
        <v>45243.48854166667</v>
      </c>
      <c r="C415" s="1" t="n">
        <v>45905</v>
      </c>
      <c r="D415" t="inlineStr">
        <is>
          <t>NORRBOTTENS LÄN</t>
        </is>
      </c>
      <c r="E415" t="inlineStr">
        <is>
          <t>BODEN</t>
        </is>
      </c>
      <c r="G415" t="n">
        <v>2.7</v>
      </c>
      <c r="H415" t="n">
        <v>0</v>
      </c>
      <c r="I415" t="n">
        <v>0</v>
      </c>
      <c r="J415" t="n">
        <v>0</v>
      </c>
      <c r="K415" t="n">
        <v>0</v>
      </c>
      <c r="L415" t="n">
        <v>0</v>
      </c>
      <c r="M415" t="n">
        <v>0</v>
      </c>
      <c r="N415" t="n">
        <v>0</v>
      </c>
      <c r="O415" t="n">
        <v>0</v>
      </c>
      <c r="P415" t="n">
        <v>0</v>
      </c>
      <c r="Q415" t="n">
        <v>0</v>
      </c>
      <c r="R415" s="2" t="inlineStr"/>
    </row>
    <row r="416" ht="15" customHeight="1">
      <c r="A416" t="inlineStr">
        <is>
          <t>A 23361-2025</t>
        </is>
      </c>
      <c r="B416" s="1" t="n">
        <v>45791.67759259259</v>
      </c>
      <c r="C416" s="1" t="n">
        <v>45905</v>
      </c>
      <c r="D416" t="inlineStr">
        <is>
          <t>NORRBOTTENS LÄN</t>
        </is>
      </c>
      <c r="E416" t="inlineStr">
        <is>
          <t>BODEN</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61031-2024</t>
        </is>
      </c>
      <c r="B417" s="1" t="n">
        <v>45645.46262731482</v>
      </c>
      <c r="C417" s="1" t="n">
        <v>45905</v>
      </c>
      <c r="D417" t="inlineStr">
        <is>
          <t>NORRBOTTENS LÄN</t>
        </is>
      </c>
      <c r="E417" t="inlineStr">
        <is>
          <t>BODEN</t>
        </is>
      </c>
      <c r="G417" t="n">
        <v>6.3</v>
      </c>
      <c r="H417" t="n">
        <v>0</v>
      </c>
      <c r="I417" t="n">
        <v>0</v>
      </c>
      <c r="J417" t="n">
        <v>0</v>
      </c>
      <c r="K417" t="n">
        <v>0</v>
      </c>
      <c r="L417" t="n">
        <v>0</v>
      </c>
      <c r="M417" t="n">
        <v>0</v>
      </c>
      <c r="N417" t="n">
        <v>0</v>
      </c>
      <c r="O417" t="n">
        <v>0</v>
      </c>
      <c r="P417" t="n">
        <v>0</v>
      </c>
      <c r="Q417" t="n">
        <v>0</v>
      </c>
      <c r="R417" s="2" t="inlineStr"/>
    </row>
    <row r="418" ht="15" customHeight="1">
      <c r="A418" t="inlineStr">
        <is>
          <t>A 19564-2024</t>
        </is>
      </c>
      <c r="B418" s="1" t="n">
        <v>45429</v>
      </c>
      <c r="C418" s="1" t="n">
        <v>45905</v>
      </c>
      <c r="D418" t="inlineStr">
        <is>
          <t>NORRBOTTENS LÄN</t>
        </is>
      </c>
      <c r="E418" t="inlineStr">
        <is>
          <t>BODEN</t>
        </is>
      </c>
      <c r="G418" t="n">
        <v>2.5</v>
      </c>
      <c r="H418" t="n">
        <v>0</v>
      </c>
      <c r="I418" t="n">
        <v>0</v>
      </c>
      <c r="J418" t="n">
        <v>0</v>
      </c>
      <c r="K418" t="n">
        <v>0</v>
      </c>
      <c r="L418" t="n">
        <v>0</v>
      </c>
      <c r="M418" t="n">
        <v>0</v>
      </c>
      <c r="N418" t="n">
        <v>0</v>
      </c>
      <c r="O418" t="n">
        <v>0</v>
      </c>
      <c r="P418" t="n">
        <v>0</v>
      </c>
      <c r="Q418" t="n">
        <v>0</v>
      </c>
      <c r="R418" s="2" t="inlineStr"/>
    </row>
    <row r="419" ht="15" customHeight="1">
      <c r="A419" t="inlineStr">
        <is>
          <t>A 61748-2024</t>
        </is>
      </c>
      <c r="B419" s="1" t="n">
        <v>45649.38905092593</v>
      </c>
      <c r="C419" s="1" t="n">
        <v>45905</v>
      </c>
      <c r="D419" t="inlineStr">
        <is>
          <t>NORRBOTTENS LÄN</t>
        </is>
      </c>
      <c r="E419" t="inlineStr">
        <is>
          <t>BODEN</t>
        </is>
      </c>
      <c r="G419" t="n">
        <v>7.3</v>
      </c>
      <c r="H419" t="n">
        <v>0</v>
      </c>
      <c r="I419" t="n">
        <v>0</v>
      </c>
      <c r="J419" t="n">
        <v>0</v>
      </c>
      <c r="K419" t="n">
        <v>0</v>
      </c>
      <c r="L419" t="n">
        <v>0</v>
      </c>
      <c r="M419" t="n">
        <v>0</v>
      </c>
      <c r="N419" t="n">
        <v>0</v>
      </c>
      <c r="O419" t="n">
        <v>0</v>
      </c>
      <c r="P419" t="n">
        <v>0</v>
      </c>
      <c r="Q419" t="n">
        <v>0</v>
      </c>
      <c r="R419" s="2" t="inlineStr"/>
    </row>
    <row r="420" ht="15" customHeight="1">
      <c r="A420" t="inlineStr">
        <is>
          <t>A 61757-2024</t>
        </is>
      </c>
      <c r="B420" s="1" t="n">
        <v>45649.4091550926</v>
      </c>
      <c r="C420" s="1" t="n">
        <v>45905</v>
      </c>
      <c r="D420" t="inlineStr">
        <is>
          <t>NORRBOTTENS LÄN</t>
        </is>
      </c>
      <c r="E420" t="inlineStr">
        <is>
          <t>BODEN</t>
        </is>
      </c>
      <c r="G420" t="n">
        <v>2.2</v>
      </c>
      <c r="H420" t="n">
        <v>0</v>
      </c>
      <c r="I420" t="n">
        <v>0</v>
      </c>
      <c r="J420" t="n">
        <v>0</v>
      </c>
      <c r="K420" t="n">
        <v>0</v>
      </c>
      <c r="L420" t="n">
        <v>0</v>
      </c>
      <c r="M420" t="n">
        <v>0</v>
      </c>
      <c r="N420" t="n">
        <v>0</v>
      </c>
      <c r="O420" t="n">
        <v>0</v>
      </c>
      <c r="P420" t="n">
        <v>0</v>
      </c>
      <c r="Q420" t="n">
        <v>0</v>
      </c>
      <c r="R420" s="2" t="inlineStr"/>
    </row>
    <row r="421" ht="15" customHeight="1">
      <c r="A421" t="inlineStr">
        <is>
          <t>A 8008-2025</t>
        </is>
      </c>
      <c r="B421" s="1" t="n">
        <v>45707.53890046296</v>
      </c>
      <c r="C421" s="1" t="n">
        <v>45905</v>
      </c>
      <c r="D421" t="inlineStr">
        <is>
          <t>NORRBOTTENS LÄN</t>
        </is>
      </c>
      <c r="E421" t="inlineStr">
        <is>
          <t>BODEN</t>
        </is>
      </c>
      <c r="G421" t="n">
        <v>11.3</v>
      </c>
      <c r="H421" t="n">
        <v>0</v>
      </c>
      <c r="I421" t="n">
        <v>0</v>
      </c>
      <c r="J421" t="n">
        <v>0</v>
      </c>
      <c r="K421" t="n">
        <v>0</v>
      </c>
      <c r="L421" t="n">
        <v>0</v>
      </c>
      <c r="M421" t="n">
        <v>0</v>
      </c>
      <c r="N421" t="n">
        <v>0</v>
      </c>
      <c r="O421" t="n">
        <v>0</v>
      </c>
      <c r="P421" t="n">
        <v>0</v>
      </c>
      <c r="Q421" t="n">
        <v>0</v>
      </c>
      <c r="R421" s="2" t="inlineStr"/>
    </row>
    <row r="422" ht="15" customHeight="1">
      <c r="A422" t="inlineStr">
        <is>
          <t>A 24400-2022</t>
        </is>
      </c>
      <c r="B422" s="1" t="n">
        <v>44726.48164351852</v>
      </c>
      <c r="C422" s="1" t="n">
        <v>45905</v>
      </c>
      <c r="D422" t="inlineStr">
        <is>
          <t>NORRBOTTENS LÄN</t>
        </is>
      </c>
      <c r="E422" t="inlineStr">
        <is>
          <t>BODEN</t>
        </is>
      </c>
      <c r="G422" t="n">
        <v>2</v>
      </c>
      <c r="H422" t="n">
        <v>0</v>
      </c>
      <c r="I422" t="n">
        <v>0</v>
      </c>
      <c r="J422" t="n">
        <v>0</v>
      </c>
      <c r="K422" t="n">
        <v>0</v>
      </c>
      <c r="L422" t="n">
        <v>0</v>
      </c>
      <c r="M422" t="n">
        <v>0</v>
      </c>
      <c r="N422" t="n">
        <v>0</v>
      </c>
      <c r="O422" t="n">
        <v>0</v>
      </c>
      <c r="P422" t="n">
        <v>0</v>
      </c>
      <c r="Q422" t="n">
        <v>0</v>
      </c>
      <c r="R422" s="2" t="inlineStr"/>
    </row>
    <row r="423" ht="15" customHeight="1">
      <c r="A423" t="inlineStr">
        <is>
          <t>A 27543-2025</t>
        </is>
      </c>
      <c r="B423" s="1" t="n">
        <v>45813.46928240741</v>
      </c>
      <c r="C423" s="1" t="n">
        <v>45905</v>
      </c>
      <c r="D423" t="inlineStr">
        <is>
          <t>NORRBOTTENS LÄN</t>
        </is>
      </c>
      <c r="E423" t="inlineStr">
        <is>
          <t>BODEN</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27605-2025</t>
        </is>
      </c>
      <c r="B424" s="1" t="n">
        <v>45813</v>
      </c>
      <c r="C424" s="1" t="n">
        <v>45905</v>
      </c>
      <c r="D424" t="inlineStr">
        <is>
          <t>NORRBOTTENS LÄN</t>
        </is>
      </c>
      <c r="E424" t="inlineStr">
        <is>
          <t>BODEN</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4263-2025</t>
        </is>
      </c>
      <c r="B425" s="1" t="n">
        <v>45685</v>
      </c>
      <c r="C425" s="1" t="n">
        <v>45905</v>
      </c>
      <c r="D425" t="inlineStr">
        <is>
          <t>NORRBOTTENS LÄN</t>
        </is>
      </c>
      <c r="E425" t="inlineStr">
        <is>
          <t>BODEN</t>
        </is>
      </c>
      <c r="G425" t="n">
        <v>5.5</v>
      </c>
      <c r="H425" t="n">
        <v>0</v>
      </c>
      <c r="I425" t="n">
        <v>0</v>
      </c>
      <c r="J425" t="n">
        <v>0</v>
      </c>
      <c r="K425" t="n">
        <v>0</v>
      </c>
      <c r="L425" t="n">
        <v>0</v>
      </c>
      <c r="M425" t="n">
        <v>0</v>
      </c>
      <c r="N425" t="n">
        <v>0</v>
      </c>
      <c r="O425" t="n">
        <v>0</v>
      </c>
      <c r="P425" t="n">
        <v>0</v>
      </c>
      <c r="Q425" t="n">
        <v>0</v>
      </c>
      <c r="R425" s="2" t="inlineStr"/>
    </row>
    <row r="426" ht="15" customHeight="1">
      <c r="A426" t="inlineStr">
        <is>
          <t>A 31456-2024</t>
        </is>
      </c>
      <c r="B426" s="1" t="n">
        <v>45505</v>
      </c>
      <c r="C426" s="1" t="n">
        <v>45905</v>
      </c>
      <c r="D426" t="inlineStr">
        <is>
          <t>NORRBOTTENS LÄN</t>
        </is>
      </c>
      <c r="E426" t="inlineStr">
        <is>
          <t>BODEN</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27508-2025</t>
        </is>
      </c>
      <c r="B427" s="1" t="n">
        <v>45813.42777777778</v>
      </c>
      <c r="C427" s="1" t="n">
        <v>45905</v>
      </c>
      <c r="D427" t="inlineStr">
        <is>
          <t>NORRBOTTENS LÄN</t>
        </is>
      </c>
      <c r="E427" t="inlineStr">
        <is>
          <t>BODEN</t>
        </is>
      </c>
      <c r="F427" t="inlineStr">
        <is>
          <t>SCA</t>
        </is>
      </c>
      <c r="G427" t="n">
        <v>13.9</v>
      </c>
      <c r="H427" t="n">
        <v>0</v>
      </c>
      <c r="I427" t="n">
        <v>0</v>
      </c>
      <c r="J427" t="n">
        <v>0</v>
      </c>
      <c r="K427" t="n">
        <v>0</v>
      </c>
      <c r="L427" t="n">
        <v>0</v>
      </c>
      <c r="M427" t="n">
        <v>0</v>
      </c>
      <c r="N427" t="n">
        <v>0</v>
      </c>
      <c r="O427" t="n">
        <v>0</v>
      </c>
      <c r="P427" t="n">
        <v>0</v>
      </c>
      <c r="Q427" t="n">
        <v>0</v>
      </c>
      <c r="R427" s="2" t="inlineStr"/>
    </row>
    <row r="428" ht="15" customHeight="1">
      <c r="A428" t="inlineStr">
        <is>
          <t>A 27576-2025</t>
        </is>
      </c>
      <c r="B428" s="1" t="n">
        <v>45813.49092592593</v>
      </c>
      <c r="C428" s="1" t="n">
        <v>45905</v>
      </c>
      <c r="D428" t="inlineStr">
        <is>
          <t>NORRBOTTENS LÄN</t>
        </is>
      </c>
      <c r="E428" t="inlineStr">
        <is>
          <t>BODEN</t>
        </is>
      </c>
      <c r="F428" t="inlineStr">
        <is>
          <t>SCA</t>
        </is>
      </c>
      <c r="G428" t="n">
        <v>17.7</v>
      </c>
      <c r="H428" t="n">
        <v>0</v>
      </c>
      <c r="I428" t="n">
        <v>0</v>
      </c>
      <c r="J428" t="n">
        <v>0</v>
      </c>
      <c r="K428" t="n">
        <v>0</v>
      </c>
      <c r="L428" t="n">
        <v>0</v>
      </c>
      <c r="M428" t="n">
        <v>0</v>
      </c>
      <c r="N428" t="n">
        <v>0</v>
      </c>
      <c r="O428" t="n">
        <v>0</v>
      </c>
      <c r="P428" t="n">
        <v>0</v>
      </c>
      <c r="Q428" t="n">
        <v>0</v>
      </c>
      <c r="R428" s="2" t="inlineStr"/>
    </row>
    <row r="429" ht="15" customHeight="1">
      <c r="A429" t="inlineStr">
        <is>
          <t>A 59722-2024</t>
        </is>
      </c>
      <c r="B429" s="1" t="n">
        <v>45639</v>
      </c>
      <c r="C429" s="1" t="n">
        <v>45905</v>
      </c>
      <c r="D429" t="inlineStr">
        <is>
          <t>NORRBOTTENS LÄN</t>
        </is>
      </c>
      <c r="E429" t="inlineStr">
        <is>
          <t>BODEN</t>
        </is>
      </c>
      <c r="G429" t="n">
        <v>5</v>
      </c>
      <c r="H429" t="n">
        <v>0</v>
      </c>
      <c r="I429" t="n">
        <v>0</v>
      </c>
      <c r="J429" t="n">
        <v>0</v>
      </c>
      <c r="K429" t="n">
        <v>0</v>
      </c>
      <c r="L429" t="n">
        <v>0</v>
      </c>
      <c r="M429" t="n">
        <v>0</v>
      </c>
      <c r="N429" t="n">
        <v>0</v>
      </c>
      <c r="O429" t="n">
        <v>0</v>
      </c>
      <c r="P429" t="n">
        <v>0</v>
      </c>
      <c r="Q429" t="n">
        <v>0</v>
      </c>
      <c r="R429" s="2" t="inlineStr"/>
    </row>
    <row r="430" ht="15" customHeight="1">
      <c r="A430" t="inlineStr">
        <is>
          <t>A 27602-2025</t>
        </is>
      </c>
      <c r="B430" s="1" t="n">
        <v>45813</v>
      </c>
      <c r="C430" s="1" t="n">
        <v>45905</v>
      </c>
      <c r="D430" t="inlineStr">
        <is>
          <t>NORRBOTTENS LÄN</t>
        </is>
      </c>
      <c r="E430" t="inlineStr">
        <is>
          <t>BODEN</t>
        </is>
      </c>
      <c r="F430" t="inlineStr">
        <is>
          <t>SCA</t>
        </is>
      </c>
      <c r="G430" t="n">
        <v>8.4</v>
      </c>
      <c r="H430" t="n">
        <v>0</v>
      </c>
      <c r="I430" t="n">
        <v>0</v>
      </c>
      <c r="J430" t="n">
        <v>0</v>
      </c>
      <c r="K430" t="n">
        <v>0</v>
      </c>
      <c r="L430" t="n">
        <v>0</v>
      </c>
      <c r="M430" t="n">
        <v>0</v>
      </c>
      <c r="N430" t="n">
        <v>0</v>
      </c>
      <c r="O430" t="n">
        <v>0</v>
      </c>
      <c r="P430" t="n">
        <v>0</v>
      </c>
      <c r="Q430" t="n">
        <v>0</v>
      </c>
      <c r="R430" s="2" t="inlineStr"/>
    </row>
    <row r="431" ht="15" customHeight="1">
      <c r="A431" t="inlineStr">
        <is>
          <t>A 12893-2022</t>
        </is>
      </c>
      <c r="B431" s="1" t="n">
        <v>44642</v>
      </c>
      <c r="C431" s="1" t="n">
        <v>45905</v>
      </c>
      <c r="D431" t="inlineStr">
        <is>
          <t>NORRBOTTENS LÄN</t>
        </is>
      </c>
      <c r="E431" t="inlineStr">
        <is>
          <t>BODEN</t>
        </is>
      </c>
      <c r="F431" t="inlineStr">
        <is>
          <t>Övriga statliga verk och myndigheter</t>
        </is>
      </c>
      <c r="G431" t="n">
        <v>15.8</v>
      </c>
      <c r="H431" t="n">
        <v>0</v>
      </c>
      <c r="I431" t="n">
        <v>0</v>
      </c>
      <c r="J431" t="n">
        <v>0</v>
      </c>
      <c r="K431" t="n">
        <v>0</v>
      </c>
      <c r="L431" t="n">
        <v>0</v>
      </c>
      <c r="M431" t="n">
        <v>0</v>
      </c>
      <c r="N431" t="n">
        <v>0</v>
      </c>
      <c r="O431" t="n">
        <v>0</v>
      </c>
      <c r="P431" t="n">
        <v>0</v>
      </c>
      <c r="Q431" t="n">
        <v>0</v>
      </c>
      <c r="R431" s="2" t="inlineStr"/>
    </row>
    <row r="432" ht="15" customHeight="1">
      <c r="A432" t="inlineStr">
        <is>
          <t>A 27507-2025</t>
        </is>
      </c>
      <c r="B432" s="1" t="n">
        <v>45813.42753472222</v>
      </c>
      <c r="C432" s="1" t="n">
        <v>45905</v>
      </c>
      <c r="D432" t="inlineStr">
        <is>
          <t>NORRBOTTENS LÄN</t>
        </is>
      </c>
      <c r="E432" t="inlineStr">
        <is>
          <t>BODEN</t>
        </is>
      </c>
      <c r="F432" t="inlineStr">
        <is>
          <t>Naturvårdsverket</t>
        </is>
      </c>
      <c r="G432" t="n">
        <v>6.7</v>
      </c>
      <c r="H432" t="n">
        <v>0</v>
      </c>
      <c r="I432" t="n">
        <v>0</v>
      </c>
      <c r="J432" t="n">
        <v>0</v>
      </c>
      <c r="K432" t="n">
        <v>0</v>
      </c>
      <c r="L432" t="n">
        <v>0</v>
      </c>
      <c r="M432" t="n">
        <v>0</v>
      </c>
      <c r="N432" t="n">
        <v>0</v>
      </c>
      <c r="O432" t="n">
        <v>0</v>
      </c>
      <c r="P432" t="n">
        <v>0</v>
      </c>
      <c r="Q432" t="n">
        <v>0</v>
      </c>
      <c r="R432" s="2" t="inlineStr"/>
    </row>
    <row r="433" ht="15" customHeight="1">
      <c r="A433" t="inlineStr">
        <is>
          <t>A 27604-2025</t>
        </is>
      </c>
      <c r="B433" s="1" t="n">
        <v>45813.53178240741</v>
      </c>
      <c r="C433" s="1" t="n">
        <v>45905</v>
      </c>
      <c r="D433" t="inlineStr">
        <is>
          <t>NORRBOTTENS LÄN</t>
        </is>
      </c>
      <c r="E433" t="inlineStr">
        <is>
          <t>BODEN</t>
        </is>
      </c>
      <c r="G433" t="n">
        <v>0.8</v>
      </c>
      <c r="H433" t="n">
        <v>0</v>
      </c>
      <c r="I433" t="n">
        <v>0</v>
      </c>
      <c r="J433" t="n">
        <v>0</v>
      </c>
      <c r="K433" t="n">
        <v>0</v>
      </c>
      <c r="L433" t="n">
        <v>0</v>
      </c>
      <c r="M433" t="n">
        <v>0</v>
      </c>
      <c r="N433" t="n">
        <v>0</v>
      </c>
      <c r="O433" t="n">
        <v>0</v>
      </c>
      <c r="P433" t="n">
        <v>0</v>
      </c>
      <c r="Q433" t="n">
        <v>0</v>
      </c>
      <c r="R433" s="2" t="inlineStr"/>
    </row>
    <row r="434" ht="15" customHeight="1">
      <c r="A434" t="inlineStr">
        <is>
          <t>A 19080-2025</t>
        </is>
      </c>
      <c r="B434" s="1" t="n">
        <v>45766.71910879629</v>
      </c>
      <c r="C434" s="1" t="n">
        <v>45905</v>
      </c>
      <c r="D434" t="inlineStr">
        <is>
          <t>NORRBOTTENS LÄN</t>
        </is>
      </c>
      <c r="E434" t="inlineStr">
        <is>
          <t>BODEN</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38994-2024</t>
        </is>
      </c>
      <c r="B435" s="1" t="n">
        <v>45548.41165509259</v>
      </c>
      <c r="C435" s="1" t="n">
        <v>45905</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59331-2021</t>
        </is>
      </c>
      <c r="B436" s="1" t="n">
        <v>44490</v>
      </c>
      <c r="C436" s="1" t="n">
        <v>45905</v>
      </c>
      <c r="D436" t="inlineStr">
        <is>
          <t>NORRBOTTENS LÄN</t>
        </is>
      </c>
      <c r="E436" t="inlineStr">
        <is>
          <t>BODEN</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20505-2023</t>
        </is>
      </c>
      <c r="B437" s="1" t="n">
        <v>45054</v>
      </c>
      <c r="C437" s="1" t="n">
        <v>45905</v>
      </c>
      <c r="D437" t="inlineStr">
        <is>
          <t>NORRBOTTENS LÄN</t>
        </is>
      </c>
      <c r="E437" t="inlineStr">
        <is>
          <t>BODEN</t>
        </is>
      </c>
      <c r="G437" t="n">
        <v>0.8</v>
      </c>
      <c r="H437" t="n">
        <v>0</v>
      </c>
      <c r="I437" t="n">
        <v>0</v>
      </c>
      <c r="J437" t="n">
        <v>0</v>
      </c>
      <c r="K437" t="n">
        <v>0</v>
      </c>
      <c r="L437" t="n">
        <v>0</v>
      </c>
      <c r="M437" t="n">
        <v>0</v>
      </c>
      <c r="N437" t="n">
        <v>0</v>
      </c>
      <c r="O437" t="n">
        <v>0</v>
      </c>
      <c r="P437" t="n">
        <v>0</v>
      </c>
      <c r="Q437" t="n">
        <v>0</v>
      </c>
      <c r="R437" s="2" t="inlineStr"/>
    </row>
    <row r="438" ht="15" customHeight="1">
      <c r="A438" t="inlineStr">
        <is>
          <t>A 22893-2024</t>
        </is>
      </c>
      <c r="B438" s="1" t="n">
        <v>45448</v>
      </c>
      <c r="C438" s="1" t="n">
        <v>45905</v>
      </c>
      <c r="D438" t="inlineStr">
        <is>
          <t>NORRBOTTENS LÄN</t>
        </is>
      </c>
      <c r="E438" t="inlineStr">
        <is>
          <t>BODEN</t>
        </is>
      </c>
      <c r="F438" t="inlineStr">
        <is>
          <t>Sveaskog</t>
        </is>
      </c>
      <c r="G438" t="n">
        <v>4.1</v>
      </c>
      <c r="H438" t="n">
        <v>0</v>
      </c>
      <c r="I438" t="n">
        <v>0</v>
      </c>
      <c r="J438" t="n">
        <v>0</v>
      </c>
      <c r="K438" t="n">
        <v>0</v>
      </c>
      <c r="L438" t="n">
        <v>0</v>
      </c>
      <c r="M438" t="n">
        <v>0</v>
      </c>
      <c r="N438" t="n">
        <v>0</v>
      </c>
      <c r="O438" t="n">
        <v>0</v>
      </c>
      <c r="P438" t="n">
        <v>0</v>
      </c>
      <c r="Q438" t="n">
        <v>0</v>
      </c>
      <c r="R438" s="2" t="inlineStr"/>
    </row>
    <row r="439" ht="15" customHeight="1">
      <c r="A439" t="inlineStr">
        <is>
          <t>A 6693-2023</t>
        </is>
      </c>
      <c r="B439" s="1" t="n">
        <v>44963</v>
      </c>
      <c r="C439" s="1" t="n">
        <v>45905</v>
      </c>
      <c r="D439" t="inlineStr">
        <is>
          <t>NORRBOTTENS LÄN</t>
        </is>
      </c>
      <c r="E439" t="inlineStr">
        <is>
          <t>BODEN</t>
        </is>
      </c>
      <c r="G439" t="n">
        <v>2.6</v>
      </c>
      <c r="H439" t="n">
        <v>0</v>
      </c>
      <c r="I439" t="n">
        <v>0</v>
      </c>
      <c r="J439" t="n">
        <v>0</v>
      </c>
      <c r="K439" t="n">
        <v>0</v>
      </c>
      <c r="L439" t="n">
        <v>0</v>
      </c>
      <c r="M439" t="n">
        <v>0</v>
      </c>
      <c r="N439" t="n">
        <v>0</v>
      </c>
      <c r="O439" t="n">
        <v>0</v>
      </c>
      <c r="P439" t="n">
        <v>0</v>
      </c>
      <c r="Q439" t="n">
        <v>0</v>
      </c>
      <c r="R439" s="2" t="inlineStr"/>
    </row>
    <row r="440" ht="15" customHeight="1">
      <c r="A440" t="inlineStr">
        <is>
          <t>A 55628-2023</t>
        </is>
      </c>
      <c r="B440" s="1" t="n">
        <v>45238.9265625</v>
      </c>
      <c r="C440" s="1" t="n">
        <v>45905</v>
      </c>
      <c r="D440" t="inlineStr">
        <is>
          <t>NORRBOTTENS LÄN</t>
        </is>
      </c>
      <c r="E440" t="inlineStr">
        <is>
          <t>BODEN</t>
        </is>
      </c>
      <c r="G440" t="n">
        <v>1.7</v>
      </c>
      <c r="H440" t="n">
        <v>0</v>
      </c>
      <c r="I440" t="n">
        <v>0</v>
      </c>
      <c r="J440" t="n">
        <v>0</v>
      </c>
      <c r="K440" t="n">
        <v>0</v>
      </c>
      <c r="L440" t="n">
        <v>0</v>
      </c>
      <c r="M440" t="n">
        <v>0</v>
      </c>
      <c r="N440" t="n">
        <v>0</v>
      </c>
      <c r="O440" t="n">
        <v>0</v>
      </c>
      <c r="P440" t="n">
        <v>0</v>
      </c>
      <c r="Q440" t="n">
        <v>0</v>
      </c>
      <c r="R440" s="2" t="inlineStr"/>
    </row>
    <row r="441" ht="15" customHeight="1">
      <c r="A441" t="inlineStr">
        <is>
          <t>A 19571-2025</t>
        </is>
      </c>
      <c r="B441" s="1" t="n">
        <v>45770.54408564815</v>
      </c>
      <c r="C441" s="1" t="n">
        <v>45905</v>
      </c>
      <c r="D441" t="inlineStr">
        <is>
          <t>NORRBOTTENS LÄN</t>
        </is>
      </c>
      <c r="E441" t="inlineStr">
        <is>
          <t>BODEN</t>
        </is>
      </c>
      <c r="G441" t="n">
        <v>3.4</v>
      </c>
      <c r="H441" t="n">
        <v>0</v>
      </c>
      <c r="I441" t="n">
        <v>0</v>
      </c>
      <c r="J441" t="n">
        <v>0</v>
      </c>
      <c r="K441" t="n">
        <v>0</v>
      </c>
      <c r="L441" t="n">
        <v>0</v>
      </c>
      <c r="M441" t="n">
        <v>0</v>
      </c>
      <c r="N441" t="n">
        <v>0</v>
      </c>
      <c r="O441" t="n">
        <v>0</v>
      </c>
      <c r="P441" t="n">
        <v>0</v>
      </c>
      <c r="Q441" t="n">
        <v>0</v>
      </c>
      <c r="R441" s="2" t="inlineStr"/>
    </row>
    <row r="442" ht="15" customHeight="1">
      <c r="A442" t="inlineStr">
        <is>
          <t>A 7525-2025</t>
        </is>
      </c>
      <c r="B442" s="1" t="n">
        <v>45704</v>
      </c>
      <c r="C442" s="1" t="n">
        <v>45905</v>
      </c>
      <c r="D442" t="inlineStr">
        <is>
          <t>NORRBOTTENS LÄN</t>
        </is>
      </c>
      <c r="E442" t="inlineStr">
        <is>
          <t>BODEN</t>
        </is>
      </c>
      <c r="G442" t="n">
        <v>10.1</v>
      </c>
      <c r="H442" t="n">
        <v>0</v>
      </c>
      <c r="I442" t="n">
        <v>0</v>
      </c>
      <c r="J442" t="n">
        <v>0</v>
      </c>
      <c r="K442" t="n">
        <v>0</v>
      </c>
      <c r="L442" t="n">
        <v>0</v>
      </c>
      <c r="M442" t="n">
        <v>0</v>
      </c>
      <c r="N442" t="n">
        <v>0</v>
      </c>
      <c r="O442" t="n">
        <v>0</v>
      </c>
      <c r="P442" t="n">
        <v>0</v>
      </c>
      <c r="Q442" t="n">
        <v>0</v>
      </c>
      <c r="R442" s="2" t="inlineStr"/>
    </row>
    <row r="443" ht="15" customHeight="1">
      <c r="A443" t="inlineStr">
        <is>
          <t>A 29751-2021</t>
        </is>
      </c>
      <c r="B443" s="1" t="n">
        <v>44362.48555555556</v>
      </c>
      <c r="C443" s="1" t="n">
        <v>45905</v>
      </c>
      <c r="D443" t="inlineStr">
        <is>
          <t>NORRBOTTENS LÄN</t>
        </is>
      </c>
      <c r="E443" t="inlineStr">
        <is>
          <t>BODEN</t>
        </is>
      </c>
      <c r="G443" t="n">
        <v>5</v>
      </c>
      <c r="H443" t="n">
        <v>0</v>
      </c>
      <c r="I443" t="n">
        <v>0</v>
      </c>
      <c r="J443" t="n">
        <v>0</v>
      </c>
      <c r="K443" t="n">
        <v>0</v>
      </c>
      <c r="L443" t="n">
        <v>0</v>
      </c>
      <c r="M443" t="n">
        <v>0</v>
      </c>
      <c r="N443" t="n">
        <v>0</v>
      </c>
      <c r="O443" t="n">
        <v>0</v>
      </c>
      <c r="P443" t="n">
        <v>0</v>
      </c>
      <c r="Q443" t="n">
        <v>0</v>
      </c>
      <c r="R443" s="2" t="inlineStr"/>
    </row>
    <row r="444" ht="15" customHeight="1">
      <c r="A444" t="inlineStr">
        <is>
          <t>A 24744-2024</t>
        </is>
      </c>
      <c r="B444" s="1" t="n">
        <v>45460</v>
      </c>
      <c r="C444" s="1" t="n">
        <v>45905</v>
      </c>
      <c r="D444" t="inlineStr">
        <is>
          <t>NORRBOTTENS LÄN</t>
        </is>
      </c>
      <c r="E444" t="inlineStr">
        <is>
          <t>BODEN</t>
        </is>
      </c>
      <c r="F444" t="inlineStr">
        <is>
          <t>Övriga Aktiebolag</t>
        </is>
      </c>
      <c r="G444" t="n">
        <v>1.4</v>
      </c>
      <c r="H444" t="n">
        <v>0</v>
      </c>
      <c r="I444" t="n">
        <v>0</v>
      </c>
      <c r="J444" t="n">
        <v>0</v>
      </c>
      <c r="K444" t="n">
        <v>0</v>
      </c>
      <c r="L444" t="n">
        <v>0</v>
      </c>
      <c r="M444" t="n">
        <v>0</v>
      </c>
      <c r="N444" t="n">
        <v>0</v>
      </c>
      <c r="O444" t="n">
        <v>0</v>
      </c>
      <c r="P444" t="n">
        <v>0</v>
      </c>
      <c r="Q444" t="n">
        <v>0</v>
      </c>
      <c r="R444" s="2" t="inlineStr"/>
    </row>
    <row r="445" ht="15" customHeight="1">
      <c r="A445" t="inlineStr">
        <is>
          <t>A 33454-2022</t>
        </is>
      </c>
      <c r="B445" s="1" t="n">
        <v>44788.65809027778</v>
      </c>
      <c r="C445" s="1" t="n">
        <v>45905</v>
      </c>
      <c r="D445" t="inlineStr">
        <is>
          <t>NORRBOTTENS LÄN</t>
        </is>
      </c>
      <c r="E445" t="inlineStr">
        <is>
          <t>BODEN</t>
        </is>
      </c>
      <c r="G445" t="n">
        <v>2.7</v>
      </c>
      <c r="H445" t="n">
        <v>0</v>
      </c>
      <c r="I445" t="n">
        <v>0</v>
      </c>
      <c r="J445" t="n">
        <v>0</v>
      </c>
      <c r="K445" t="n">
        <v>0</v>
      </c>
      <c r="L445" t="n">
        <v>0</v>
      </c>
      <c r="M445" t="n">
        <v>0</v>
      </c>
      <c r="N445" t="n">
        <v>0</v>
      </c>
      <c r="O445" t="n">
        <v>0</v>
      </c>
      <c r="P445" t="n">
        <v>0</v>
      </c>
      <c r="Q445" t="n">
        <v>0</v>
      </c>
      <c r="R445" s="2" t="inlineStr"/>
    </row>
    <row r="446" ht="15" customHeight="1">
      <c r="A446" t="inlineStr">
        <is>
          <t>A 40781-2021</t>
        </is>
      </c>
      <c r="B446" s="1" t="n">
        <v>44421.25067129629</v>
      </c>
      <c r="C446" s="1" t="n">
        <v>45905</v>
      </c>
      <c r="D446" t="inlineStr">
        <is>
          <t>NORRBOTTENS LÄN</t>
        </is>
      </c>
      <c r="E446" t="inlineStr">
        <is>
          <t>BODEN</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3922-2025</t>
        </is>
      </c>
      <c r="B447" s="1" t="n">
        <v>45684.44825231482</v>
      </c>
      <c r="C447" s="1" t="n">
        <v>45905</v>
      </c>
      <c r="D447" t="inlineStr">
        <is>
          <t>NORRBOTTENS LÄN</t>
        </is>
      </c>
      <c r="E447" t="inlineStr">
        <is>
          <t>BODEN</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19051-2025</t>
        </is>
      </c>
      <c r="B448" s="1" t="n">
        <v>45764</v>
      </c>
      <c r="C448" s="1" t="n">
        <v>45905</v>
      </c>
      <c r="D448" t="inlineStr">
        <is>
          <t>NORRBOTTENS LÄN</t>
        </is>
      </c>
      <c r="E448" t="inlineStr">
        <is>
          <t>BODEN</t>
        </is>
      </c>
      <c r="G448" t="n">
        <v>2.6</v>
      </c>
      <c r="H448" t="n">
        <v>0</v>
      </c>
      <c r="I448" t="n">
        <v>0</v>
      </c>
      <c r="J448" t="n">
        <v>0</v>
      </c>
      <c r="K448" t="n">
        <v>0</v>
      </c>
      <c r="L448" t="n">
        <v>0</v>
      </c>
      <c r="M448" t="n">
        <v>0</v>
      </c>
      <c r="N448" t="n">
        <v>0</v>
      </c>
      <c r="O448" t="n">
        <v>0</v>
      </c>
      <c r="P448" t="n">
        <v>0</v>
      </c>
      <c r="Q448" t="n">
        <v>0</v>
      </c>
      <c r="R448" s="2" t="inlineStr"/>
    </row>
    <row r="449" ht="15" customHeight="1">
      <c r="A449" t="inlineStr">
        <is>
          <t>A 28134-2025</t>
        </is>
      </c>
      <c r="B449" s="1" t="n">
        <v>45818.34452546296</v>
      </c>
      <c r="C449" s="1" t="n">
        <v>45905</v>
      </c>
      <c r="D449" t="inlineStr">
        <is>
          <t>NORRBOTTENS LÄN</t>
        </is>
      </c>
      <c r="E449" t="inlineStr">
        <is>
          <t>BODEN</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28297-2025</t>
        </is>
      </c>
      <c r="B450" s="1" t="n">
        <v>45818.60010416667</v>
      </c>
      <c r="C450" s="1" t="n">
        <v>45905</v>
      </c>
      <c r="D450" t="inlineStr">
        <is>
          <t>NORRBOTTENS LÄN</t>
        </is>
      </c>
      <c r="E450" t="inlineStr">
        <is>
          <t>BODEN</t>
        </is>
      </c>
      <c r="F450" t="inlineStr">
        <is>
          <t>Sveaskog</t>
        </is>
      </c>
      <c r="G450" t="n">
        <v>5.3</v>
      </c>
      <c r="H450" t="n">
        <v>0</v>
      </c>
      <c r="I450" t="n">
        <v>0</v>
      </c>
      <c r="J450" t="n">
        <v>0</v>
      </c>
      <c r="K450" t="n">
        <v>0</v>
      </c>
      <c r="L450" t="n">
        <v>0</v>
      </c>
      <c r="M450" t="n">
        <v>0</v>
      </c>
      <c r="N450" t="n">
        <v>0</v>
      </c>
      <c r="O450" t="n">
        <v>0</v>
      </c>
      <c r="P450" t="n">
        <v>0</v>
      </c>
      <c r="Q450" t="n">
        <v>0</v>
      </c>
      <c r="R450" s="2" t="inlineStr"/>
    </row>
    <row r="451" ht="15" customHeight="1">
      <c r="A451" t="inlineStr">
        <is>
          <t>A 3090-2024</t>
        </is>
      </c>
      <c r="B451" s="1" t="n">
        <v>45316.44841435185</v>
      </c>
      <c r="C451" s="1" t="n">
        <v>45905</v>
      </c>
      <c r="D451" t="inlineStr">
        <is>
          <t>NORRBOTTENS LÄN</t>
        </is>
      </c>
      <c r="E451" t="inlineStr">
        <is>
          <t>BODEN</t>
        </is>
      </c>
      <c r="G451" t="n">
        <v>2.3</v>
      </c>
      <c r="H451" t="n">
        <v>0</v>
      </c>
      <c r="I451" t="n">
        <v>0</v>
      </c>
      <c r="J451" t="n">
        <v>0</v>
      </c>
      <c r="K451" t="n">
        <v>0</v>
      </c>
      <c r="L451" t="n">
        <v>0</v>
      </c>
      <c r="M451" t="n">
        <v>0</v>
      </c>
      <c r="N451" t="n">
        <v>0</v>
      </c>
      <c r="O451" t="n">
        <v>0</v>
      </c>
      <c r="P451" t="n">
        <v>0</v>
      </c>
      <c r="Q451" t="n">
        <v>0</v>
      </c>
      <c r="R451" s="2" t="inlineStr"/>
    </row>
    <row r="452" ht="15" customHeight="1">
      <c r="A452" t="inlineStr">
        <is>
          <t>A 19060-2024</t>
        </is>
      </c>
      <c r="B452" s="1" t="n">
        <v>45427.93494212963</v>
      </c>
      <c r="C452" s="1" t="n">
        <v>45905</v>
      </c>
      <c r="D452" t="inlineStr">
        <is>
          <t>NORRBOTTENS LÄN</t>
        </is>
      </c>
      <c r="E452" t="inlineStr">
        <is>
          <t>BODEN</t>
        </is>
      </c>
      <c r="G452" t="n">
        <v>3.3</v>
      </c>
      <c r="H452" t="n">
        <v>0</v>
      </c>
      <c r="I452" t="n">
        <v>0</v>
      </c>
      <c r="J452" t="n">
        <v>0</v>
      </c>
      <c r="K452" t="n">
        <v>0</v>
      </c>
      <c r="L452" t="n">
        <v>0</v>
      </c>
      <c r="M452" t="n">
        <v>0</v>
      </c>
      <c r="N452" t="n">
        <v>0</v>
      </c>
      <c r="O452" t="n">
        <v>0</v>
      </c>
      <c r="P452" t="n">
        <v>0</v>
      </c>
      <c r="Q452" t="n">
        <v>0</v>
      </c>
      <c r="R452" s="2" t="inlineStr"/>
    </row>
    <row r="453" ht="15" customHeight="1">
      <c r="A453" t="inlineStr">
        <is>
          <t>A 22447-2024</t>
        </is>
      </c>
      <c r="B453" s="1" t="n">
        <v>45446</v>
      </c>
      <c r="C453" s="1" t="n">
        <v>45905</v>
      </c>
      <c r="D453" t="inlineStr">
        <is>
          <t>NORRBOTTENS LÄN</t>
        </is>
      </c>
      <c r="E453" t="inlineStr">
        <is>
          <t>BODEN</t>
        </is>
      </c>
      <c r="G453" t="n">
        <v>6.7</v>
      </c>
      <c r="H453" t="n">
        <v>0</v>
      </c>
      <c r="I453" t="n">
        <v>0</v>
      </c>
      <c r="J453" t="n">
        <v>0</v>
      </c>
      <c r="K453" t="n">
        <v>0</v>
      </c>
      <c r="L453" t="n">
        <v>0</v>
      </c>
      <c r="M453" t="n">
        <v>0</v>
      </c>
      <c r="N453" t="n">
        <v>0</v>
      </c>
      <c r="O453" t="n">
        <v>0</v>
      </c>
      <c r="P453" t="n">
        <v>0</v>
      </c>
      <c r="Q453" t="n">
        <v>0</v>
      </c>
      <c r="R453" s="2" t="inlineStr"/>
    </row>
    <row r="454" ht="15" customHeight="1">
      <c r="A454" t="inlineStr">
        <is>
          <t>A 18866-2025</t>
        </is>
      </c>
      <c r="B454" s="1" t="n">
        <v>45764</v>
      </c>
      <c r="C454" s="1" t="n">
        <v>45905</v>
      </c>
      <c r="D454" t="inlineStr">
        <is>
          <t>NORRBOTTENS LÄN</t>
        </is>
      </c>
      <c r="E454" t="inlineStr">
        <is>
          <t>BODEN</t>
        </is>
      </c>
      <c r="G454" t="n">
        <v>1.9</v>
      </c>
      <c r="H454" t="n">
        <v>0</v>
      </c>
      <c r="I454" t="n">
        <v>0</v>
      </c>
      <c r="J454" t="n">
        <v>0</v>
      </c>
      <c r="K454" t="n">
        <v>0</v>
      </c>
      <c r="L454" t="n">
        <v>0</v>
      </c>
      <c r="M454" t="n">
        <v>0</v>
      </c>
      <c r="N454" t="n">
        <v>0</v>
      </c>
      <c r="O454" t="n">
        <v>0</v>
      </c>
      <c r="P454" t="n">
        <v>0</v>
      </c>
      <c r="Q454" t="n">
        <v>0</v>
      </c>
      <c r="R454" s="2" t="inlineStr"/>
    </row>
    <row r="455" ht="15" customHeight="1">
      <c r="A455" t="inlineStr">
        <is>
          <t>A 18890-2025</t>
        </is>
      </c>
      <c r="B455" s="1" t="n">
        <v>45764.44585648148</v>
      </c>
      <c r="C455" s="1" t="n">
        <v>45905</v>
      </c>
      <c r="D455" t="inlineStr">
        <is>
          <t>NORRBOTTENS LÄN</t>
        </is>
      </c>
      <c r="E455" t="inlineStr">
        <is>
          <t>BODEN</t>
        </is>
      </c>
      <c r="G455" t="n">
        <v>1.7</v>
      </c>
      <c r="H455" t="n">
        <v>0</v>
      </c>
      <c r="I455" t="n">
        <v>0</v>
      </c>
      <c r="J455" t="n">
        <v>0</v>
      </c>
      <c r="K455" t="n">
        <v>0</v>
      </c>
      <c r="L455" t="n">
        <v>0</v>
      </c>
      <c r="M455" t="n">
        <v>0</v>
      </c>
      <c r="N455" t="n">
        <v>0</v>
      </c>
      <c r="O455" t="n">
        <v>0</v>
      </c>
      <c r="P455" t="n">
        <v>0</v>
      </c>
      <c r="Q455" t="n">
        <v>0</v>
      </c>
      <c r="R455" s="2" t="inlineStr"/>
    </row>
    <row r="456" ht="15" customHeight="1">
      <c r="A456" t="inlineStr">
        <is>
          <t>A 19584-2025</t>
        </is>
      </c>
      <c r="B456" s="1" t="n">
        <v>45770.56699074074</v>
      </c>
      <c r="C456" s="1" t="n">
        <v>45905</v>
      </c>
      <c r="D456" t="inlineStr">
        <is>
          <t>NORRBOTTENS LÄN</t>
        </is>
      </c>
      <c r="E456" t="inlineStr">
        <is>
          <t>BODEN</t>
        </is>
      </c>
      <c r="G456" t="n">
        <v>1.7</v>
      </c>
      <c r="H456" t="n">
        <v>0</v>
      </c>
      <c r="I456" t="n">
        <v>0</v>
      </c>
      <c r="J456" t="n">
        <v>0</v>
      </c>
      <c r="K456" t="n">
        <v>0</v>
      </c>
      <c r="L456" t="n">
        <v>0</v>
      </c>
      <c r="M456" t="n">
        <v>0</v>
      </c>
      <c r="N456" t="n">
        <v>0</v>
      </c>
      <c r="O456" t="n">
        <v>0</v>
      </c>
      <c r="P456" t="n">
        <v>0</v>
      </c>
      <c r="Q456" t="n">
        <v>0</v>
      </c>
      <c r="R456" s="2" t="inlineStr"/>
    </row>
    <row r="457" ht="15" customHeight="1">
      <c r="A457" t="inlineStr">
        <is>
          <t>A 36599-2023</t>
        </is>
      </c>
      <c r="B457" s="1" t="n">
        <v>45152</v>
      </c>
      <c r="C457" s="1" t="n">
        <v>45905</v>
      </c>
      <c r="D457" t="inlineStr">
        <is>
          <t>NORRBOTTENS LÄN</t>
        </is>
      </c>
      <c r="E457" t="inlineStr">
        <is>
          <t>BODEN</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55317-2023</t>
        </is>
      </c>
      <c r="B458" s="1" t="n">
        <v>45237</v>
      </c>
      <c r="C458" s="1" t="n">
        <v>45905</v>
      </c>
      <c r="D458" t="inlineStr">
        <is>
          <t>NORRBOTTENS LÄN</t>
        </is>
      </c>
      <c r="E458" t="inlineStr">
        <is>
          <t>BODEN</t>
        </is>
      </c>
      <c r="G458" t="n">
        <v>2.3</v>
      </c>
      <c r="H458" t="n">
        <v>0</v>
      </c>
      <c r="I458" t="n">
        <v>0</v>
      </c>
      <c r="J458" t="n">
        <v>0</v>
      </c>
      <c r="K458" t="n">
        <v>0</v>
      </c>
      <c r="L458" t="n">
        <v>0</v>
      </c>
      <c r="M458" t="n">
        <v>0</v>
      </c>
      <c r="N458" t="n">
        <v>0</v>
      </c>
      <c r="O458" t="n">
        <v>0</v>
      </c>
      <c r="P458" t="n">
        <v>0</v>
      </c>
      <c r="Q458" t="n">
        <v>0</v>
      </c>
      <c r="R458" s="2" t="inlineStr"/>
    </row>
    <row r="459" ht="15" customHeight="1">
      <c r="A459" t="inlineStr">
        <is>
          <t>A 44625-2024</t>
        </is>
      </c>
      <c r="B459" s="1" t="n">
        <v>45574.51377314814</v>
      </c>
      <c r="C459" s="1" t="n">
        <v>45905</v>
      </c>
      <c r="D459" t="inlineStr">
        <is>
          <t>NORRBOTTENS LÄN</t>
        </is>
      </c>
      <c r="E459" t="inlineStr">
        <is>
          <t>BODEN</t>
        </is>
      </c>
      <c r="F459" t="inlineStr">
        <is>
          <t>Sveaskog</t>
        </is>
      </c>
      <c r="G459" t="n">
        <v>4.2</v>
      </c>
      <c r="H459" t="n">
        <v>0</v>
      </c>
      <c r="I459" t="n">
        <v>0</v>
      </c>
      <c r="J459" t="n">
        <v>0</v>
      </c>
      <c r="K459" t="n">
        <v>0</v>
      </c>
      <c r="L459" t="n">
        <v>0</v>
      </c>
      <c r="M459" t="n">
        <v>0</v>
      </c>
      <c r="N459" t="n">
        <v>0</v>
      </c>
      <c r="O459" t="n">
        <v>0</v>
      </c>
      <c r="P459" t="n">
        <v>0</v>
      </c>
      <c r="Q459" t="n">
        <v>0</v>
      </c>
      <c r="R459" s="2" t="inlineStr"/>
    </row>
    <row r="460" ht="15" customHeight="1">
      <c r="A460" t="inlineStr">
        <is>
          <t>A 14995-2022</t>
        </is>
      </c>
      <c r="B460" s="1" t="n">
        <v>44657</v>
      </c>
      <c r="C460" s="1" t="n">
        <v>45905</v>
      </c>
      <c r="D460" t="inlineStr">
        <is>
          <t>NORRBOTTENS LÄN</t>
        </is>
      </c>
      <c r="E460" t="inlineStr">
        <is>
          <t>BODEN</t>
        </is>
      </c>
      <c r="G460" t="n">
        <v>1.3</v>
      </c>
      <c r="H460" t="n">
        <v>0</v>
      </c>
      <c r="I460" t="n">
        <v>0</v>
      </c>
      <c r="J460" t="n">
        <v>0</v>
      </c>
      <c r="K460" t="n">
        <v>0</v>
      </c>
      <c r="L460" t="n">
        <v>0</v>
      </c>
      <c r="M460" t="n">
        <v>0</v>
      </c>
      <c r="N460" t="n">
        <v>0</v>
      </c>
      <c r="O460" t="n">
        <v>0</v>
      </c>
      <c r="P460" t="n">
        <v>0</v>
      </c>
      <c r="Q460" t="n">
        <v>0</v>
      </c>
      <c r="R460" s="2" t="inlineStr"/>
    </row>
    <row r="461" ht="15" customHeight="1">
      <c r="A461" t="inlineStr">
        <is>
          <t>A 15000-2022</t>
        </is>
      </c>
      <c r="B461" s="1" t="n">
        <v>44657</v>
      </c>
      <c r="C461" s="1" t="n">
        <v>45905</v>
      </c>
      <c r="D461" t="inlineStr">
        <is>
          <t>NORRBOTTENS LÄN</t>
        </is>
      </c>
      <c r="E461" t="inlineStr">
        <is>
          <t>BODEN</t>
        </is>
      </c>
      <c r="G461" t="n">
        <v>2.6</v>
      </c>
      <c r="H461" t="n">
        <v>0</v>
      </c>
      <c r="I461" t="n">
        <v>0</v>
      </c>
      <c r="J461" t="n">
        <v>0</v>
      </c>
      <c r="K461" t="n">
        <v>0</v>
      </c>
      <c r="L461" t="n">
        <v>0</v>
      </c>
      <c r="M461" t="n">
        <v>0</v>
      </c>
      <c r="N461" t="n">
        <v>0</v>
      </c>
      <c r="O461" t="n">
        <v>0</v>
      </c>
      <c r="P461" t="n">
        <v>0</v>
      </c>
      <c r="Q461" t="n">
        <v>0</v>
      </c>
      <c r="R461" s="2" t="inlineStr"/>
    </row>
    <row r="462" ht="15" customHeight="1">
      <c r="A462" t="inlineStr">
        <is>
          <t>A 29109-2024</t>
        </is>
      </c>
      <c r="B462" s="1" t="n">
        <v>45481.95275462963</v>
      </c>
      <c r="C462" s="1" t="n">
        <v>45905</v>
      </c>
      <c r="D462" t="inlineStr">
        <is>
          <t>NORRBOTTENS LÄN</t>
        </is>
      </c>
      <c r="E462" t="inlineStr">
        <is>
          <t>BODEN</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28141-2025</t>
        </is>
      </c>
      <c r="B463" s="1" t="n">
        <v>45818</v>
      </c>
      <c r="C463" s="1" t="n">
        <v>45905</v>
      </c>
      <c r="D463" t="inlineStr">
        <is>
          <t>NORRBOTTENS LÄN</t>
        </is>
      </c>
      <c r="E463" t="inlineStr">
        <is>
          <t>BODEN</t>
        </is>
      </c>
      <c r="F463" t="inlineStr">
        <is>
          <t>SCA</t>
        </is>
      </c>
      <c r="G463" t="n">
        <v>19.1</v>
      </c>
      <c r="H463" t="n">
        <v>0</v>
      </c>
      <c r="I463" t="n">
        <v>0</v>
      </c>
      <c r="J463" t="n">
        <v>0</v>
      </c>
      <c r="K463" t="n">
        <v>0</v>
      </c>
      <c r="L463" t="n">
        <v>0</v>
      </c>
      <c r="M463" t="n">
        <v>0</v>
      </c>
      <c r="N463" t="n">
        <v>0</v>
      </c>
      <c r="O463" t="n">
        <v>0</v>
      </c>
      <c r="P463" t="n">
        <v>0</v>
      </c>
      <c r="Q463" t="n">
        <v>0</v>
      </c>
      <c r="R463" s="2" t="inlineStr"/>
    </row>
    <row r="464" ht="15" customHeight="1">
      <c r="A464" t="inlineStr">
        <is>
          <t>A 11647-2023</t>
        </is>
      </c>
      <c r="B464" s="1" t="n">
        <v>44994</v>
      </c>
      <c r="C464" s="1" t="n">
        <v>45905</v>
      </c>
      <c r="D464" t="inlineStr">
        <is>
          <t>NORRBOTTENS LÄN</t>
        </is>
      </c>
      <c r="E464" t="inlineStr">
        <is>
          <t>BODEN</t>
        </is>
      </c>
      <c r="G464" t="n">
        <v>0.3</v>
      </c>
      <c r="H464" t="n">
        <v>0</v>
      </c>
      <c r="I464" t="n">
        <v>0</v>
      </c>
      <c r="J464" t="n">
        <v>0</v>
      </c>
      <c r="K464" t="n">
        <v>0</v>
      </c>
      <c r="L464" t="n">
        <v>0</v>
      </c>
      <c r="M464" t="n">
        <v>0</v>
      </c>
      <c r="N464" t="n">
        <v>0</v>
      </c>
      <c r="O464" t="n">
        <v>0</v>
      </c>
      <c r="P464" t="n">
        <v>0</v>
      </c>
      <c r="Q464" t="n">
        <v>0</v>
      </c>
      <c r="R464" s="2" t="inlineStr"/>
    </row>
    <row r="465" ht="15" customHeight="1">
      <c r="A465" t="inlineStr">
        <is>
          <t>A 49162-2023</t>
        </is>
      </c>
      <c r="B465" s="1" t="n">
        <v>45210.53141203704</v>
      </c>
      <c r="C465" s="1" t="n">
        <v>45905</v>
      </c>
      <c r="D465" t="inlineStr">
        <is>
          <t>NORRBOTTENS LÄN</t>
        </is>
      </c>
      <c r="E465" t="inlineStr">
        <is>
          <t>BODEN</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16741-2022</t>
        </is>
      </c>
      <c r="B466" s="1" t="n">
        <v>44673</v>
      </c>
      <c r="C466" s="1" t="n">
        <v>45905</v>
      </c>
      <c r="D466" t="inlineStr">
        <is>
          <t>NORRBOTTENS LÄN</t>
        </is>
      </c>
      <c r="E466" t="inlineStr">
        <is>
          <t>BODEN</t>
        </is>
      </c>
      <c r="G466" t="n">
        <v>2.5</v>
      </c>
      <c r="H466" t="n">
        <v>0</v>
      </c>
      <c r="I466" t="n">
        <v>0</v>
      </c>
      <c r="J466" t="n">
        <v>0</v>
      </c>
      <c r="K466" t="n">
        <v>0</v>
      </c>
      <c r="L466" t="n">
        <v>0</v>
      </c>
      <c r="M466" t="n">
        <v>0</v>
      </c>
      <c r="N466" t="n">
        <v>0</v>
      </c>
      <c r="O466" t="n">
        <v>0</v>
      </c>
      <c r="P466" t="n">
        <v>0</v>
      </c>
      <c r="Q466" t="n">
        <v>0</v>
      </c>
      <c r="R466" s="2" t="inlineStr"/>
    </row>
    <row r="467" ht="15" customHeight="1">
      <c r="A467" t="inlineStr">
        <is>
          <t>A 28139-2025</t>
        </is>
      </c>
      <c r="B467" s="1" t="n">
        <v>45818</v>
      </c>
      <c r="C467" s="1" t="n">
        <v>45905</v>
      </c>
      <c r="D467" t="inlineStr">
        <is>
          <t>NORRBOTTENS LÄN</t>
        </is>
      </c>
      <c r="E467" t="inlineStr">
        <is>
          <t>BODEN</t>
        </is>
      </c>
      <c r="F467" t="inlineStr">
        <is>
          <t>SCA</t>
        </is>
      </c>
      <c r="G467" t="n">
        <v>11.3</v>
      </c>
      <c r="H467" t="n">
        <v>0</v>
      </c>
      <c r="I467" t="n">
        <v>0</v>
      </c>
      <c r="J467" t="n">
        <v>0</v>
      </c>
      <c r="K467" t="n">
        <v>0</v>
      </c>
      <c r="L467" t="n">
        <v>0</v>
      </c>
      <c r="M467" t="n">
        <v>0</v>
      </c>
      <c r="N467" t="n">
        <v>0</v>
      </c>
      <c r="O467" t="n">
        <v>0</v>
      </c>
      <c r="P467" t="n">
        <v>0</v>
      </c>
      <c r="Q467" t="n">
        <v>0</v>
      </c>
      <c r="R467" s="2" t="inlineStr"/>
    </row>
    <row r="468" ht="15" customHeight="1">
      <c r="A468" t="inlineStr">
        <is>
          <t>A 28197-2025</t>
        </is>
      </c>
      <c r="B468" s="1" t="n">
        <v>45818.43130787037</v>
      </c>
      <c r="C468" s="1" t="n">
        <v>45905</v>
      </c>
      <c r="D468" t="inlineStr">
        <is>
          <t>NORRBOTTENS LÄN</t>
        </is>
      </c>
      <c r="E468" t="inlineStr">
        <is>
          <t>BODEN</t>
        </is>
      </c>
      <c r="F468" t="inlineStr">
        <is>
          <t>Sveaskog</t>
        </is>
      </c>
      <c r="G468" t="n">
        <v>7.2</v>
      </c>
      <c r="H468" t="n">
        <v>0</v>
      </c>
      <c r="I468" t="n">
        <v>0</v>
      </c>
      <c r="J468" t="n">
        <v>0</v>
      </c>
      <c r="K468" t="n">
        <v>0</v>
      </c>
      <c r="L468" t="n">
        <v>0</v>
      </c>
      <c r="M468" t="n">
        <v>0</v>
      </c>
      <c r="N468" t="n">
        <v>0</v>
      </c>
      <c r="O468" t="n">
        <v>0</v>
      </c>
      <c r="P468" t="n">
        <v>0</v>
      </c>
      <c r="Q468" t="n">
        <v>0</v>
      </c>
      <c r="R468" s="2" t="inlineStr"/>
      <c r="U468">
        <f>HYPERLINK("https://klasma.github.io/Logging_2582/knärot/A 28197-2025 karta knärot.png", "A 28197-2025")</f>
        <v/>
      </c>
      <c r="V468">
        <f>HYPERLINK("https://klasma.github.io/Logging_2582/klagomål/A 28197-2025 FSC-klagomål.docx", "A 28197-2025")</f>
        <v/>
      </c>
      <c r="W468">
        <f>HYPERLINK("https://klasma.github.io/Logging_2582/klagomålsmail/A 28197-2025 FSC-klagomål mail.docx", "A 28197-2025")</f>
        <v/>
      </c>
      <c r="X468">
        <f>HYPERLINK("https://klasma.github.io/Logging_2582/tillsyn/A 28197-2025 tillsynsbegäran.docx", "A 28197-2025")</f>
        <v/>
      </c>
      <c r="Y468">
        <f>HYPERLINK("https://klasma.github.io/Logging_2582/tillsynsmail/A 28197-2025 tillsynsbegäran mail.docx", "A 28197-2025")</f>
        <v/>
      </c>
    </row>
    <row r="469" ht="15" customHeight="1">
      <c r="A469" t="inlineStr">
        <is>
          <t>A 42196-2024</t>
        </is>
      </c>
      <c r="B469" s="1" t="n">
        <v>45562</v>
      </c>
      <c r="C469" s="1" t="n">
        <v>45905</v>
      </c>
      <c r="D469" t="inlineStr">
        <is>
          <t>NORRBOTTENS LÄN</t>
        </is>
      </c>
      <c r="E469" t="inlineStr">
        <is>
          <t>BODEN</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28248-2025</t>
        </is>
      </c>
      <c r="B470" s="1" t="n">
        <v>45818.52607638889</v>
      </c>
      <c r="C470" s="1" t="n">
        <v>45905</v>
      </c>
      <c r="D470" t="inlineStr">
        <is>
          <t>NORRBOTTENS LÄN</t>
        </is>
      </c>
      <c r="E470" t="inlineStr">
        <is>
          <t>BODEN</t>
        </is>
      </c>
      <c r="G470" t="n">
        <v>1.3</v>
      </c>
      <c r="H470" t="n">
        <v>0</v>
      </c>
      <c r="I470" t="n">
        <v>0</v>
      </c>
      <c r="J470" t="n">
        <v>0</v>
      </c>
      <c r="K470" t="n">
        <v>0</v>
      </c>
      <c r="L470" t="n">
        <v>0</v>
      </c>
      <c r="M470" t="n">
        <v>0</v>
      </c>
      <c r="N470" t="n">
        <v>0</v>
      </c>
      <c r="O470" t="n">
        <v>0</v>
      </c>
      <c r="P470" t="n">
        <v>0</v>
      </c>
      <c r="Q470" t="n">
        <v>0</v>
      </c>
      <c r="R470" s="2" t="inlineStr"/>
    </row>
    <row r="471" ht="15" customHeight="1">
      <c r="A471" t="inlineStr">
        <is>
          <t>A 28270-2025</t>
        </is>
      </c>
      <c r="B471" s="1" t="n">
        <v>45818.56925925926</v>
      </c>
      <c r="C471" s="1" t="n">
        <v>45905</v>
      </c>
      <c r="D471" t="inlineStr">
        <is>
          <t>NORRBOTTENS LÄN</t>
        </is>
      </c>
      <c r="E471" t="inlineStr">
        <is>
          <t>BODEN</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45448-2023</t>
        </is>
      </c>
      <c r="B472" s="1" t="n">
        <v>45194.40741898148</v>
      </c>
      <c r="C472" s="1" t="n">
        <v>45905</v>
      </c>
      <c r="D472" t="inlineStr">
        <is>
          <t>NORRBOTTENS LÄN</t>
        </is>
      </c>
      <c r="E472" t="inlineStr">
        <is>
          <t>BODEN</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47922-2024</t>
        </is>
      </c>
      <c r="B473" s="1" t="n">
        <v>45589</v>
      </c>
      <c r="C473" s="1" t="n">
        <v>45905</v>
      </c>
      <c r="D473" t="inlineStr">
        <is>
          <t>NORRBOTTENS LÄN</t>
        </is>
      </c>
      <c r="E473" t="inlineStr">
        <is>
          <t>BODEN</t>
        </is>
      </c>
      <c r="F473" t="inlineStr">
        <is>
          <t>Naturvårdsverket</t>
        </is>
      </c>
      <c r="G473" t="n">
        <v>4.9</v>
      </c>
      <c r="H473" t="n">
        <v>0</v>
      </c>
      <c r="I473" t="n">
        <v>0</v>
      </c>
      <c r="J473" t="n">
        <v>0</v>
      </c>
      <c r="K473" t="n">
        <v>0</v>
      </c>
      <c r="L473" t="n">
        <v>0</v>
      </c>
      <c r="M473" t="n">
        <v>0</v>
      </c>
      <c r="N473" t="n">
        <v>0</v>
      </c>
      <c r="O473" t="n">
        <v>0</v>
      </c>
      <c r="P473" t="n">
        <v>0</v>
      </c>
      <c r="Q473" t="n">
        <v>0</v>
      </c>
      <c r="R473" s="2" t="inlineStr"/>
    </row>
    <row r="474" ht="15" customHeight="1">
      <c r="A474" t="inlineStr">
        <is>
          <t>A 47924-2024</t>
        </is>
      </c>
      <c r="B474" s="1" t="n">
        <v>45589.34494212963</v>
      </c>
      <c r="C474" s="1" t="n">
        <v>45905</v>
      </c>
      <c r="D474" t="inlineStr">
        <is>
          <t>NORRBOTTENS LÄN</t>
        </is>
      </c>
      <c r="E474" t="inlineStr">
        <is>
          <t>BODEN</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47926-2024</t>
        </is>
      </c>
      <c r="B475" s="1" t="n">
        <v>45589</v>
      </c>
      <c r="C475" s="1" t="n">
        <v>45905</v>
      </c>
      <c r="D475" t="inlineStr">
        <is>
          <t>NORRBOTTENS LÄN</t>
        </is>
      </c>
      <c r="E475" t="inlineStr">
        <is>
          <t>BODEN</t>
        </is>
      </c>
      <c r="F475" t="inlineStr">
        <is>
          <t>Naturvårdsverket</t>
        </is>
      </c>
      <c r="G475" t="n">
        <v>11.9</v>
      </c>
      <c r="H475" t="n">
        <v>0</v>
      </c>
      <c r="I475" t="n">
        <v>0</v>
      </c>
      <c r="J475" t="n">
        <v>0</v>
      </c>
      <c r="K475" t="n">
        <v>0</v>
      </c>
      <c r="L475" t="n">
        <v>0</v>
      </c>
      <c r="M475" t="n">
        <v>0</v>
      </c>
      <c r="N475" t="n">
        <v>0</v>
      </c>
      <c r="O475" t="n">
        <v>0</v>
      </c>
      <c r="P475" t="n">
        <v>0</v>
      </c>
      <c r="Q475" t="n">
        <v>0</v>
      </c>
      <c r="R475" s="2" t="inlineStr"/>
    </row>
    <row r="476" ht="15" customHeight="1">
      <c r="A476" t="inlineStr">
        <is>
          <t>A 18915-2025</t>
        </is>
      </c>
      <c r="B476" s="1" t="n">
        <v>45764</v>
      </c>
      <c r="C476" s="1" t="n">
        <v>45905</v>
      </c>
      <c r="D476" t="inlineStr">
        <is>
          <t>NORRBOTTENS LÄN</t>
        </is>
      </c>
      <c r="E476" t="inlineStr">
        <is>
          <t>BODEN</t>
        </is>
      </c>
      <c r="G476" t="n">
        <v>1.3</v>
      </c>
      <c r="H476" t="n">
        <v>0</v>
      </c>
      <c r="I476" t="n">
        <v>0</v>
      </c>
      <c r="J476" t="n">
        <v>0</v>
      </c>
      <c r="K476" t="n">
        <v>0</v>
      </c>
      <c r="L476" t="n">
        <v>0</v>
      </c>
      <c r="M476" t="n">
        <v>0</v>
      </c>
      <c r="N476" t="n">
        <v>0</v>
      </c>
      <c r="O476" t="n">
        <v>0</v>
      </c>
      <c r="P476" t="n">
        <v>0</v>
      </c>
      <c r="Q476" t="n">
        <v>0</v>
      </c>
      <c r="R476" s="2" t="inlineStr"/>
    </row>
    <row r="477" ht="15" customHeight="1">
      <c r="A477" t="inlineStr">
        <is>
          <t>A 29797-2022</t>
        </is>
      </c>
      <c r="B477" s="1" t="n">
        <v>44755</v>
      </c>
      <c r="C477" s="1" t="n">
        <v>45905</v>
      </c>
      <c r="D477" t="inlineStr">
        <is>
          <t>NORRBOTTENS LÄN</t>
        </is>
      </c>
      <c r="E477" t="inlineStr">
        <is>
          <t>BODEN</t>
        </is>
      </c>
      <c r="F477" t="inlineStr">
        <is>
          <t>Kyrkan</t>
        </is>
      </c>
      <c r="G477" t="n">
        <v>29.2</v>
      </c>
      <c r="H477" t="n">
        <v>0</v>
      </c>
      <c r="I477" t="n">
        <v>0</v>
      </c>
      <c r="J477" t="n">
        <v>0</v>
      </c>
      <c r="K477" t="n">
        <v>0</v>
      </c>
      <c r="L477" t="n">
        <v>0</v>
      </c>
      <c r="M477" t="n">
        <v>0</v>
      </c>
      <c r="N477" t="n">
        <v>0</v>
      </c>
      <c r="O477" t="n">
        <v>0</v>
      </c>
      <c r="P477" t="n">
        <v>0</v>
      </c>
      <c r="Q477" t="n">
        <v>0</v>
      </c>
      <c r="R477" s="2" t="inlineStr"/>
    </row>
    <row r="478" ht="15" customHeight="1">
      <c r="A478" t="inlineStr">
        <is>
          <t>A 38874-2023</t>
        </is>
      </c>
      <c r="B478" s="1" t="n">
        <v>45161</v>
      </c>
      <c r="C478" s="1" t="n">
        <v>45905</v>
      </c>
      <c r="D478" t="inlineStr">
        <is>
          <t>NORRBOTTENS LÄN</t>
        </is>
      </c>
      <c r="E478" t="inlineStr">
        <is>
          <t>BODEN</t>
        </is>
      </c>
      <c r="G478" t="n">
        <v>15.5</v>
      </c>
      <c r="H478" t="n">
        <v>0</v>
      </c>
      <c r="I478" t="n">
        <v>0</v>
      </c>
      <c r="J478" t="n">
        <v>0</v>
      </c>
      <c r="K478" t="n">
        <v>0</v>
      </c>
      <c r="L478" t="n">
        <v>0</v>
      </c>
      <c r="M478" t="n">
        <v>0</v>
      </c>
      <c r="N478" t="n">
        <v>0</v>
      </c>
      <c r="O478" t="n">
        <v>0</v>
      </c>
      <c r="P478" t="n">
        <v>0</v>
      </c>
      <c r="Q478" t="n">
        <v>0</v>
      </c>
      <c r="R478" s="2" t="inlineStr"/>
    </row>
    <row r="479" ht="15" customHeight="1">
      <c r="A479" t="inlineStr">
        <is>
          <t>A 28718-2025</t>
        </is>
      </c>
      <c r="B479" s="1" t="n">
        <v>45820.34439814815</v>
      </c>
      <c r="C479" s="1" t="n">
        <v>45905</v>
      </c>
      <c r="D479" t="inlineStr">
        <is>
          <t>NORRBOTTENS LÄN</t>
        </is>
      </c>
      <c r="E479" t="inlineStr">
        <is>
          <t>BODEN</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29451-2025</t>
        </is>
      </c>
      <c r="B480" s="1" t="n">
        <v>45824</v>
      </c>
      <c r="C480" s="1" t="n">
        <v>45905</v>
      </c>
      <c r="D480" t="inlineStr">
        <is>
          <t>NORRBOTTENS LÄN</t>
        </is>
      </c>
      <c r="E480" t="inlineStr">
        <is>
          <t>BODEN</t>
        </is>
      </c>
      <c r="G480" t="n">
        <v>3.3</v>
      </c>
      <c r="H480" t="n">
        <v>0</v>
      </c>
      <c r="I480" t="n">
        <v>0</v>
      </c>
      <c r="J480" t="n">
        <v>0</v>
      </c>
      <c r="K480" t="n">
        <v>0</v>
      </c>
      <c r="L480" t="n">
        <v>0</v>
      </c>
      <c r="M480" t="n">
        <v>0</v>
      </c>
      <c r="N480" t="n">
        <v>0</v>
      </c>
      <c r="O480" t="n">
        <v>0</v>
      </c>
      <c r="P480" t="n">
        <v>0</v>
      </c>
      <c r="Q480" t="n">
        <v>0</v>
      </c>
      <c r="R480" s="2" t="inlineStr"/>
    </row>
    <row r="481" ht="15" customHeight="1">
      <c r="A481" t="inlineStr">
        <is>
          <t>A 63264-2020</t>
        </is>
      </c>
      <c r="B481" s="1" t="n">
        <v>44164</v>
      </c>
      <c r="C481" s="1" t="n">
        <v>45905</v>
      </c>
      <c r="D481" t="inlineStr">
        <is>
          <t>NORRBOTTENS LÄN</t>
        </is>
      </c>
      <c r="E481" t="inlineStr">
        <is>
          <t>BODEN</t>
        </is>
      </c>
      <c r="F481" t="inlineStr">
        <is>
          <t>Kommuner</t>
        </is>
      </c>
      <c r="G481" t="n">
        <v>6.8</v>
      </c>
      <c r="H481" t="n">
        <v>0</v>
      </c>
      <c r="I481" t="n">
        <v>0</v>
      </c>
      <c r="J481" t="n">
        <v>0</v>
      </c>
      <c r="K481" t="n">
        <v>0</v>
      </c>
      <c r="L481" t="n">
        <v>0</v>
      </c>
      <c r="M481" t="n">
        <v>0</v>
      </c>
      <c r="N481" t="n">
        <v>0</v>
      </c>
      <c r="O481" t="n">
        <v>0</v>
      </c>
      <c r="P481" t="n">
        <v>0</v>
      </c>
      <c r="Q481" t="n">
        <v>0</v>
      </c>
      <c r="R481" s="2" t="inlineStr"/>
    </row>
    <row r="482" ht="15" customHeight="1">
      <c r="A482" t="inlineStr">
        <is>
          <t>A 32754-2022</t>
        </is>
      </c>
      <c r="B482" s="1" t="n">
        <v>44783.85420138889</v>
      </c>
      <c r="C482" s="1" t="n">
        <v>45905</v>
      </c>
      <c r="D482" t="inlineStr">
        <is>
          <t>NORRBOTTENS LÄN</t>
        </is>
      </c>
      <c r="E482" t="inlineStr">
        <is>
          <t>BODEN</t>
        </is>
      </c>
      <c r="G482" t="n">
        <v>0.9</v>
      </c>
      <c r="H482" t="n">
        <v>0</v>
      </c>
      <c r="I482" t="n">
        <v>0</v>
      </c>
      <c r="J482" t="n">
        <v>0</v>
      </c>
      <c r="K482" t="n">
        <v>0</v>
      </c>
      <c r="L482" t="n">
        <v>0</v>
      </c>
      <c r="M482" t="n">
        <v>0</v>
      </c>
      <c r="N482" t="n">
        <v>0</v>
      </c>
      <c r="O482" t="n">
        <v>0</v>
      </c>
      <c r="P482" t="n">
        <v>0</v>
      </c>
      <c r="Q482" t="n">
        <v>0</v>
      </c>
      <c r="R482" s="2" t="inlineStr"/>
    </row>
    <row r="483" ht="15" customHeight="1">
      <c r="A483" t="inlineStr">
        <is>
          <t>A 36006-2025</t>
        </is>
      </c>
      <c r="B483" s="1" t="n">
        <v>45863.56016203704</v>
      </c>
      <c r="C483" s="1" t="n">
        <v>45905</v>
      </c>
      <c r="D483" t="inlineStr">
        <is>
          <t>NORRBOTTENS LÄN</t>
        </is>
      </c>
      <c r="E483" t="inlineStr">
        <is>
          <t>BODEN</t>
        </is>
      </c>
      <c r="F483" t="inlineStr">
        <is>
          <t>Sveaskog</t>
        </is>
      </c>
      <c r="G483" t="n">
        <v>4.8</v>
      </c>
      <c r="H483" t="n">
        <v>0</v>
      </c>
      <c r="I483" t="n">
        <v>0</v>
      </c>
      <c r="J483" t="n">
        <v>0</v>
      </c>
      <c r="K483" t="n">
        <v>0</v>
      </c>
      <c r="L483" t="n">
        <v>0</v>
      </c>
      <c r="M483" t="n">
        <v>0</v>
      </c>
      <c r="N483" t="n">
        <v>0</v>
      </c>
      <c r="O483" t="n">
        <v>0</v>
      </c>
      <c r="P483" t="n">
        <v>0</v>
      </c>
      <c r="Q483" t="n">
        <v>0</v>
      </c>
      <c r="R483" s="2" t="inlineStr"/>
    </row>
    <row r="484" ht="15" customHeight="1">
      <c r="A484" t="inlineStr">
        <is>
          <t>A 47097-2023</t>
        </is>
      </c>
      <c r="B484" s="1" t="n">
        <v>45201.64971064815</v>
      </c>
      <c r="C484" s="1" t="n">
        <v>45905</v>
      </c>
      <c r="D484" t="inlineStr">
        <is>
          <t>NORRBOTTENS LÄN</t>
        </is>
      </c>
      <c r="E484" t="inlineStr">
        <is>
          <t>BODEN</t>
        </is>
      </c>
      <c r="G484" t="n">
        <v>5.5</v>
      </c>
      <c r="H484" t="n">
        <v>0</v>
      </c>
      <c r="I484" t="n">
        <v>0</v>
      </c>
      <c r="J484" t="n">
        <v>0</v>
      </c>
      <c r="K484" t="n">
        <v>0</v>
      </c>
      <c r="L484" t="n">
        <v>0</v>
      </c>
      <c r="M484" t="n">
        <v>0</v>
      </c>
      <c r="N484" t="n">
        <v>0</v>
      </c>
      <c r="O484" t="n">
        <v>0</v>
      </c>
      <c r="P484" t="n">
        <v>0</v>
      </c>
      <c r="Q484" t="n">
        <v>0</v>
      </c>
      <c r="R484" s="2" t="inlineStr"/>
    </row>
    <row r="485" ht="15" customHeight="1">
      <c r="A485" t="inlineStr">
        <is>
          <t>A 29450-2025</t>
        </is>
      </c>
      <c r="B485" s="1" t="n">
        <v>45824</v>
      </c>
      <c r="C485" s="1" t="n">
        <v>45905</v>
      </c>
      <c r="D485" t="inlineStr">
        <is>
          <t>NORRBOTTENS LÄN</t>
        </is>
      </c>
      <c r="E485" t="inlineStr">
        <is>
          <t>BODEN</t>
        </is>
      </c>
      <c r="G485" t="n">
        <v>13</v>
      </c>
      <c r="H485" t="n">
        <v>0</v>
      </c>
      <c r="I485" t="n">
        <v>0</v>
      </c>
      <c r="J485" t="n">
        <v>0</v>
      </c>
      <c r="K485" t="n">
        <v>0</v>
      </c>
      <c r="L485" t="n">
        <v>0</v>
      </c>
      <c r="M485" t="n">
        <v>0</v>
      </c>
      <c r="N485" t="n">
        <v>0</v>
      </c>
      <c r="O485" t="n">
        <v>0</v>
      </c>
      <c r="P485" t="n">
        <v>0</v>
      </c>
      <c r="Q485" t="n">
        <v>0</v>
      </c>
      <c r="R485" s="2" t="inlineStr"/>
    </row>
    <row r="486" ht="15" customHeight="1">
      <c r="A486" t="inlineStr">
        <is>
          <t>A 36014-2025</t>
        </is>
      </c>
      <c r="B486" s="1" t="n">
        <v>45863.6125</v>
      </c>
      <c r="C486" s="1" t="n">
        <v>45905</v>
      </c>
      <c r="D486" t="inlineStr">
        <is>
          <t>NORRBOTTENS LÄN</t>
        </is>
      </c>
      <c r="E486" t="inlineStr">
        <is>
          <t>BODEN</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36019-2025</t>
        </is>
      </c>
      <c r="B487" s="1" t="n">
        <v>45863.67741898148</v>
      </c>
      <c r="C487" s="1" t="n">
        <v>45905</v>
      </c>
      <c r="D487" t="inlineStr">
        <is>
          <t>NORRBOTTENS LÄN</t>
        </is>
      </c>
      <c r="E487" t="inlineStr">
        <is>
          <t>BODEN</t>
        </is>
      </c>
      <c r="G487" t="n">
        <v>6.2</v>
      </c>
      <c r="H487" t="n">
        <v>0</v>
      </c>
      <c r="I487" t="n">
        <v>0</v>
      </c>
      <c r="J487" t="n">
        <v>0</v>
      </c>
      <c r="K487" t="n">
        <v>0</v>
      </c>
      <c r="L487" t="n">
        <v>0</v>
      </c>
      <c r="M487" t="n">
        <v>0</v>
      </c>
      <c r="N487" t="n">
        <v>0</v>
      </c>
      <c r="O487" t="n">
        <v>0</v>
      </c>
      <c r="P487" t="n">
        <v>0</v>
      </c>
      <c r="Q487" t="n">
        <v>0</v>
      </c>
      <c r="R487" s="2" t="inlineStr"/>
    </row>
    <row r="488" ht="15" customHeight="1">
      <c r="A488" t="inlineStr">
        <is>
          <t>A 1049-2024</t>
        </is>
      </c>
      <c r="B488" s="1" t="n">
        <v>45301</v>
      </c>
      <c r="C488" s="1" t="n">
        <v>45905</v>
      </c>
      <c r="D488" t="inlineStr">
        <is>
          <t>NORRBOTTENS LÄN</t>
        </is>
      </c>
      <c r="E488" t="inlineStr">
        <is>
          <t>BODEN</t>
        </is>
      </c>
      <c r="G488" t="n">
        <v>3.6</v>
      </c>
      <c r="H488" t="n">
        <v>0</v>
      </c>
      <c r="I488" t="n">
        <v>0</v>
      </c>
      <c r="J488" t="n">
        <v>0</v>
      </c>
      <c r="K488" t="n">
        <v>0</v>
      </c>
      <c r="L488" t="n">
        <v>0</v>
      </c>
      <c r="M488" t="n">
        <v>0</v>
      </c>
      <c r="N488" t="n">
        <v>0</v>
      </c>
      <c r="O488" t="n">
        <v>0</v>
      </c>
      <c r="P488" t="n">
        <v>0</v>
      </c>
      <c r="Q488" t="n">
        <v>0</v>
      </c>
      <c r="R488" s="2" t="inlineStr"/>
    </row>
    <row r="489" ht="15" customHeight="1">
      <c r="A489" t="inlineStr">
        <is>
          <t>A 29376-2025</t>
        </is>
      </c>
      <c r="B489" s="1" t="n">
        <v>45824</v>
      </c>
      <c r="C489" s="1" t="n">
        <v>45905</v>
      </c>
      <c r="D489" t="inlineStr">
        <is>
          <t>NORRBOTTENS LÄN</t>
        </is>
      </c>
      <c r="E489" t="inlineStr">
        <is>
          <t>BODEN</t>
        </is>
      </c>
      <c r="G489" t="n">
        <v>4.3</v>
      </c>
      <c r="H489" t="n">
        <v>0</v>
      </c>
      <c r="I489" t="n">
        <v>0</v>
      </c>
      <c r="J489" t="n">
        <v>0</v>
      </c>
      <c r="K489" t="n">
        <v>0</v>
      </c>
      <c r="L489" t="n">
        <v>0</v>
      </c>
      <c r="M489" t="n">
        <v>0</v>
      </c>
      <c r="N489" t="n">
        <v>0</v>
      </c>
      <c r="O489" t="n">
        <v>0</v>
      </c>
      <c r="P489" t="n">
        <v>0</v>
      </c>
      <c r="Q489" t="n">
        <v>0</v>
      </c>
      <c r="R489" s="2" t="inlineStr"/>
    </row>
    <row r="490" ht="15" customHeight="1">
      <c r="A490" t="inlineStr">
        <is>
          <t>A 29951-2025</t>
        </is>
      </c>
      <c r="B490" s="1" t="n">
        <v>45826.46918981482</v>
      </c>
      <c r="C490" s="1" t="n">
        <v>45905</v>
      </c>
      <c r="D490" t="inlineStr">
        <is>
          <t>NORRBOTTENS LÄN</t>
        </is>
      </c>
      <c r="E490" t="inlineStr">
        <is>
          <t>BODEN</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30089-2025</t>
        </is>
      </c>
      <c r="B491" s="1" t="n">
        <v>45826</v>
      </c>
      <c r="C491" s="1" t="n">
        <v>45905</v>
      </c>
      <c r="D491" t="inlineStr">
        <is>
          <t>NORRBOTTENS LÄN</t>
        </is>
      </c>
      <c r="E491" t="inlineStr">
        <is>
          <t>BODEN</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29971-2025</t>
        </is>
      </c>
      <c r="B492" s="1" t="n">
        <v>45826.49025462963</v>
      </c>
      <c r="C492" s="1" t="n">
        <v>45905</v>
      </c>
      <c r="D492" t="inlineStr">
        <is>
          <t>NORRBOTTENS LÄN</t>
        </is>
      </c>
      <c r="E492" t="inlineStr">
        <is>
          <t>BODEN</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56139-2024</t>
        </is>
      </c>
      <c r="B493" s="1" t="n">
        <v>45624.4886574074</v>
      </c>
      <c r="C493" s="1" t="n">
        <v>45905</v>
      </c>
      <c r="D493" t="inlineStr">
        <is>
          <t>NORRBOTTENS LÄN</t>
        </is>
      </c>
      <c r="E493" t="inlineStr">
        <is>
          <t>BODEN</t>
        </is>
      </c>
      <c r="G493" t="n">
        <v>2.5</v>
      </c>
      <c r="H493" t="n">
        <v>0</v>
      </c>
      <c r="I493" t="n">
        <v>0</v>
      </c>
      <c r="J493" t="n">
        <v>0</v>
      </c>
      <c r="K493" t="n">
        <v>0</v>
      </c>
      <c r="L493" t="n">
        <v>0</v>
      </c>
      <c r="M493" t="n">
        <v>0</v>
      </c>
      <c r="N493" t="n">
        <v>0</v>
      </c>
      <c r="O493" t="n">
        <v>0</v>
      </c>
      <c r="P493" t="n">
        <v>0</v>
      </c>
      <c r="Q493" t="n">
        <v>0</v>
      </c>
      <c r="R493" s="2" t="inlineStr"/>
    </row>
    <row r="494" ht="15" customHeight="1">
      <c r="A494" t="inlineStr">
        <is>
          <t>A 11865-2025</t>
        </is>
      </c>
      <c r="B494" s="1" t="n">
        <v>45728.4180324074</v>
      </c>
      <c r="C494" s="1" t="n">
        <v>45905</v>
      </c>
      <c r="D494" t="inlineStr">
        <is>
          <t>NORRBOTTENS LÄN</t>
        </is>
      </c>
      <c r="E494" t="inlineStr">
        <is>
          <t>BODEN</t>
        </is>
      </c>
      <c r="F494" t="inlineStr">
        <is>
          <t>Övriga Aktiebolag</t>
        </is>
      </c>
      <c r="G494" t="n">
        <v>10.6</v>
      </c>
      <c r="H494" t="n">
        <v>0</v>
      </c>
      <c r="I494" t="n">
        <v>0</v>
      </c>
      <c r="J494" t="n">
        <v>0</v>
      </c>
      <c r="K494" t="n">
        <v>0</v>
      </c>
      <c r="L494" t="n">
        <v>0</v>
      </c>
      <c r="M494" t="n">
        <v>0</v>
      </c>
      <c r="N494" t="n">
        <v>0</v>
      </c>
      <c r="O494" t="n">
        <v>0</v>
      </c>
      <c r="P494" t="n">
        <v>0</v>
      </c>
      <c r="Q494" t="n">
        <v>0</v>
      </c>
      <c r="R494" s="2" t="inlineStr"/>
    </row>
    <row r="495" ht="15" customHeight="1">
      <c r="A495" t="inlineStr">
        <is>
          <t>A 57579-2023</t>
        </is>
      </c>
      <c r="B495" s="1" t="n">
        <v>45246</v>
      </c>
      <c r="C495" s="1" t="n">
        <v>45905</v>
      </c>
      <c r="D495" t="inlineStr">
        <is>
          <t>NORRBOTTENS LÄN</t>
        </is>
      </c>
      <c r="E495" t="inlineStr">
        <is>
          <t>BODEN</t>
        </is>
      </c>
      <c r="G495" t="n">
        <v>3.5</v>
      </c>
      <c r="H495" t="n">
        <v>0</v>
      </c>
      <c r="I495" t="n">
        <v>0</v>
      </c>
      <c r="J495" t="n">
        <v>0</v>
      </c>
      <c r="K495" t="n">
        <v>0</v>
      </c>
      <c r="L495" t="n">
        <v>0</v>
      </c>
      <c r="M495" t="n">
        <v>0</v>
      </c>
      <c r="N495" t="n">
        <v>0</v>
      </c>
      <c r="O495" t="n">
        <v>0</v>
      </c>
      <c r="P495" t="n">
        <v>0</v>
      </c>
      <c r="Q495" t="n">
        <v>0</v>
      </c>
      <c r="R495" s="2" t="inlineStr"/>
    </row>
    <row r="496" ht="15" customHeight="1">
      <c r="A496" t="inlineStr">
        <is>
          <t>A 17412-2024</t>
        </is>
      </c>
      <c r="B496" s="1" t="n">
        <v>45414</v>
      </c>
      <c r="C496" s="1" t="n">
        <v>45905</v>
      </c>
      <c r="D496" t="inlineStr">
        <is>
          <t>NORRBOTTENS LÄN</t>
        </is>
      </c>
      <c r="E496" t="inlineStr">
        <is>
          <t>BODEN</t>
        </is>
      </c>
      <c r="G496" t="n">
        <v>14.6</v>
      </c>
      <c r="H496" t="n">
        <v>0</v>
      </c>
      <c r="I496" t="n">
        <v>0</v>
      </c>
      <c r="J496" t="n">
        <v>0</v>
      </c>
      <c r="K496" t="n">
        <v>0</v>
      </c>
      <c r="L496" t="n">
        <v>0</v>
      </c>
      <c r="M496" t="n">
        <v>0</v>
      </c>
      <c r="N496" t="n">
        <v>0</v>
      </c>
      <c r="O496" t="n">
        <v>0</v>
      </c>
      <c r="P496" t="n">
        <v>0</v>
      </c>
      <c r="Q496" t="n">
        <v>0</v>
      </c>
      <c r="R496" s="2" t="inlineStr"/>
    </row>
    <row r="497" ht="15" customHeight="1">
      <c r="A497" t="inlineStr">
        <is>
          <t>A 17413-2024</t>
        </is>
      </c>
      <c r="B497" s="1" t="n">
        <v>45414.95038194444</v>
      </c>
      <c r="C497" s="1" t="n">
        <v>45905</v>
      </c>
      <c r="D497" t="inlineStr">
        <is>
          <t>NORRBOTTENS LÄN</t>
        </is>
      </c>
      <c r="E497" t="inlineStr">
        <is>
          <t>BODEN</t>
        </is>
      </c>
      <c r="G497" t="n">
        <v>1.2</v>
      </c>
      <c r="H497" t="n">
        <v>0</v>
      </c>
      <c r="I497" t="n">
        <v>0</v>
      </c>
      <c r="J497" t="n">
        <v>0</v>
      </c>
      <c r="K497" t="n">
        <v>0</v>
      </c>
      <c r="L497" t="n">
        <v>0</v>
      </c>
      <c r="M497" t="n">
        <v>0</v>
      </c>
      <c r="N497" t="n">
        <v>0</v>
      </c>
      <c r="O497" t="n">
        <v>0</v>
      </c>
      <c r="P497" t="n">
        <v>0</v>
      </c>
      <c r="Q497" t="n">
        <v>0</v>
      </c>
      <c r="R497" s="2" t="inlineStr"/>
    </row>
    <row r="498" ht="15" customHeight="1">
      <c r="A498" t="inlineStr">
        <is>
          <t>A 18428-2025</t>
        </is>
      </c>
      <c r="B498" s="1" t="n">
        <v>45762</v>
      </c>
      <c r="C498" s="1" t="n">
        <v>45905</v>
      </c>
      <c r="D498" t="inlineStr">
        <is>
          <t>NORRBOTTENS LÄN</t>
        </is>
      </c>
      <c r="E498" t="inlineStr">
        <is>
          <t>BODEN</t>
        </is>
      </c>
      <c r="G498" t="n">
        <v>5.8</v>
      </c>
      <c r="H498" t="n">
        <v>0</v>
      </c>
      <c r="I498" t="n">
        <v>0</v>
      </c>
      <c r="J498" t="n">
        <v>0</v>
      </c>
      <c r="K498" t="n">
        <v>0</v>
      </c>
      <c r="L498" t="n">
        <v>0</v>
      </c>
      <c r="M498" t="n">
        <v>0</v>
      </c>
      <c r="N498" t="n">
        <v>0</v>
      </c>
      <c r="O498" t="n">
        <v>0</v>
      </c>
      <c r="P498" t="n">
        <v>0</v>
      </c>
      <c r="Q498" t="n">
        <v>0</v>
      </c>
      <c r="R498" s="2" t="inlineStr"/>
    </row>
    <row r="499" ht="15" customHeight="1">
      <c r="A499" t="inlineStr">
        <is>
          <t>A 54722-2024</t>
        </is>
      </c>
      <c r="B499" s="1" t="n">
        <v>45618.43729166667</v>
      </c>
      <c r="C499" s="1" t="n">
        <v>45905</v>
      </c>
      <c r="D499" t="inlineStr">
        <is>
          <t>NORRBOTTENS LÄN</t>
        </is>
      </c>
      <c r="E499" t="inlineStr">
        <is>
          <t>BODEN</t>
        </is>
      </c>
      <c r="F499" t="inlineStr">
        <is>
          <t>Naturvårdsverket</t>
        </is>
      </c>
      <c r="G499" t="n">
        <v>12.9</v>
      </c>
      <c r="H499" t="n">
        <v>0</v>
      </c>
      <c r="I499" t="n">
        <v>0</v>
      </c>
      <c r="J499" t="n">
        <v>0</v>
      </c>
      <c r="K499" t="n">
        <v>0</v>
      </c>
      <c r="L499" t="n">
        <v>0</v>
      </c>
      <c r="M499" t="n">
        <v>0</v>
      </c>
      <c r="N499" t="n">
        <v>0</v>
      </c>
      <c r="O499" t="n">
        <v>0</v>
      </c>
      <c r="P499" t="n">
        <v>0</v>
      </c>
      <c r="Q499" t="n">
        <v>0</v>
      </c>
      <c r="R499" s="2" t="inlineStr"/>
    </row>
    <row r="500" ht="15" customHeight="1">
      <c r="A500" t="inlineStr">
        <is>
          <t>A 36564-2025</t>
        </is>
      </c>
      <c r="B500" s="1" t="n">
        <v>45870.37630787037</v>
      </c>
      <c r="C500" s="1" t="n">
        <v>45905</v>
      </c>
      <c r="D500" t="inlineStr">
        <is>
          <t>NORRBOTTENS LÄN</t>
        </is>
      </c>
      <c r="E500" t="inlineStr">
        <is>
          <t>BODEN</t>
        </is>
      </c>
      <c r="F500" t="inlineStr">
        <is>
          <t>Sveaskog</t>
        </is>
      </c>
      <c r="G500" t="n">
        <v>6.5</v>
      </c>
      <c r="H500" t="n">
        <v>0</v>
      </c>
      <c r="I500" t="n">
        <v>0</v>
      </c>
      <c r="J500" t="n">
        <v>0</v>
      </c>
      <c r="K500" t="n">
        <v>0</v>
      </c>
      <c r="L500" t="n">
        <v>0</v>
      </c>
      <c r="M500" t="n">
        <v>0</v>
      </c>
      <c r="N500" t="n">
        <v>0</v>
      </c>
      <c r="O500" t="n">
        <v>0</v>
      </c>
      <c r="P500" t="n">
        <v>0</v>
      </c>
      <c r="Q500" t="n">
        <v>0</v>
      </c>
      <c r="R500" s="2" t="inlineStr"/>
    </row>
    <row r="501" ht="15" customHeight="1">
      <c r="A501" t="inlineStr">
        <is>
          <t>A 56457-2024</t>
        </is>
      </c>
      <c r="B501" s="1" t="n">
        <v>45625</v>
      </c>
      <c r="C501" s="1" t="n">
        <v>45905</v>
      </c>
      <c r="D501" t="inlineStr">
        <is>
          <t>NORRBOTTENS LÄN</t>
        </is>
      </c>
      <c r="E501" t="inlineStr">
        <is>
          <t>BODEN</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30354-2025</t>
        </is>
      </c>
      <c r="B502" s="1" t="n">
        <v>45827</v>
      </c>
      <c r="C502" s="1" t="n">
        <v>45905</v>
      </c>
      <c r="D502" t="inlineStr">
        <is>
          <t>NORRBOTTENS LÄN</t>
        </is>
      </c>
      <c r="E502" t="inlineStr">
        <is>
          <t>BODEN</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39463-2023</t>
        </is>
      </c>
      <c r="B503" s="1" t="n">
        <v>45166.83878472223</v>
      </c>
      <c r="C503" s="1" t="n">
        <v>45905</v>
      </c>
      <c r="D503" t="inlineStr">
        <is>
          <t>NORRBOTTENS LÄN</t>
        </is>
      </c>
      <c r="E503" t="inlineStr">
        <is>
          <t>BODEN</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30356-2025</t>
        </is>
      </c>
      <c r="B504" s="1" t="n">
        <v>45827</v>
      </c>
      <c r="C504" s="1" t="n">
        <v>45905</v>
      </c>
      <c r="D504" t="inlineStr">
        <is>
          <t>NORRBOTTENS LÄN</t>
        </is>
      </c>
      <c r="E504" t="inlineStr">
        <is>
          <t>BODEN</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30360-2025</t>
        </is>
      </c>
      <c r="B505" s="1" t="n">
        <v>45827</v>
      </c>
      <c r="C505" s="1" t="n">
        <v>45905</v>
      </c>
      <c r="D505" t="inlineStr">
        <is>
          <t>NORRBOTTENS LÄN</t>
        </is>
      </c>
      <c r="E505" t="inlineStr">
        <is>
          <t>BODEN</t>
        </is>
      </c>
      <c r="F505" t="inlineStr">
        <is>
          <t>Sveaskog</t>
        </is>
      </c>
      <c r="G505" t="n">
        <v>10.3</v>
      </c>
      <c r="H505" t="n">
        <v>0</v>
      </c>
      <c r="I505" t="n">
        <v>0</v>
      </c>
      <c r="J505" t="n">
        <v>0</v>
      </c>
      <c r="K505" t="n">
        <v>0</v>
      </c>
      <c r="L505" t="n">
        <v>0</v>
      </c>
      <c r="M505" t="n">
        <v>0</v>
      </c>
      <c r="N505" t="n">
        <v>0</v>
      </c>
      <c r="O505" t="n">
        <v>0</v>
      </c>
      <c r="P505" t="n">
        <v>0</v>
      </c>
      <c r="Q505" t="n">
        <v>0</v>
      </c>
      <c r="R505" s="2" t="inlineStr"/>
    </row>
    <row r="506" ht="15" customHeight="1">
      <c r="A506" t="inlineStr">
        <is>
          <t>A 30700-2025</t>
        </is>
      </c>
      <c r="B506" s="1" t="n">
        <v>45831.5465625</v>
      </c>
      <c r="C506" s="1" t="n">
        <v>45905</v>
      </c>
      <c r="D506" t="inlineStr">
        <is>
          <t>NORRBOTTENS LÄN</t>
        </is>
      </c>
      <c r="E506" t="inlineStr">
        <is>
          <t>BODEN</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9940-2025</t>
        </is>
      </c>
      <c r="B507" s="1" t="n">
        <v>45718.80024305556</v>
      </c>
      <c r="C507" s="1" t="n">
        <v>45905</v>
      </c>
      <c r="D507" t="inlineStr">
        <is>
          <t>NORRBOTTENS LÄN</t>
        </is>
      </c>
      <c r="E507" t="inlineStr">
        <is>
          <t>BODEN</t>
        </is>
      </c>
      <c r="G507" t="n">
        <v>6.3</v>
      </c>
      <c r="H507" t="n">
        <v>0</v>
      </c>
      <c r="I507" t="n">
        <v>0</v>
      </c>
      <c r="J507" t="n">
        <v>0</v>
      </c>
      <c r="K507" t="n">
        <v>0</v>
      </c>
      <c r="L507" t="n">
        <v>0</v>
      </c>
      <c r="M507" t="n">
        <v>0</v>
      </c>
      <c r="N507" t="n">
        <v>0</v>
      </c>
      <c r="O507" t="n">
        <v>0</v>
      </c>
      <c r="P507" t="n">
        <v>0</v>
      </c>
      <c r="Q507" t="n">
        <v>0</v>
      </c>
      <c r="R507" s="2" t="inlineStr"/>
    </row>
    <row r="508" ht="15" customHeight="1">
      <c r="A508" t="inlineStr">
        <is>
          <t>A 57968-2023</t>
        </is>
      </c>
      <c r="B508" s="1" t="n">
        <v>45247.58217592593</v>
      </c>
      <c r="C508" s="1" t="n">
        <v>45905</v>
      </c>
      <c r="D508" t="inlineStr">
        <is>
          <t>NORRBOTTENS LÄN</t>
        </is>
      </c>
      <c r="E508" t="inlineStr">
        <is>
          <t>BODEN</t>
        </is>
      </c>
      <c r="G508" t="n">
        <v>2</v>
      </c>
      <c r="H508" t="n">
        <v>0</v>
      </c>
      <c r="I508" t="n">
        <v>0</v>
      </c>
      <c r="J508" t="n">
        <v>0</v>
      </c>
      <c r="K508" t="n">
        <v>0</v>
      </c>
      <c r="L508" t="n">
        <v>0</v>
      </c>
      <c r="M508" t="n">
        <v>0</v>
      </c>
      <c r="N508" t="n">
        <v>0</v>
      </c>
      <c r="O508" t="n">
        <v>0</v>
      </c>
      <c r="P508" t="n">
        <v>0</v>
      </c>
      <c r="Q508" t="n">
        <v>0</v>
      </c>
      <c r="R508" s="2" t="inlineStr"/>
    </row>
    <row r="509" ht="15" customHeight="1">
      <c r="A509" t="inlineStr">
        <is>
          <t>A 59029-2022</t>
        </is>
      </c>
      <c r="B509" s="1" t="n">
        <v>44903</v>
      </c>
      <c r="C509" s="1" t="n">
        <v>45905</v>
      </c>
      <c r="D509" t="inlineStr">
        <is>
          <t>NORRBOTTENS LÄN</t>
        </is>
      </c>
      <c r="E509" t="inlineStr">
        <is>
          <t>BODEN</t>
        </is>
      </c>
      <c r="G509" t="n">
        <v>7.3</v>
      </c>
      <c r="H509" t="n">
        <v>0</v>
      </c>
      <c r="I509" t="n">
        <v>0</v>
      </c>
      <c r="J509" t="n">
        <v>0</v>
      </c>
      <c r="K509" t="n">
        <v>0</v>
      </c>
      <c r="L509" t="n">
        <v>0</v>
      </c>
      <c r="M509" t="n">
        <v>0</v>
      </c>
      <c r="N509" t="n">
        <v>0</v>
      </c>
      <c r="O509" t="n">
        <v>0</v>
      </c>
      <c r="P509" t="n">
        <v>0</v>
      </c>
      <c r="Q509" t="n">
        <v>0</v>
      </c>
      <c r="R509" s="2" t="inlineStr"/>
    </row>
    <row r="510" ht="15" customHeight="1">
      <c r="A510" t="inlineStr">
        <is>
          <t>A 31177-2025</t>
        </is>
      </c>
      <c r="B510" s="1" t="n">
        <v>45832.67101851852</v>
      </c>
      <c r="C510" s="1" t="n">
        <v>45905</v>
      </c>
      <c r="D510" t="inlineStr">
        <is>
          <t>NORRBOTTENS LÄN</t>
        </is>
      </c>
      <c r="E510" t="inlineStr">
        <is>
          <t>BODEN</t>
        </is>
      </c>
      <c r="G510" t="n">
        <v>5.3</v>
      </c>
      <c r="H510" t="n">
        <v>0</v>
      </c>
      <c r="I510" t="n">
        <v>0</v>
      </c>
      <c r="J510" t="n">
        <v>0</v>
      </c>
      <c r="K510" t="n">
        <v>0</v>
      </c>
      <c r="L510" t="n">
        <v>0</v>
      </c>
      <c r="M510" t="n">
        <v>0</v>
      </c>
      <c r="N510" t="n">
        <v>0</v>
      </c>
      <c r="O510" t="n">
        <v>0</v>
      </c>
      <c r="P510" t="n">
        <v>0</v>
      </c>
      <c r="Q510" t="n">
        <v>0</v>
      </c>
      <c r="R510" s="2" t="inlineStr"/>
    </row>
    <row r="511" ht="15" customHeight="1">
      <c r="A511" t="inlineStr">
        <is>
          <t>A 2682-2024</t>
        </is>
      </c>
      <c r="B511" s="1" t="n">
        <v>45314</v>
      </c>
      <c r="C511" s="1" t="n">
        <v>45905</v>
      </c>
      <c r="D511" t="inlineStr">
        <is>
          <t>NORRBOTTENS LÄN</t>
        </is>
      </c>
      <c r="E511" t="inlineStr">
        <is>
          <t>BODEN</t>
        </is>
      </c>
      <c r="G511" t="n">
        <v>17</v>
      </c>
      <c r="H511" t="n">
        <v>0</v>
      </c>
      <c r="I511" t="n">
        <v>0</v>
      </c>
      <c r="J511" t="n">
        <v>0</v>
      </c>
      <c r="K511" t="n">
        <v>0</v>
      </c>
      <c r="L511" t="n">
        <v>0</v>
      </c>
      <c r="M511" t="n">
        <v>0</v>
      </c>
      <c r="N511" t="n">
        <v>0</v>
      </c>
      <c r="O511" t="n">
        <v>0</v>
      </c>
      <c r="P511" t="n">
        <v>0</v>
      </c>
      <c r="Q511" t="n">
        <v>0</v>
      </c>
      <c r="R511" s="2" t="inlineStr"/>
    </row>
    <row r="512" ht="15" customHeight="1">
      <c r="A512" t="inlineStr">
        <is>
          <t>A 50085-2024</t>
        </is>
      </c>
      <c r="B512" s="1" t="n">
        <v>45600.38277777778</v>
      </c>
      <c r="C512" s="1" t="n">
        <v>45905</v>
      </c>
      <c r="D512" t="inlineStr">
        <is>
          <t>NORRBOTTENS LÄN</t>
        </is>
      </c>
      <c r="E512" t="inlineStr">
        <is>
          <t>BODEN</t>
        </is>
      </c>
      <c r="G512" t="n">
        <v>0.8</v>
      </c>
      <c r="H512" t="n">
        <v>0</v>
      </c>
      <c r="I512" t="n">
        <v>0</v>
      </c>
      <c r="J512" t="n">
        <v>0</v>
      </c>
      <c r="K512" t="n">
        <v>0</v>
      </c>
      <c r="L512" t="n">
        <v>0</v>
      </c>
      <c r="M512" t="n">
        <v>0</v>
      </c>
      <c r="N512" t="n">
        <v>0</v>
      </c>
      <c r="O512" t="n">
        <v>0</v>
      </c>
      <c r="P512" t="n">
        <v>0</v>
      </c>
      <c r="Q512" t="n">
        <v>0</v>
      </c>
      <c r="R512" s="2" t="inlineStr"/>
    </row>
    <row r="513" ht="15" customHeight="1">
      <c r="A513" t="inlineStr">
        <is>
          <t>A 59688-2023</t>
        </is>
      </c>
      <c r="B513" s="1" t="n">
        <v>45256</v>
      </c>
      <c r="C513" s="1" t="n">
        <v>45905</v>
      </c>
      <c r="D513" t="inlineStr">
        <is>
          <t>NORRBOTTENS LÄN</t>
        </is>
      </c>
      <c r="E513" t="inlineStr">
        <is>
          <t>BODEN</t>
        </is>
      </c>
      <c r="G513" t="n">
        <v>2.4</v>
      </c>
      <c r="H513" t="n">
        <v>0</v>
      </c>
      <c r="I513" t="n">
        <v>0</v>
      </c>
      <c r="J513" t="n">
        <v>0</v>
      </c>
      <c r="K513" t="n">
        <v>0</v>
      </c>
      <c r="L513" t="n">
        <v>0</v>
      </c>
      <c r="M513" t="n">
        <v>0</v>
      </c>
      <c r="N513" t="n">
        <v>0</v>
      </c>
      <c r="O513" t="n">
        <v>0</v>
      </c>
      <c r="P513" t="n">
        <v>0</v>
      </c>
      <c r="Q513" t="n">
        <v>0</v>
      </c>
      <c r="R513" s="2" t="inlineStr"/>
    </row>
    <row r="514" ht="15" customHeight="1">
      <c r="A514" t="inlineStr">
        <is>
          <t>A 57604-2021</t>
        </is>
      </c>
      <c r="B514" s="1" t="n">
        <v>44484</v>
      </c>
      <c r="C514" s="1" t="n">
        <v>45905</v>
      </c>
      <c r="D514" t="inlineStr">
        <is>
          <t>NORRBOTTENS LÄN</t>
        </is>
      </c>
      <c r="E514" t="inlineStr">
        <is>
          <t>BODEN</t>
        </is>
      </c>
      <c r="G514" t="n">
        <v>0.5</v>
      </c>
      <c r="H514" t="n">
        <v>0</v>
      </c>
      <c r="I514" t="n">
        <v>0</v>
      </c>
      <c r="J514" t="n">
        <v>0</v>
      </c>
      <c r="K514" t="n">
        <v>0</v>
      </c>
      <c r="L514" t="n">
        <v>0</v>
      </c>
      <c r="M514" t="n">
        <v>0</v>
      </c>
      <c r="N514" t="n">
        <v>0</v>
      </c>
      <c r="O514" t="n">
        <v>0</v>
      </c>
      <c r="P514" t="n">
        <v>0</v>
      </c>
      <c r="Q514" t="n">
        <v>0</v>
      </c>
      <c r="R514" s="2" t="inlineStr"/>
    </row>
    <row r="515" ht="15" customHeight="1">
      <c r="A515" t="inlineStr">
        <is>
          <t>A 37023-2025</t>
        </is>
      </c>
      <c r="B515" s="1" t="n">
        <v>45874</v>
      </c>
      <c r="C515" s="1" t="n">
        <v>45905</v>
      </c>
      <c r="D515" t="inlineStr">
        <is>
          <t>NORRBOTTENS LÄN</t>
        </is>
      </c>
      <c r="E515" t="inlineStr">
        <is>
          <t>BODEN</t>
        </is>
      </c>
      <c r="G515" t="n">
        <v>7.8</v>
      </c>
      <c r="H515" t="n">
        <v>0</v>
      </c>
      <c r="I515" t="n">
        <v>0</v>
      </c>
      <c r="J515" t="n">
        <v>0</v>
      </c>
      <c r="K515" t="n">
        <v>0</v>
      </c>
      <c r="L515" t="n">
        <v>0</v>
      </c>
      <c r="M515" t="n">
        <v>0</v>
      </c>
      <c r="N515" t="n">
        <v>0</v>
      </c>
      <c r="O515" t="n">
        <v>0</v>
      </c>
      <c r="P515" t="n">
        <v>0</v>
      </c>
      <c r="Q515" t="n">
        <v>0</v>
      </c>
      <c r="R515" s="2" t="inlineStr"/>
      <c r="U515">
        <f>HYPERLINK("https://klasma.github.io/Logging_2582/knärot/A 37023-2025 karta knärot.png", "A 37023-2025")</f>
        <v/>
      </c>
      <c r="V515">
        <f>HYPERLINK("https://klasma.github.io/Logging_2582/klagomål/A 37023-2025 FSC-klagomål.docx", "A 37023-2025")</f>
        <v/>
      </c>
      <c r="W515">
        <f>HYPERLINK("https://klasma.github.io/Logging_2582/klagomålsmail/A 37023-2025 FSC-klagomål mail.docx", "A 37023-2025")</f>
        <v/>
      </c>
      <c r="X515">
        <f>HYPERLINK("https://klasma.github.io/Logging_2582/tillsyn/A 37023-2025 tillsynsbegäran.docx", "A 37023-2025")</f>
        <v/>
      </c>
      <c r="Y515">
        <f>HYPERLINK("https://klasma.github.io/Logging_2582/tillsynsmail/A 37023-2025 tillsynsbegäran mail.docx", "A 37023-2025")</f>
        <v/>
      </c>
    </row>
    <row r="516" ht="15" customHeight="1">
      <c r="A516" t="inlineStr">
        <is>
          <t>A 61214-2024</t>
        </is>
      </c>
      <c r="B516" s="1" t="n">
        <v>45645</v>
      </c>
      <c r="C516" s="1" t="n">
        <v>45905</v>
      </c>
      <c r="D516" t="inlineStr">
        <is>
          <t>NORRBOTTENS LÄN</t>
        </is>
      </c>
      <c r="E516" t="inlineStr">
        <is>
          <t>BODEN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51193-2023</t>
        </is>
      </c>
      <c r="B517" s="1" t="n">
        <v>45212</v>
      </c>
      <c r="C517" s="1" t="n">
        <v>45905</v>
      </c>
      <c r="D517" t="inlineStr">
        <is>
          <t>NORRBOTTENS LÄN</t>
        </is>
      </c>
      <c r="E517" t="inlineStr">
        <is>
          <t>BODEN</t>
        </is>
      </c>
      <c r="G517" t="n">
        <v>1.1</v>
      </c>
      <c r="H517" t="n">
        <v>0</v>
      </c>
      <c r="I517" t="n">
        <v>0</v>
      </c>
      <c r="J517" t="n">
        <v>0</v>
      </c>
      <c r="K517" t="n">
        <v>0</v>
      </c>
      <c r="L517" t="n">
        <v>0</v>
      </c>
      <c r="M517" t="n">
        <v>0</v>
      </c>
      <c r="N517" t="n">
        <v>0</v>
      </c>
      <c r="O517" t="n">
        <v>0</v>
      </c>
      <c r="P517" t="n">
        <v>0</v>
      </c>
      <c r="Q517" t="n">
        <v>0</v>
      </c>
      <c r="R517" s="2" t="inlineStr"/>
    </row>
    <row r="518" ht="15" customHeight="1">
      <c r="A518" t="inlineStr">
        <is>
          <t>A 31203-2025</t>
        </is>
      </c>
      <c r="B518" s="1" t="n">
        <v>45832.6991087963</v>
      </c>
      <c r="C518" s="1" t="n">
        <v>45905</v>
      </c>
      <c r="D518" t="inlineStr">
        <is>
          <t>NORRBOTTENS LÄN</t>
        </is>
      </c>
      <c r="E518" t="inlineStr">
        <is>
          <t>BODEN</t>
        </is>
      </c>
      <c r="G518" t="n">
        <v>2.9</v>
      </c>
      <c r="H518" t="n">
        <v>0</v>
      </c>
      <c r="I518" t="n">
        <v>0</v>
      </c>
      <c r="J518" t="n">
        <v>0</v>
      </c>
      <c r="K518" t="n">
        <v>0</v>
      </c>
      <c r="L518" t="n">
        <v>0</v>
      </c>
      <c r="M518" t="n">
        <v>0</v>
      </c>
      <c r="N518" t="n">
        <v>0</v>
      </c>
      <c r="O518" t="n">
        <v>0</v>
      </c>
      <c r="P518" t="n">
        <v>0</v>
      </c>
      <c r="Q518" t="n">
        <v>0</v>
      </c>
      <c r="R518" s="2" t="inlineStr"/>
    </row>
    <row r="519" ht="15" customHeight="1">
      <c r="A519" t="inlineStr">
        <is>
          <t>A 3438-2025</t>
        </is>
      </c>
      <c r="B519" s="1" t="n">
        <v>45680.4482175926</v>
      </c>
      <c r="C519" s="1" t="n">
        <v>45905</v>
      </c>
      <c r="D519" t="inlineStr">
        <is>
          <t>NORRBOTTENS LÄN</t>
        </is>
      </c>
      <c r="E519" t="inlineStr">
        <is>
          <t>BODEN</t>
        </is>
      </c>
      <c r="F519" t="inlineStr">
        <is>
          <t>Naturvårdsverket</t>
        </is>
      </c>
      <c r="G519" t="n">
        <v>2.3</v>
      </c>
      <c r="H519" t="n">
        <v>0</v>
      </c>
      <c r="I519" t="n">
        <v>0</v>
      </c>
      <c r="J519" t="n">
        <v>0</v>
      </c>
      <c r="K519" t="n">
        <v>0</v>
      </c>
      <c r="L519" t="n">
        <v>0</v>
      </c>
      <c r="M519" t="n">
        <v>0</v>
      </c>
      <c r="N519" t="n">
        <v>0</v>
      </c>
      <c r="O519" t="n">
        <v>0</v>
      </c>
      <c r="P519" t="n">
        <v>0</v>
      </c>
      <c r="Q519" t="n">
        <v>0</v>
      </c>
      <c r="R519" s="2" t="inlineStr"/>
    </row>
    <row r="520" ht="15" customHeight="1">
      <c r="A520" t="inlineStr">
        <is>
          <t>A 3459-2025</t>
        </is>
      </c>
      <c r="B520" s="1" t="n">
        <v>45680.48986111111</v>
      </c>
      <c r="C520" s="1" t="n">
        <v>45905</v>
      </c>
      <c r="D520" t="inlineStr">
        <is>
          <t>NORRBOTTENS LÄN</t>
        </is>
      </c>
      <c r="E520" t="inlineStr">
        <is>
          <t>BODEN</t>
        </is>
      </c>
      <c r="F520" t="inlineStr">
        <is>
          <t>Naturvårdsverket</t>
        </is>
      </c>
      <c r="G520" t="n">
        <v>1.5</v>
      </c>
      <c r="H520" t="n">
        <v>0</v>
      </c>
      <c r="I520" t="n">
        <v>0</v>
      </c>
      <c r="J520" t="n">
        <v>0</v>
      </c>
      <c r="K520" t="n">
        <v>0</v>
      </c>
      <c r="L520" t="n">
        <v>0</v>
      </c>
      <c r="M520" t="n">
        <v>0</v>
      </c>
      <c r="N520" t="n">
        <v>0</v>
      </c>
      <c r="O520" t="n">
        <v>0</v>
      </c>
      <c r="P520" t="n">
        <v>0</v>
      </c>
      <c r="Q520" t="n">
        <v>0</v>
      </c>
      <c r="R520" s="2" t="inlineStr"/>
    </row>
    <row r="521" ht="15" customHeight="1">
      <c r="A521" t="inlineStr">
        <is>
          <t>A 20030-2025</t>
        </is>
      </c>
      <c r="B521" s="1" t="n">
        <v>45772.35878472222</v>
      </c>
      <c r="C521" s="1" t="n">
        <v>45905</v>
      </c>
      <c r="D521" t="inlineStr">
        <is>
          <t>NORRBOTTENS LÄN</t>
        </is>
      </c>
      <c r="E521" t="inlineStr">
        <is>
          <t>BODEN</t>
        </is>
      </c>
      <c r="G521" t="n">
        <v>3.7</v>
      </c>
      <c r="H521" t="n">
        <v>0</v>
      </c>
      <c r="I521" t="n">
        <v>0</v>
      </c>
      <c r="J521" t="n">
        <v>0</v>
      </c>
      <c r="K521" t="n">
        <v>0</v>
      </c>
      <c r="L521" t="n">
        <v>0</v>
      </c>
      <c r="M521" t="n">
        <v>0</v>
      </c>
      <c r="N521" t="n">
        <v>0</v>
      </c>
      <c r="O521" t="n">
        <v>0</v>
      </c>
      <c r="P521" t="n">
        <v>0</v>
      </c>
      <c r="Q521" t="n">
        <v>0</v>
      </c>
      <c r="R521" s="2" t="inlineStr"/>
    </row>
    <row r="522" ht="15" customHeight="1">
      <c r="A522" t="inlineStr">
        <is>
          <t>A 36872-2025</t>
        </is>
      </c>
      <c r="B522" s="1" t="n">
        <v>45874.42918981481</v>
      </c>
      <c r="C522" s="1" t="n">
        <v>45905</v>
      </c>
      <c r="D522" t="inlineStr">
        <is>
          <t>NORRBOTTENS LÄN</t>
        </is>
      </c>
      <c r="E522" t="inlineStr">
        <is>
          <t>BODEN</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30705-2025</t>
        </is>
      </c>
      <c r="B523" s="1" t="n">
        <v>45831.54939814815</v>
      </c>
      <c r="C523" s="1" t="n">
        <v>45905</v>
      </c>
      <c r="D523" t="inlineStr">
        <is>
          <t>NORRBOTTENS LÄN</t>
        </is>
      </c>
      <c r="E523" t="inlineStr">
        <is>
          <t>BODEN</t>
        </is>
      </c>
      <c r="F523" t="inlineStr">
        <is>
          <t>Sveaskog</t>
        </is>
      </c>
      <c r="G523" t="n">
        <v>4.4</v>
      </c>
      <c r="H523" t="n">
        <v>0</v>
      </c>
      <c r="I523" t="n">
        <v>0</v>
      </c>
      <c r="J523" t="n">
        <v>0</v>
      </c>
      <c r="K523" t="n">
        <v>0</v>
      </c>
      <c r="L523" t="n">
        <v>0</v>
      </c>
      <c r="M523" t="n">
        <v>0</v>
      </c>
      <c r="N523" t="n">
        <v>0</v>
      </c>
      <c r="O523" t="n">
        <v>0</v>
      </c>
      <c r="P523" t="n">
        <v>0</v>
      </c>
      <c r="Q523" t="n">
        <v>0</v>
      </c>
      <c r="R523" s="2" t="inlineStr"/>
    </row>
    <row r="524" ht="15" customHeight="1">
      <c r="A524" t="inlineStr">
        <is>
          <t>A 31020-2025</t>
        </is>
      </c>
      <c r="B524" s="1" t="n">
        <v>45831</v>
      </c>
      <c r="C524" s="1" t="n">
        <v>45905</v>
      </c>
      <c r="D524" t="inlineStr">
        <is>
          <t>NORRBOTTENS LÄN</t>
        </is>
      </c>
      <c r="E524" t="inlineStr">
        <is>
          <t>BODEN</t>
        </is>
      </c>
      <c r="G524" t="n">
        <v>26.8</v>
      </c>
      <c r="H524" t="n">
        <v>0</v>
      </c>
      <c r="I524" t="n">
        <v>0</v>
      </c>
      <c r="J524" t="n">
        <v>0</v>
      </c>
      <c r="K524" t="n">
        <v>0</v>
      </c>
      <c r="L524" t="n">
        <v>0</v>
      </c>
      <c r="M524" t="n">
        <v>0</v>
      </c>
      <c r="N524" t="n">
        <v>0</v>
      </c>
      <c r="O524" t="n">
        <v>0</v>
      </c>
      <c r="P524" t="n">
        <v>0</v>
      </c>
      <c r="Q524" t="n">
        <v>0</v>
      </c>
      <c r="R524" s="2" t="inlineStr"/>
    </row>
    <row r="525" ht="15" customHeight="1">
      <c r="A525" t="inlineStr">
        <is>
          <t>A 30765-2025</t>
        </is>
      </c>
      <c r="B525" s="1" t="n">
        <v>45831.60569444444</v>
      </c>
      <c r="C525" s="1" t="n">
        <v>45905</v>
      </c>
      <c r="D525" t="inlineStr">
        <is>
          <t>NORRBOTTENS LÄN</t>
        </is>
      </c>
      <c r="E525" t="inlineStr">
        <is>
          <t>BODEN</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31200-2025</t>
        </is>
      </c>
      <c r="B526" s="1" t="n">
        <v>45832.69638888889</v>
      </c>
      <c r="C526" s="1" t="n">
        <v>45905</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38370-2023</t>
        </is>
      </c>
      <c r="B527" s="1" t="n">
        <v>45161</v>
      </c>
      <c r="C527" s="1" t="n">
        <v>45905</v>
      </c>
      <c r="D527" t="inlineStr">
        <is>
          <t>NORRBOTTENS LÄN</t>
        </is>
      </c>
      <c r="E527" t="inlineStr">
        <is>
          <t>BODEN</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31195-2025</t>
        </is>
      </c>
      <c r="B528" s="1" t="n">
        <v>45832.68653935185</v>
      </c>
      <c r="C528" s="1" t="n">
        <v>45905</v>
      </c>
      <c r="D528" t="inlineStr">
        <is>
          <t>NORRBOTTENS LÄN</t>
        </is>
      </c>
      <c r="E528" t="inlineStr">
        <is>
          <t>BODEN</t>
        </is>
      </c>
      <c r="G528" t="n">
        <v>8.9</v>
      </c>
      <c r="H528" t="n">
        <v>0</v>
      </c>
      <c r="I528" t="n">
        <v>0</v>
      </c>
      <c r="J528" t="n">
        <v>0</v>
      </c>
      <c r="K528" t="n">
        <v>0</v>
      </c>
      <c r="L528" t="n">
        <v>0</v>
      </c>
      <c r="M528" t="n">
        <v>0</v>
      </c>
      <c r="N528" t="n">
        <v>0</v>
      </c>
      <c r="O528" t="n">
        <v>0</v>
      </c>
      <c r="P528" t="n">
        <v>0</v>
      </c>
      <c r="Q528" t="n">
        <v>0</v>
      </c>
      <c r="R528" s="2" t="inlineStr"/>
    </row>
    <row r="529" ht="15" customHeight="1">
      <c r="A529" t="inlineStr">
        <is>
          <t>A 59890-2023</t>
        </is>
      </c>
      <c r="B529" s="1" t="n">
        <v>45254</v>
      </c>
      <c r="C529" s="1" t="n">
        <v>45905</v>
      </c>
      <c r="D529" t="inlineStr">
        <is>
          <t>NORRBOTTENS LÄN</t>
        </is>
      </c>
      <c r="E529" t="inlineStr">
        <is>
          <t>BODEN</t>
        </is>
      </c>
      <c r="G529" t="n">
        <v>4.3</v>
      </c>
      <c r="H529" t="n">
        <v>0</v>
      </c>
      <c r="I529" t="n">
        <v>0</v>
      </c>
      <c r="J529" t="n">
        <v>0</v>
      </c>
      <c r="K529" t="n">
        <v>0</v>
      </c>
      <c r="L529" t="n">
        <v>0</v>
      </c>
      <c r="M529" t="n">
        <v>0</v>
      </c>
      <c r="N529" t="n">
        <v>0</v>
      </c>
      <c r="O529" t="n">
        <v>0</v>
      </c>
      <c r="P529" t="n">
        <v>0</v>
      </c>
      <c r="Q529" t="n">
        <v>0</v>
      </c>
      <c r="R529" s="2" t="inlineStr"/>
    </row>
    <row r="530" ht="15" customHeight="1">
      <c r="A530" t="inlineStr">
        <is>
          <t>A 23231-2024</t>
        </is>
      </c>
      <c r="B530" s="1" t="n">
        <v>45453.28876157408</v>
      </c>
      <c r="C530" s="1" t="n">
        <v>45905</v>
      </c>
      <c r="D530" t="inlineStr">
        <is>
          <t>NORRBOTTENS LÄN</t>
        </is>
      </c>
      <c r="E530" t="inlineStr">
        <is>
          <t>BODEN</t>
        </is>
      </c>
      <c r="G530" t="n">
        <v>5.1</v>
      </c>
      <c r="H530" t="n">
        <v>0</v>
      </c>
      <c r="I530" t="n">
        <v>0</v>
      </c>
      <c r="J530" t="n">
        <v>0</v>
      </c>
      <c r="K530" t="n">
        <v>0</v>
      </c>
      <c r="L530" t="n">
        <v>0</v>
      </c>
      <c r="M530" t="n">
        <v>0</v>
      </c>
      <c r="N530" t="n">
        <v>0</v>
      </c>
      <c r="O530" t="n">
        <v>0</v>
      </c>
      <c r="P530" t="n">
        <v>0</v>
      </c>
      <c r="Q530" t="n">
        <v>0</v>
      </c>
      <c r="R530" s="2" t="inlineStr"/>
    </row>
    <row r="531" ht="15" customHeight="1">
      <c r="A531" t="inlineStr">
        <is>
          <t>A 59983-2023</t>
        </is>
      </c>
      <c r="B531" s="1" t="n">
        <v>45257.80766203703</v>
      </c>
      <c r="C531" s="1" t="n">
        <v>45905</v>
      </c>
      <c r="D531" t="inlineStr">
        <is>
          <t>NORRBOTTENS LÄN</t>
        </is>
      </c>
      <c r="E531" t="inlineStr">
        <is>
          <t>BODEN</t>
        </is>
      </c>
      <c r="G531" t="n">
        <v>4</v>
      </c>
      <c r="H531" t="n">
        <v>0</v>
      </c>
      <c r="I531" t="n">
        <v>0</v>
      </c>
      <c r="J531" t="n">
        <v>0</v>
      </c>
      <c r="K531" t="n">
        <v>0</v>
      </c>
      <c r="L531" t="n">
        <v>0</v>
      </c>
      <c r="M531" t="n">
        <v>0</v>
      </c>
      <c r="N531" t="n">
        <v>0</v>
      </c>
      <c r="O531" t="n">
        <v>0</v>
      </c>
      <c r="P531" t="n">
        <v>0</v>
      </c>
      <c r="Q531" t="n">
        <v>0</v>
      </c>
      <c r="R531" s="2" t="inlineStr"/>
    </row>
    <row r="532" ht="15" customHeight="1">
      <c r="A532" t="inlineStr">
        <is>
          <t>A 11930-2023</t>
        </is>
      </c>
      <c r="B532" s="1" t="n">
        <v>44994</v>
      </c>
      <c r="C532" s="1" t="n">
        <v>45905</v>
      </c>
      <c r="D532" t="inlineStr">
        <is>
          <t>NORRBOTTENS LÄN</t>
        </is>
      </c>
      <c r="E532" t="inlineStr">
        <is>
          <t>BODEN</t>
        </is>
      </c>
      <c r="G532" t="n">
        <v>1.1</v>
      </c>
      <c r="H532" t="n">
        <v>0</v>
      </c>
      <c r="I532" t="n">
        <v>0</v>
      </c>
      <c r="J532" t="n">
        <v>0</v>
      </c>
      <c r="K532" t="n">
        <v>0</v>
      </c>
      <c r="L532" t="n">
        <v>0</v>
      </c>
      <c r="M532" t="n">
        <v>0</v>
      </c>
      <c r="N532" t="n">
        <v>0</v>
      </c>
      <c r="O532" t="n">
        <v>0</v>
      </c>
      <c r="P532" t="n">
        <v>0</v>
      </c>
      <c r="Q532" t="n">
        <v>0</v>
      </c>
      <c r="R532" s="2" t="inlineStr"/>
    </row>
    <row r="533" ht="15" customHeight="1">
      <c r="A533" t="inlineStr">
        <is>
          <t>A 2547-2025</t>
        </is>
      </c>
      <c r="B533" s="1" t="n">
        <v>45674.63210648148</v>
      </c>
      <c r="C533" s="1" t="n">
        <v>45905</v>
      </c>
      <c r="D533" t="inlineStr">
        <is>
          <t>NORRBOTTENS LÄN</t>
        </is>
      </c>
      <c r="E533" t="inlineStr">
        <is>
          <t>BODEN</t>
        </is>
      </c>
      <c r="G533" t="n">
        <v>7.2</v>
      </c>
      <c r="H533" t="n">
        <v>0</v>
      </c>
      <c r="I533" t="n">
        <v>0</v>
      </c>
      <c r="J533" t="n">
        <v>0</v>
      </c>
      <c r="K533" t="n">
        <v>0</v>
      </c>
      <c r="L533" t="n">
        <v>0</v>
      </c>
      <c r="M533" t="n">
        <v>0</v>
      </c>
      <c r="N533" t="n">
        <v>0</v>
      </c>
      <c r="O533" t="n">
        <v>0</v>
      </c>
      <c r="P533" t="n">
        <v>0</v>
      </c>
      <c r="Q533" t="n">
        <v>0</v>
      </c>
      <c r="R533" s="2" t="inlineStr"/>
    </row>
    <row r="534" ht="15" customHeight="1">
      <c r="A534" t="inlineStr">
        <is>
          <t>A 31363-2025</t>
        </is>
      </c>
      <c r="B534" s="1" t="n">
        <v>45833.43721064815</v>
      </c>
      <c r="C534" s="1" t="n">
        <v>45905</v>
      </c>
      <c r="D534" t="inlineStr">
        <is>
          <t>NORRBOTTENS LÄN</t>
        </is>
      </c>
      <c r="E534" t="inlineStr">
        <is>
          <t>BODEN</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1195-2025</t>
        </is>
      </c>
      <c r="B535" s="1" t="n">
        <v>45667.37811342593</v>
      </c>
      <c r="C535" s="1" t="n">
        <v>45905</v>
      </c>
      <c r="D535" t="inlineStr">
        <is>
          <t>NORRBOTTENS LÄN</t>
        </is>
      </c>
      <c r="E535" t="inlineStr">
        <is>
          <t>BODEN</t>
        </is>
      </c>
      <c r="G535" t="n">
        <v>3</v>
      </c>
      <c r="H535" t="n">
        <v>0</v>
      </c>
      <c r="I535" t="n">
        <v>0</v>
      </c>
      <c r="J535" t="n">
        <v>0</v>
      </c>
      <c r="K535" t="n">
        <v>0</v>
      </c>
      <c r="L535" t="n">
        <v>0</v>
      </c>
      <c r="M535" t="n">
        <v>0</v>
      </c>
      <c r="N535" t="n">
        <v>0</v>
      </c>
      <c r="O535" t="n">
        <v>0</v>
      </c>
      <c r="P535" t="n">
        <v>0</v>
      </c>
      <c r="Q535" t="n">
        <v>0</v>
      </c>
      <c r="R535" s="2" t="inlineStr"/>
    </row>
    <row r="536" ht="15" customHeight="1">
      <c r="A536" t="inlineStr">
        <is>
          <t>A 19698-2025</t>
        </is>
      </c>
      <c r="B536" s="1" t="n">
        <v>45770</v>
      </c>
      <c r="C536" s="1" t="n">
        <v>45905</v>
      </c>
      <c r="D536" t="inlineStr">
        <is>
          <t>NORRBOTTENS LÄN</t>
        </is>
      </c>
      <c r="E536" t="inlineStr">
        <is>
          <t>BODEN</t>
        </is>
      </c>
      <c r="G536" t="n">
        <v>4.6</v>
      </c>
      <c r="H536" t="n">
        <v>0</v>
      </c>
      <c r="I536" t="n">
        <v>0</v>
      </c>
      <c r="J536" t="n">
        <v>0</v>
      </c>
      <c r="K536" t="n">
        <v>0</v>
      </c>
      <c r="L536" t="n">
        <v>0</v>
      </c>
      <c r="M536" t="n">
        <v>0</v>
      </c>
      <c r="N536" t="n">
        <v>0</v>
      </c>
      <c r="O536" t="n">
        <v>0</v>
      </c>
      <c r="P536" t="n">
        <v>0</v>
      </c>
      <c r="Q536" t="n">
        <v>0</v>
      </c>
      <c r="R536" s="2" t="inlineStr"/>
    </row>
    <row r="537" ht="15" customHeight="1">
      <c r="A537" t="inlineStr">
        <is>
          <t>A 37086-2025</t>
        </is>
      </c>
      <c r="B537" s="1" t="n">
        <v>45875.45590277778</v>
      </c>
      <c r="C537" s="1" t="n">
        <v>45905</v>
      </c>
      <c r="D537" t="inlineStr">
        <is>
          <t>NORRBOTTENS LÄN</t>
        </is>
      </c>
      <c r="E537" t="inlineStr">
        <is>
          <t>BODEN</t>
        </is>
      </c>
      <c r="F537" t="inlineStr">
        <is>
          <t>Övriga Aktiebolag</t>
        </is>
      </c>
      <c r="G537" t="n">
        <v>22.8</v>
      </c>
      <c r="H537" t="n">
        <v>0</v>
      </c>
      <c r="I537" t="n">
        <v>0</v>
      </c>
      <c r="J537" t="n">
        <v>0</v>
      </c>
      <c r="K537" t="n">
        <v>0</v>
      </c>
      <c r="L537" t="n">
        <v>0</v>
      </c>
      <c r="M537" t="n">
        <v>0</v>
      </c>
      <c r="N537" t="n">
        <v>0</v>
      </c>
      <c r="O537" t="n">
        <v>0</v>
      </c>
      <c r="P537" t="n">
        <v>0</v>
      </c>
      <c r="Q537" t="n">
        <v>0</v>
      </c>
      <c r="R537" s="2" t="inlineStr"/>
    </row>
    <row r="538" ht="15" customHeight="1">
      <c r="A538" t="inlineStr">
        <is>
          <t>A 31836-2025</t>
        </is>
      </c>
      <c r="B538" s="1" t="n">
        <v>45834.59451388889</v>
      </c>
      <c r="C538" s="1" t="n">
        <v>45905</v>
      </c>
      <c r="D538" t="inlineStr">
        <is>
          <t>NORRBOTTENS LÄN</t>
        </is>
      </c>
      <c r="E538" t="inlineStr">
        <is>
          <t>BODEN</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31323-2025</t>
        </is>
      </c>
      <c r="B539" s="1" t="n">
        <v>45833</v>
      </c>
      <c r="C539" s="1" t="n">
        <v>45905</v>
      </c>
      <c r="D539" t="inlineStr">
        <is>
          <t>NORRBOTTENS LÄN</t>
        </is>
      </c>
      <c r="E539" t="inlineStr">
        <is>
          <t>BODEN</t>
        </is>
      </c>
      <c r="G539" t="n">
        <v>4.5</v>
      </c>
      <c r="H539" t="n">
        <v>0</v>
      </c>
      <c r="I539" t="n">
        <v>0</v>
      </c>
      <c r="J539" t="n">
        <v>0</v>
      </c>
      <c r="K539" t="n">
        <v>0</v>
      </c>
      <c r="L539" t="n">
        <v>0</v>
      </c>
      <c r="M539" t="n">
        <v>0</v>
      </c>
      <c r="N539" t="n">
        <v>0</v>
      </c>
      <c r="O539" t="n">
        <v>0</v>
      </c>
      <c r="P539" t="n">
        <v>0</v>
      </c>
      <c r="Q539" t="n">
        <v>0</v>
      </c>
      <c r="R539" s="2" t="inlineStr"/>
    </row>
    <row r="540" ht="15" customHeight="1">
      <c r="A540" t="inlineStr">
        <is>
          <t>A 31834-2025</t>
        </is>
      </c>
      <c r="B540" s="1" t="n">
        <v>45834.59415509259</v>
      </c>
      <c r="C540" s="1" t="n">
        <v>45905</v>
      </c>
      <c r="D540" t="inlineStr">
        <is>
          <t>NORRBOTTENS LÄN</t>
        </is>
      </c>
      <c r="E540" t="inlineStr">
        <is>
          <t>BODEN</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31840-2025</t>
        </is>
      </c>
      <c r="B541" s="1" t="n">
        <v>45834.59708333333</v>
      </c>
      <c r="C541" s="1" t="n">
        <v>45905</v>
      </c>
      <c r="D541" t="inlineStr">
        <is>
          <t>NORRBOTTENS LÄN</t>
        </is>
      </c>
      <c r="E541" t="inlineStr">
        <is>
          <t>BODEN</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13556-2022</t>
        </is>
      </c>
      <c r="B542" s="1" t="n">
        <v>44648</v>
      </c>
      <c r="C542" s="1" t="n">
        <v>45905</v>
      </c>
      <c r="D542" t="inlineStr">
        <is>
          <t>NORRBOTTENS LÄN</t>
        </is>
      </c>
      <c r="E542" t="inlineStr">
        <is>
          <t>BODEN</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61488-2023</t>
        </is>
      </c>
      <c r="B543" s="1" t="n">
        <v>45264</v>
      </c>
      <c r="C543" s="1" t="n">
        <v>45905</v>
      </c>
      <c r="D543" t="inlineStr">
        <is>
          <t>NORRBOTTENS LÄN</t>
        </is>
      </c>
      <c r="E543" t="inlineStr">
        <is>
          <t>BODEN</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61513-2024</t>
        </is>
      </c>
      <c r="B544" s="1" t="n">
        <v>45646.57136574074</v>
      </c>
      <c r="C544" s="1" t="n">
        <v>45905</v>
      </c>
      <c r="D544" t="inlineStr">
        <is>
          <t>NORRBOTTENS LÄN</t>
        </is>
      </c>
      <c r="E544" t="inlineStr">
        <is>
          <t>BODEN</t>
        </is>
      </c>
      <c r="G544" t="n">
        <v>2.2</v>
      </c>
      <c r="H544" t="n">
        <v>0</v>
      </c>
      <c r="I544" t="n">
        <v>0</v>
      </c>
      <c r="J544" t="n">
        <v>0</v>
      </c>
      <c r="K544" t="n">
        <v>0</v>
      </c>
      <c r="L544" t="n">
        <v>0</v>
      </c>
      <c r="M544" t="n">
        <v>0</v>
      </c>
      <c r="N544" t="n">
        <v>0</v>
      </c>
      <c r="O544" t="n">
        <v>0</v>
      </c>
      <c r="P544" t="n">
        <v>0</v>
      </c>
      <c r="Q544" t="n">
        <v>0</v>
      </c>
      <c r="R544" s="2" t="inlineStr"/>
    </row>
    <row r="545" ht="15" customHeight="1">
      <c r="A545" t="inlineStr">
        <is>
          <t>A 45929-2023</t>
        </is>
      </c>
      <c r="B545" s="1" t="n">
        <v>45195.94517361111</v>
      </c>
      <c r="C545" s="1" t="n">
        <v>45905</v>
      </c>
      <c r="D545" t="inlineStr">
        <is>
          <t>NORRBOTTENS LÄN</t>
        </is>
      </c>
      <c r="E545" t="inlineStr">
        <is>
          <t>BODEN</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22409-2024</t>
        </is>
      </c>
      <c r="B546" s="1" t="n">
        <v>45446.68098379629</v>
      </c>
      <c r="C546" s="1" t="n">
        <v>45905</v>
      </c>
      <c r="D546" t="inlineStr">
        <is>
          <t>NORRBOTTENS LÄN</t>
        </is>
      </c>
      <c r="E546" t="inlineStr">
        <is>
          <t>BODEN</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31531-2025</t>
        </is>
      </c>
      <c r="B547" s="1" t="n">
        <v>45833.61671296296</v>
      </c>
      <c r="C547" s="1" t="n">
        <v>45905</v>
      </c>
      <c r="D547" t="inlineStr">
        <is>
          <t>NORRBOTTENS LÄN</t>
        </is>
      </c>
      <c r="E547" t="inlineStr">
        <is>
          <t>BODEN</t>
        </is>
      </c>
      <c r="F547" t="inlineStr">
        <is>
          <t>Övriga Aktiebolag</t>
        </is>
      </c>
      <c r="G547" t="n">
        <v>0.6</v>
      </c>
      <c r="H547" t="n">
        <v>0</v>
      </c>
      <c r="I547" t="n">
        <v>0</v>
      </c>
      <c r="J547" t="n">
        <v>0</v>
      </c>
      <c r="K547" t="n">
        <v>0</v>
      </c>
      <c r="L547" t="n">
        <v>0</v>
      </c>
      <c r="M547" t="n">
        <v>0</v>
      </c>
      <c r="N547" t="n">
        <v>0</v>
      </c>
      <c r="O547" t="n">
        <v>0</v>
      </c>
      <c r="P547" t="n">
        <v>0</v>
      </c>
      <c r="Q547" t="n">
        <v>0</v>
      </c>
      <c r="R547" s="2" t="inlineStr"/>
    </row>
    <row r="548" ht="15" customHeight="1">
      <c r="A548" t="inlineStr">
        <is>
          <t>A 4053-2024</t>
        </is>
      </c>
      <c r="B548" s="1" t="n">
        <v>45323</v>
      </c>
      <c r="C548" s="1" t="n">
        <v>45905</v>
      </c>
      <c r="D548" t="inlineStr">
        <is>
          <t>NORRBOTTENS LÄN</t>
        </is>
      </c>
      <c r="E548" t="inlineStr">
        <is>
          <t>BODEN</t>
        </is>
      </c>
      <c r="G548" t="n">
        <v>4.8</v>
      </c>
      <c r="H548" t="n">
        <v>0</v>
      </c>
      <c r="I548" t="n">
        <v>0</v>
      </c>
      <c r="J548" t="n">
        <v>0</v>
      </c>
      <c r="K548" t="n">
        <v>0</v>
      </c>
      <c r="L548" t="n">
        <v>0</v>
      </c>
      <c r="M548" t="n">
        <v>0</v>
      </c>
      <c r="N548" t="n">
        <v>0</v>
      </c>
      <c r="O548" t="n">
        <v>0</v>
      </c>
      <c r="P548" t="n">
        <v>0</v>
      </c>
      <c r="Q548" t="n">
        <v>0</v>
      </c>
      <c r="R548" s="2" t="inlineStr"/>
    </row>
    <row r="549" ht="15" customHeight="1">
      <c r="A549" t="inlineStr">
        <is>
          <t>A 53630-2024</t>
        </is>
      </c>
      <c r="B549" s="1" t="n">
        <v>45614.81146990741</v>
      </c>
      <c r="C549" s="1" t="n">
        <v>45905</v>
      </c>
      <c r="D549" t="inlineStr">
        <is>
          <t>NORRBOTTENS LÄN</t>
        </is>
      </c>
      <c r="E549" t="inlineStr">
        <is>
          <t>BODEN</t>
        </is>
      </c>
      <c r="G549" t="n">
        <v>6</v>
      </c>
      <c r="H549" t="n">
        <v>0</v>
      </c>
      <c r="I549" t="n">
        <v>0</v>
      </c>
      <c r="J549" t="n">
        <v>0</v>
      </c>
      <c r="K549" t="n">
        <v>0</v>
      </c>
      <c r="L549" t="n">
        <v>0</v>
      </c>
      <c r="M549" t="n">
        <v>0</v>
      </c>
      <c r="N549" t="n">
        <v>0</v>
      </c>
      <c r="O549" t="n">
        <v>0</v>
      </c>
      <c r="P549" t="n">
        <v>0</v>
      </c>
      <c r="Q549" t="n">
        <v>0</v>
      </c>
      <c r="R549" s="2" t="inlineStr"/>
    </row>
    <row r="550" ht="15" customHeight="1">
      <c r="A550" t="inlineStr">
        <is>
          <t>A 31297-2023</t>
        </is>
      </c>
      <c r="B550" s="1" t="n">
        <v>45114</v>
      </c>
      <c r="C550" s="1" t="n">
        <v>45905</v>
      </c>
      <c r="D550" t="inlineStr">
        <is>
          <t>NORRBOTTENS LÄN</t>
        </is>
      </c>
      <c r="E550" t="inlineStr">
        <is>
          <t>BODEN</t>
        </is>
      </c>
      <c r="G550" t="n">
        <v>7.8</v>
      </c>
      <c r="H550" t="n">
        <v>0</v>
      </c>
      <c r="I550" t="n">
        <v>0</v>
      </c>
      <c r="J550" t="n">
        <v>0</v>
      </c>
      <c r="K550" t="n">
        <v>0</v>
      </c>
      <c r="L550" t="n">
        <v>0</v>
      </c>
      <c r="M550" t="n">
        <v>0</v>
      </c>
      <c r="N550" t="n">
        <v>0</v>
      </c>
      <c r="O550" t="n">
        <v>0</v>
      </c>
      <c r="P550" t="n">
        <v>0</v>
      </c>
      <c r="Q550" t="n">
        <v>0</v>
      </c>
      <c r="R550" s="2" t="inlineStr"/>
    </row>
    <row r="551" ht="15" customHeight="1">
      <c r="A551" t="inlineStr">
        <is>
          <t>A 19257-2025</t>
        </is>
      </c>
      <c r="B551" s="1" t="n">
        <v>45769.49768518518</v>
      </c>
      <c r="C551" s="1" t="n">
        <v>45905</v>
      </c>
      <c r="D551" t="inlineStr">
        <is>
          <t>NORRBOTTENS LÄN</t>
        </is>
      </c>
      <c r="E551" t="inlineStr">
        <is>
          <t>BODEN</t>
        </is>
      </c>
      <c r="G551" t="n">
        <v>1.9</v>
      </c>
      <c r="H551" t="n">
        <v>0</v>
      </c>
      <c r="I551" t="n">
        <v>0</v>
      </c>
      <c r="J551" t="n">
        <v>0</v>
      </c>
      <c r="K551" t="n">
        <v>0</v>
      </c>
      <c r="L551" t="n">
        <v>0</v>
      </c>
      <c r="M551" t="n">
        <v>0</v>
      </c>
      <c r="N551" t="n">
        <v>0</v>
      </c>
      <c r="O551" t="n">
        <v>0</v>
      </c>
      <c r="P551" t="n">
        <v>0</v>
      </c>
      <c r="Q551" t="n">
        <v>0</v>
      </c>
      <c r="R551" s="2" t="inlineStr"/>
    </row>
    <row r="552" ht="15" customHeight="1">
      <c r="A552" t="inlineStr">
        <is>
          <t>A 8873-2024</t>
        </is>
      </c>
      <c r="B552" s="1" t="n">
        <v>45356</v>
      </c>
      <c r="C552" s="1" t="n">
        <v>45905</v>
      </c>
      <c r="D552" t="inlineStr">
        <is>
          <t>NORRBOTTENS LÄN</t>
        </is>
      </c>
      <c r="E552" t="inlineStr">
        <is>
          <t>BODEN</t>
        </is>
      </c>
      <c r="G552" t="n">
        <v>0.6</v>
      </c>
      <c r="H552" t="n">
        <v>0</v>
      </c>
      <c r="I552" t="n">
        <v>0</v>
      </c>
      <c r="J552" t="n">
        <v>0</v>
      </c>
      <c r="K552" t="n">
        <v>0</v>
      </c>
      <c r="L552" t="n">
        <v>0</v>
      </c>
      <c r="M552" t="n">
        <v>0</v>
      </c>
      <c r="N552" t="n">
        <v>0</v>
      </c>
      <c r="O552" t="n">
        <v>0</v>
      </c>
      <c r="P552" t="n">
        <v>0</v>
      </c>
      <c r="Q552" t="n">
        <v>0</v>
      </c>
      <c r="R552" s="2" t="inlineStr"/>
    </row>
    <row r="553" ht="15" customHeight="1">
      <c r="A553" t="inlineStr">
        <is>
          <t>A 31760-2025</t>
        </is>
      </c>
      <c r="B553" s="1" t="n">
        <v>45834</v>
      </c>
      <c r="C553" s="1" t="n">
        <v>45905</v>
      </c>
      <c r="D553" t="inlineStr">
        <is>
          <t>NORRBOTTENS LÄN</t>
        </is>
      </c>
      <c r="E553" t="inlineStr">
        <is>
          <t>BODEN</t>
        </is>
      </c>
      <c r="G553" t="n">
        <v>8.6</v>
      </c>
      <c r="H553" t="n">
        <v>0</v>
      </c>
      <c r="I553" t="n">
        <v>0</v>
      </c>
      <c r="J553" t="n">
        <v>0</v>
      </c>
      <c r="K553" t="n">
        <v>0</v>
      </c>
      <c r="L553" t="n">
        <v>0</v>
      </c>
      <c r="M553" t="n">
        <v>0</v>
      </c>
      <c r="N553" t="n">
        <v>0</v>
      </c>
      <c r="O553" t="n">
        <v>0</v>
      </c>
      <c r="P553" t="n">
        <v>0</v>
      </c>
      <c r="Q553" t="n">
        <v>0</v>
      </c>
      <c r="R553" s="2" t="inlineStr"/>
    </row>
    <row r="554" ht="15" customHeight="1">
      <c r="A554" t="inlineStr">
        <is>
          <t>A 54935-2021</t>
        </is>
      </c>
      <c r="B554" s="1" t="n">
        <v>44474</v>
      </c>
      <c r="C554" s="1" t="n">
        <v>45905</v>
      </c>
      <c r="D554" t="inlineStr">
        <is>
          <t>NORRBOTTENS LÄN</t>
        </is>
      </c>
      <c r="E554" t="inlineStr">
        <is>
          <t>BODEN</t>
        </is>
      </c>
      <c r="G554" t="n">
        <v>2.9</v>
      </c>
      <c r="H554" t="n">
        <v>0</v>
      </c>
      <c r="I554" t="n">
        <v>0</v>
      </c>
      <c r="J554" t="n">
        <v>0</v>
      </c>
      <c r="K554" t="n">
        <v>0</v>
      </c>
      <c r="L554" t="n">
        <v>0</v>
      </c>
      <c r="M554" t="n">
        <v>0</v>
      </c>
      <c r="N554" t="n">
        <v>0</v>
      </c>
      <c r="O554" t="n">
        <v>0</v>
      </c>
      <c r="P554" t="n">
        <v>0</v>
      </c>
      <c r="Q554" t="n">
        <v>0</v>
      </c>
      <c r="R554" s="2" t="inlineStr"/>
    </row>
    <row r="555" ht="15" customHeight="1">
      <c r="A555" t="inlineStr">
        <is>
          <t>A 5792-2025</t>
        </is>
      </c>
      <c r="B555" s="1" t="n">
        <v>45694.65678240741</v>
      </c>
      <c r="C555" s="1" t="n">
        <v>45905</v>
      </c>
      <c r="D555" t="inlineStr">
        <is>
          <t>NORRBOTTENS LÄN</t>
        </is>
      </c>
      <c r="E555" t="inlineStr">
        <is>
          <t>BODEN</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849-2024</t>
        </is>
      </c>
      <c r="B556" s="1" t="n">
        <v>45300</v>
      </c>
      <c r="C556" s="1" t="n">
        <v>45905</v>
      </c>
      <c r="D556" t="inlineStr">
        <is>
          <t>NORRBOTTENS LÄN</t>
        </is>
      </c>
      <c r="E556" t="inlineStr">
        <is>
          <t>BODEN</t>
        </is>
      </c>
      <c r="G556" t="n">
        <v>3.6</v>
      </c>
      <c r="H556" t="n">
        <v>0</v>
      </c>
      <c r="I556" t="n">
        <v>0</v>
      </c>
      <c r="J556" t="n">
        <v>0</v>
      </c>
      <c r="K556" t="n">
        <v>0</v>
      </c>
      <c r="L556" t="n">
        <v>0</v>
      </c>
      <c r="M556" t="n">
        <v>0</v>
      </c>
      <c r="N556" t="n">
        <v>0</v>
      </c>
      <c r="O556" t="n">
        <v>0</v>
      </c>
      <c r="P556" t="n">
        <v>0</v>
      </c>
      <c r="Q556" t="n">
        <v>0</v>
      </c>
      <c r="R556" s="2" t="inlineStr"/>
    </row>
    <row r="557" ht="15" customHeight="1">
      <c r="A557" t="inlineStr">
        <is>
          <t>A 35040-2022</t>
        </is>
      </c>
      <c r="B557" s="1" t="n">
        <v>44796</v>
      </c>
      <c r="C557" s="1" t="n">
        <v>45905</v>
      </c>
      <c r="D557" t="inlineStr">
        <is>
          <t>NORRBOTTENS LÄN</t>
        </is>
      </c>
      <c r="E557" t="inlineStr">
        <is>
          <t>BODEN</t>
        </is>
      </c>
      <c r="G557" t="n">
        <v>1.4</v>
      </c>
      <c r="H557" t="n">
        <v>0</v>
      </c>
      <c r="I557" t="n">
        <v>0</v>
      </c>
      <c r="J557" t="n">
        <v>0</v>
      </c>
      <c r="K557" t="n">
        <v>0</v>
      </c>
      <c r="L557" t="n">
        <v>0</v>
      </c>
      <c r="M557" t="n">
        <v>0</v>
      </c>
      <c r="N557" t="n">
        <v>0</v>
      </c>
      <c r="O557" t="n">
        <v>0</v>
      </c>
      <c r="P557" t="n">
        <v>0</v>
      </c>
      <c r="Q557" t="n">
        <v>0</v>
      </c>
      <c r="R557" s="2" t="inlineStr"/>
    </row>
    <row r="558" ht="15" customHeight="1">
      <c r="A558" t="inlineStr">
        <is>
          <t>A 36565-2025</t>
        </is>
      </c>
      <c r="B558" s="1" t="n">
        <v>45870</v>
      </c>
      <c r="C558" s="1" t="n">
        <v>45905</v>
      </c>
      <c r="D558" t="inlineStr">
        <is>
          <t>NORRBOTTENS LÄN</t>
        </is>
      </c>
      <c r="E558" t="inlineStr">
        <is>
          <t>BODEN</t>
        </is>
      </c>
      <c r="F558" t="inlineStr">
        <is>
          <t>Sveaskog</t>
        </is>
      </c>
      <c r="G558" t="n">
        <v>6.3</v>
      </c>
      <c r="H558" t="n">
        <v>0</v>
      </c>
      <c r="I558" t="n">
        <v>0</v>
      </c>
      <c r="J558" t="n">
        <v>0</v>
      </c>
      <c r="K558" t="n">
        <v>0</v>
      </c>
      <c r="L558" t="n">
        <v>0</v>
      </c>
      <c r="M558" t="n">
        <v>0</v>
      </c>
      <c r="N558" t="n">
        <v>0</v>
      </c>
      <c r="O558" t="n">
        <v>0</v>
      </c>
      <c r="P558" t="n">
        <v>0</v>
      </c>
      <c r="Q558" t="n">
        <v>0</v>
      </c>
      <c r="R558" s="2" t="inlineStr"/>
    </row>
    <row r="559" ht="15" customHeight="1">
      <c r="A559" t="inlineStr">
        <is>
          <t>A 25926-2025</t>
        </is>
      </c>
      <c r="B559" s="1" t="n">
        <v>45803</v>
      </c>
      <c r="C559" s="1" t="n">
        <v>45905</v>
      </c>
      <c r="D559" t="inlineStr">
        <is>
          <t>NORRBOTTENS LÄN</t>
        </is>
      </c>
      <c r="E559" t="inlineStr">
        <is>
          <t>BODEN</t>
        </is>
      </c>
      <c r="G559" t="n">
        <v>2.9</v>
      </c>
      <c r="H559" t="n">
        <v>0</v>
      </c>
      <c r="I559" t="n">
        <v>0</v>
      </c>
      <c r="J559" t="n">
        <v>0</v>
      </c>
      <c r="K559" t="n">
        <v>0</v>
      </c>
      <c r="L559" t="n">
        <v>0</v>
      </c>
      <c r="M559" t="n">
        <v>0</v>
      </c>
      <c r="N559" t="n">
        <v>0</v>
      </c>
      <c r="O559" t="n">
        <v>0</v>
      </c>
      <c r="P559" t="n">
        <v>0</v>
      </c>
      <c r="Q559" t="n">
        <v>0</v>
      </c>
      <c r="R559" s="2" t="inlineStr"/>
    </row>
    <row r="560" ht="15" customHeight="1">
      <c r="A560" t="inlineStr">
        <is>
          <t>A 32582-2025</t>
        </is>
      </c>
      <c r="B560" s="1" t="n">
        <v>45838.5983912037</v>
      </c>
      <c r="C560" s="1" t="n">
        <v>45905</v>
      </c>
      <c r="D560" t="inlineStr">
        <is>
          <t>NORRBOTTENS LÄN</t>
        </is>
      </c>
      <c r="E560" t="inlineStr">
        <is>
          <t>BODEN</t>
        </is>
      </c>
      <c r="G560" t="n">
        <v>1.2</v>
      </c>
      <c r="H560" t="n">
        <v>0</v>
      </c>
      <c r="I560" t="n">
        <v>0</v>
      </c>
      <c r="J560" t="n">
        <v>0</v>
      </c>
      <c r="K560" t="n">
        <v>0</v>
      </c>
      <c r="L560" t="n">
        <v>0</v>
      </c>
      <c r="M560" t="n">
        <v>0</v>
      </c>
      <c r="N560" t="n">
        <v>0</v>
      </c>
      <c r="O560" t="n">
        <v>0</v>
      </c>
      <c r="P560" t="n">
        <v>0</v>
      </c>
      <c r="Q560" t="n">
        <v>0</v>
      </c>
      <c r="R560" s="2" t="inlineStr"/>
    </row>
    <row r="561" ht="15" customHeight="1">
      <c r="A561" t="inlineStr">
        <is>
          <t>A 32052-2025</t>
        </is>
      </c>
      <c r="B561" s="1" t="n">
        <v>45835.44276620371</v>
      </c>
      <c r="C561" s="1" t="n">
        <v>45905</v>
      </c>
      <c r="D561" t="inlineStr">
        <is>
          <t>NORRBOTTENS LÄN</t>
        </is>
      </c>
      <c r="E561" t="inlineStr">
        <is>
          <t>BODEN</t>
        </is>
      </c>
      <c r="F561" t="inlineStr">
        <is>
          <t>Sveaskog</t>
        </is>
      </c>
      <c r="G561" t="n">
        <v>7.3</v>
      </c>
      <c r="H561" t="n">
        <v>0</v>
      </c>
      <c r="I561" t="n">
        <v>0</v>
      </c>
      <c r="J561" t="n">
        <v>0</v>
      </c>
      <c r="K561" t="n">
        <v>0</v>
      </c>
      <c r="L561" t="n">
        <v>0</v>
      </c>
      <c r="M561" t="n">
        <v>0</v>
      </c>
      <c r="N561" t="n">
        <v>0</v>
      </c>
      <c r="O561" t="n">
        <v>0</v>
      </c>
      <c r="P561" t="n">
        <v>0</v>
      </c>
      <c r="Q561" t="n">
        <v>0</v>
      </c>
      <c r="R561" s="2" t="inlineStr"/>
    </row>
    <row r="562" ht="15" customHeight="1">
      <c r="A562" t="inlineStr">
        <is>
          <t>A 32309-2025</t>
        </is>
      </c>
      <c r="B562" s="1" t="n">
        <v>45835.74189814815</v>
      </c>
      <c r="C562" s="1" t="n">
        <v>45905</v>
      </c>
      <c r="D562" t="inlineStr">
        <is>
          <t>NORRBOTTENS LÄN</t>
        </is>
      </c>
      <c r="E562" t="inlineStr">
        <is>
          <t>BODEN</t>
        </is>
      </c>
      <c r="F562" t="inlineStr">
        <is>
          <t>Sveaskog</t>
        </is>
      </c>
      <c r="G562" t="n">
        <v>13.6</v>
      </c>
      <c r="H562" t="n">
        <v>0</v>
      </c>
      <c r="I562" t="n">
        <v>0</v>
      </c>
      <c r="J562" t="n">
        <v>0</v>
      </c>
      <c r="K562" t="n">
        <v>0</v>
      </c>
      <c r="L562" t="n">
        <v>0</v>
      </c>
      <c r="M562" t="n">
        <v>0</v>
      </c>
      <c r="N562" t="n">
        <v>0</v>
      </c>
      <c r="O562" t="n">
        <v>0</v>
      </c>
      <c r="P562" t="n">
        <v>0</v>
      </c>
      <c r="Q562" t="n">
        <v>0</v>
      </c>
      <c r="R562" s="2" t="inlineStr"/>
    </row>
    <row r="563" ht="15" customHeight="1">
      <c r="A563" t="inlineStr">
        <is>
          <t>A 37653-2025</t>
        </is>
      </c>
      <c r="B563" s="1" t="n">
        <v>45880.49046296296</v>
      </c>
      <c r="C563" s="1" t="n">
        <v>45905</v>
      </c>
      <c r="D563" t="inlineStr">
        <is>
          <t>NORRBOTTENS LÄN</t>
        </is>
      </c>
      <c r="E563" t="inlineStr">
        <is>
          <t>BODEN</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25916-2023</t>
        </is>
      </c>
      <c r="B564" s="1" t="n">
        <v>45085</v>
      </c>
      <c r="C564" s="1" t="n">
        <v>45905</v>
      </c>
      <c r="D564" t="inlineStr">
        <is>
          <t>NORRBOTTENS LÄN</t>
        </is>
      </c>
      <c r="E564" t="inlineStr">
        <is>
          <t>BODEN</t>
        </is>
      </c>
      <c r="G564" t="n">
        <v>0.5</v>
      </c>
      <c r="H564" t="n">
        <v>0</v>
      </c>
      <c r="I564" t="n">
        <v>0</v>
      </c>
      <c r="J564" t="n">
        <v>0</v>
      </c>
      <c r="K564" t="n">
        <v>0</v>
      </c>
      <c r="L564" t="n">
        <v>0</v>
      </c>
      <c r="M564" t="n">
        <v>0</v>
      </c>
      <c r="N564" t="n">
        <v>0</v>
      </c>
      <c r="O564" t="n">
        <v>0</v>
      </c>
      <c r="P564" t="n">
        <v>0</v>
      </c>
      <c r="Q564" t="n">
        <v>0</v>
      </c>
      <c r="R564" s="2" t="inlineStr"/>
    </row>
    <row r="565" ht="15" customHeight="1">
      <c r="A565" t="inlineStr">
        <is>
          <t>A 33023-2025</t>
        </is>
      </c>
      <c r="B565" s="1" t="n">
        <v>45840.37375</v>
      </c>
      <c r="C565" s="1" t="n">
        <v>45905</v>
      </c>
      <c r="D565" t="inlineStr">
        <is>
          <t>NORRBOTTENS LÄN</t>
        </is>
      </c>
      <c r="E565" t="inlineStr">
        <is>
          <t>BODEN</t>
        </is>
      </c>
      <c r="G565" t="n">
        <v>8.6</v>
      </c>
      <c r="H565" t="n">
        <v>0</v>
      </c>
      <c r="I565" t="n">
        <v>0</v>
      </c>
      <c r="J565" t="n">
        <v>0</v>
      </c>
      <c r="K565" t="n">
        <v>0</v>
      </c>
      <c r="L565" t="n">
        <v>0</v>
      </c>
      <c r="M565" t="n">
        <v>0</v>
      </c>
      <c r="N565" t="n">
        <v>0</v>
      </c>
      <c r="O565" t="n">
        <v>0</v>
      </c>
      <c r="P565" t="n">
        <v>0</v>
      </c>
      <c r="Q565" t="n">
        <v>0</v>
      </c>
      <c r="R565" s="2" t="inlineStr"/>
    </row>
    <row r="566" ht="15" customHeight="1">
      <c r="A566" t="inlineStr">
        <is>
          <t>A 33024-2025</t>
        </is>
      </c>
      <c r="B566" s="1" t="n">
        <v>45840.37756944444</v>
      </c>
      <c r="C566" s="1" t="n">
        <v>45905</v>
      </c>
      <c r="D566" t="inlineStr">
        <is>
          <t>NORRBOTTENS LÄN</t>
        </is>
      </c>
      <c r="E566" t="inlineStr">
        <is>
          <t>BODEN</t>
        </is>
      </c>
      <c r="G566" t="n">
        <v>11.4</v>
      </c>
      <c r="H566" t="n">
        <v>0</v>
      </c>
      <c r="I566" t="n">
        <v>0</v>
      </c>
      <c r="J566" t="n">
        <v>0</v>
      </c>
      <c r="K566" t="n">
        <v>0</v>
      </c>
      <c r="L566" t="n">
        <v>0</v>
      </c>
      <c r="M566" t="n">
        <v>0</v>
      </c>
      <c r="N566" t="n">
        <v>0</v>
      </c>
      <c r="O566" t="n">
        <v>0</v>
      </c>
      <c r="P566" t="n">
        <v>0</v>
      </c>
      <c r="Q566" t="n">
        <v>0</v>
      </c>
      <c r="R566" s="2" t="inlineStr"/>
    </row>
    <row r="567" ht="15" customHeight="1">
      <c r="A567" t="inlineStr">
        <is>
          <t>A 37854-2025</t>
        </is>
      </c>
      <c r="B567" s="1" t="n">
        <v>45881.45475694445</v>
      </c>
      <c r="C567" s="1" t="n">
        <v>45905</v>
      </c>
      <c r="D567" t="inlineStr">
        <is>
          <t>NORRBOTTENS LÄN</t>
        </is>
      </c>
      <c r="E567" t="inlineStr">
        <is>
          <t>BODEN</t>
        </is>
      </c>
      <c r="G567" t="n">
        <v>5.3</v>
      </c>
      <c r="H567" t="n">
        <v>0</v>
      </c>
      <c r="I567" t="n">
        <v>0</v>
      </c>
      <c r="J567" t="n">
        <v>0</v>
      </c>
      <c r="K567" t="n">
        <v>0</v>
      </c>
      <c r="L567" t="n">
        <v>0</v>
      </c>
      <c r="M567" t="n">
        <v>0</v>
      </c>
      <c r="N567" t="n">
        <v>0</v>
      </c>
      <c r="O567" t="n">
        <v>0</v>
      </c>
      <c r="P567" t="n">
        <v>0</v>
      </c>
      <c r="Q567" t="n">
        <v>0</v>
      </c>
      <c r="R567" s="2" t="inlineStr"/>
    </row>
    <row r="568" ht="15" customHeight="1">
      <c r="A568" t="inlineStr">
        <is>
          <t>A 32775-2025</t>
        </is>
      </c>
      <c r="B568" s="1" t="n">
        <v>45839.46466435185</v>
      </c>
      <c r="C568" s="1" t="n">
        <v>45905</v>
      </c>
      <c r="D568" t="inlineStr">
        <is>
          <t>NORRBOTTENS LÄN</t>
        </is>
      </c>
      <c r="E568" t="inlineStr">
        <is>
          <t>BODEN</t>
        </is>
      </c>
      <c r="G568" t="n">
        <v>13.6</v>
      </c>
      <c r="H568" t="n">
        <v>0</v>
      </c>
      <c r="I568" t="n">
        <v>0</v>
      </c>
      <c r="J568" t="n">
        <v>0</v>
      </c>
      <c r="K568" t="n">
        <v>0</v>
      </c>
      <c r="L568" t="n">
        <v>0</v>
      </c>
      <c r="M568" t="n">
        <v>0</v>
      </c>
      <c r="N568" t="n">
        <v>0</v>
      </c>
      <c r="O568" t="n">
        <v>0</v>
      </c>
      <c r="P568" t="n">
        <v>0</v>
      </c>
      <c r="Q568" t="n">
        <v>0</v>
      </c>
      <c r="R568" s="2" t="inlineStr"/>
    </row>
    <row r="569" ht="15" customHeight="1">
      <c r="A569" t="inlineStr">
        <is>
          <t>A 36915-2023</t>
        </is>
      </c>
      <c r="B569" s="1" t="n">
        <v>45153</v>
      </c>
      <c r="C569" s="1" t="n">
        <v>45905</v>
      </c>
      <c r="D569" t="inlineStr">
        <is>
          <t>NORRBOTTENS LÄN</t>
        </is>
      </c>
      <c r="E569" t="inlineStr">
        <is>
          <t>BODEN</t>
        </is>
      </c>
      <c r="G569" t="n">
        <v>7.5</v>
      </c>
      <c r="H569" t="n">
        <v>0</v>
      </c>
      <c r="I569" t="n">
        <v>0</v>
      </c>
      <c r="J569" t="n">
        <v>0</v>
      </c>
      <c r="K569" t="n">
        <v>0</v>
      </c>
      <c r="L569" t="n">
        <v>0</v>
      </c>
      <c r="M569" t="n">
        <v>0</v>
      </c>
      <c r="N569" t="n">
        <v>0</v>
      </c>
      <c r="O569" t="n">
        <v>0</v>
      </c>
      <c r="P569" t="n">
        <v>0</v>
      </c>
      <c r="Q569" t="n">
        <v>0</v>
      </c>
      <c r="R569" s="2" t="inlineStr"/>
    </row>
    <row r="570" ht="15" customHeight="1">
      <c r="A570" t="inlineStr">
        <is>
          <t>A 32991-2025</t>
        </is>
      </c>
      <c r="B570" s="1" t="n">
        <v>45840</v>
      </c>
      <c r="C570" s="1" t="n">
        <v>45905</v>
      </c>
      <c r="D570" t="inlineStr">
        <is>
          <t>NORRBOTTENS LÄN</t>
        </is>
      </c>
      <c r="E570" t="inlineStr">
        <is>
          <t>BODEN</t>
        </is>
      </c>
      <c r="G570" t="n">
        <v>2.7</v>
      </c>
      <c r="H570" t="n">
        <v>0</v>
      </c>
      <c r="I570" t="n">
        <v>0</v>
      </c>
      <c r="J570" t="n">
        <v>0</v>
      </c>
      <c r="K570" t="n">
        <v>0</v>
      </c>
      <c r="L570" t="n">
        <v>0</v>
      </c>
      <c r="M570" t="n">
        <v>0</v>
      </c>
      <c r="N570" t="n">
        <v>0</v>
      </c>
      <c r="O570" t="n">
        <v>0</v>
      </c>
      <c r="P570" t="n">
        <v>0</v>
      </c>
      <c r="Q570" t="n">
        <v>0</v>
      </c>
      <c r="R570" s="2" t="inlineStr"/>
    </row>
    <row r="571" ht="15" customHeight="1">
      <c r="A571" t="inlineStr">
        <is>
          <t>A 33032-2025</t>
        </is>
      </c>
      <c r="B571" s="1" t="n">
        <v>45840.39109953704</v>
      </c>
      <c r="C571" s="1" t="n">
        <v>45905</v>
      </c>
      <c r="D571" t="inlineStr">
        <is>
          <t>NORRBOTTENS LÄN</t>
        </is>
      </c>
      <c r="E571" t="inlineStr">
        <is>
          <t>BODEN</t>
        </is>
      </c>
      <c r="G571" t="n">
        <v>5.9</v>
      </c>
      <c r="H571" t="n">
        <v>0</v>
      </c>
      <c r="I571" t="n">
        <v>0</v>
      </c>
      <c r="J571" t="n">
        <v>0</v>
      </c>
      <c r="K571" t="n">
        <v>0</v>
      </c>
      <c r="L571" t="n">
        <v>0</v>
      </c>
      <c r="M571" t="n">
        <v>0</v>
      </c>
      <c r="N571" t="n">
        <v>0</v>
      </c>
      <c r="O571" t="n">
        <v>0</v>
      </c>
      <c r="P571" t="n">
        <v>0</v>
      </c>
      <c r="Q571" t="n">
        <v>0</v>
      </c>
      <c r="R571" s="2" t="inlineStr"/>
    </row>
    <row r="572" ht="15" customHeight="1">
      <c r="A572" t="inlineStr">
        <is>
          <t>A 33038-2025</t>
        </is>
      </c>
      <c r="B572" s="1" t="n">
        <v>45840.39805555555</v>
      </c>
      <c r="C572" s="1" t="n">
        <v>45905</v>
      </c>
      <c r="D572" t="inlineStr">
        <is>
          <t>NORRBOTTENS LÄN</t>
        </is>
      </c>
      <c r="E572" t="inlineStr">
        <is>
          <t>BODEN</t>
        </is>
      </c>
      <c r="G572" t="n">
        <v>1.7</v>
      </c>
      <c r="H572" t="n">
        <v>0</v>
      </c>
      <c r="I572" t="n">
        <v>0</v>
      </c>
      <c r="J572" t="n">
        <v>0</v>
      </c>
      <c r="K572" t="n">
        <v>0</v>
      </c>
      <c r="L572" t="n">
        <v>0</v>
      </c>
      <c r="M572" t="n">
        <v>0</v>
      </c>
      <c r="N572" t="n">
        <v>0</v>
      </c>
      <c r="O572" t="n">
        <v>0</v>
      </c>
      <c r="P572" t="n">
        <v>0</v>
      </c>
      <c r="Q572" t="n">
        <v>0</v>
      </c>
      <c r="R572" s="2" t="inlineStr"/>
    </row>
    <row r="573" ht="15" customHeight="1">
      <c r="A573" t="inlineStr">
        <is>
          <t>A 61750-2024</t>
        </is>
      </c>
      <c r="B573" s="1" t="n">
        <v>45649.39115740741</v>
      </c>
      <c r="C573" s="1" t="n">
        <v>45905</v>
      </c>
      <c r="D573" t="inlineStr">
        <is>
          <t>NORRBOTTENS LÄN</t>
        </is>
      </c>
      <c r="E573" t="inlineStr">
        <is>
          <t>BODEN</t>
        </is>
      </c>
      <c r="G573" t="n">
        <v>1.8</v>
      </c>
      <c r="H573" t="n">
        <v>0</v>
      </c>
      <c r="I573" t="n">
        <v>0</v>
      </c>
      <c r="J573" t="n">
        <v>0</v>
      </c>
      <c r="K573" t="n">
        <v>0</v>
      </c>
      <c r="L573" t="n">
        <v>0</v>
      </c>
      <c r="M573" t="n">
        <v>0</v>
      </c>
      <c r="N573" t="n">
        <v>0</v>
      </c>
      <c r="O573" t="n">
        <v>0</v>
      </c>
      <c r="P573" t="n">
        <v>0</v>
      </c>
      <c r="Q573" t="n">
        <v>0</v>
      </c>
      <c r="R573" s="2" t="inlineStr"/>
    </row>
    <row r="574" ht="15" customHeight="1">
      <c r="A574" t="inlineStr">
        <is>
          <t>A 37404-2025</t>
        </is>
      </c>
      <c r="B574" s="1" t="n">
        <v>45877.44846064815</v>
      </c>
      <c r="C574" s="1" t="n">
        <v>45905</v>
      </c>
      <c r="D574" t="inlineStr">
        <is>
          <t>NORRBOTTENS LÄN</t>
        </is>
      </c>
      <c r="E574" t="inlineStr">
        <is>
          <t>BODEN</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33276-2025</t>
        </is>
      </c>
      <c r="B575" s="1" t="n">
        <v>45840</v>
      </c>
      <c r="C575" s="1" t="n">
        <v>45905</v>
      </c>
      <c r="D575" t="inlineStr">
        <is>
          <t>NORRBOTTENS LÄN</t>
        </is>
      </c>
      <c r="E575" t="inlineStr">
        <is>
          <t>BODEN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36112-2023</t>
        </is>
      </c>
      <c r="B576" s="1" t="n">
        <v>45149</v>
      </c>
      <c r="C576" s="1" t="n">
        <v>45905</v>
      </c>
      <c r="D576" t="inlineStr">
        <is>
          <t>NORRBOTTENS LÄN</t>
        </is>
      </c>
      <c r="E576" t="inlineStr">
        <is>
          <t>BODEN</t>
        </is>
      </c>
      <c r="G576" t="n">
        <v>16.1</v>
      </c>
      <c r="H576" t="n">
        <v>0</v>
      </c>
      <c r="I576" t="n">
        <v>0</v>
      </c>
      <c r="J576" t="n">
        <v>0</v>
      </c>
      <c r="K576" t="n">
        <v>0</v>
      </c>
      <c r="L576" t="n">
        <v>0</v>
      </c>
      <c r="M576" t="n">
        <v>0</v>
      </c>
      <c r="N576" t="n">
        <v>0</v>
      </c>
      <c r="O576" t="n">
        <v>0</v>
      </c>
      <c r="P576" t="n">
        <v>0</v>
      </c>
      <c r="Q576" t="n">
        <v>0</v>
      </c>
      <c r="R576" s="2" t="inlineStr"/>
    </row>
    <row r="577" ht="15" customHeight="1">
      <c r="A577" t="inlineStr">
        <is>
          <t>A 61241-2023</t>
        </is>
      </c>
      <c r="B577" s="1" t="n">
        <v>45260</v>
      </c>
      <c r="C577" s="1" t="n">
        <v>45905</v>
      </c>
      <c r="D577" t="inlineStr">
        <is>
          <t>NORRBOTTENS LÄN</t>
        </is>
      </c>
      <c r="E577" t="inlineStr">
        <is>
          <t>BODEN</t>
        </is>
      </c>
      <c r="G577" t="n">
        <v>33.9</v>
      </c>
      <c r="H577" t="n">
        <v>0</v>
      </c>
      <c r="I577" t="n">
        <v>0</v>
      </c>
      <c r="J577" t="n">
        <v>0</v>
      </c>
      <c r="K577" t="n">
        <v>0</v>
      </c>
      <c r="L577" t="n">
        <v>0</v>
      </c>
      <c r="M577" t="n">
        <v>0</v>
      </c>
      <c r="N577" t="n">
        <v>0</v>
      </c>
      <c r="O577" t="n">
        <v>0</v>
      </c>
      <c r="P577" t="n">
        <v>0</v>
      </c>
      <c r="Q577" t="n">
        <v>0</v>
      </c>
      <c r="R577" s="2" t="inlineStr"/>
    </row>
    <row r="578" ht="15" customHeight="1">
      <c r="A578" t="inlineStr">
        <is>
          <t>A 33028-2025</t>
        </is>
      </c>
      <c r="B578" s="1" t="n">
        <v>45840.38418981482</v>
      </c>
      <c r="C578" s="1" t="n">
        <v>45905</v>
      </c>
      <c r="D578" t="inlineStr">
        <is>
          <t>NORRBOTTENS LÄN</t>
        </is>
      </c>
      <c r="E578" t="inlineStr">
        <is>
          <t>BODEN</t>
        </is>
      </c>
      <c r="G578" t="n">
        <v>5.4</v>
      </c>
      <c r="H578" t="n">
        <v>0</v>
      </c>
      <c r="I578" t="n">
        <v>0</v>
      </c>
      <c r="J578" t="n">
        <v>0</v>
      </c>
      <c r="K578" t="n">
        <v>0</v>
      </c>
      <c r="L578" t="n">
        <v>0</v>
      </c>
      <c r="M578" t="n">
        <v>0</v>
      </c>
      <c r="N578" t="n">
        <v>0</v>
      </c>
      <c r="O578" t="n">
        <v>0</v>
      </c>
      <c r="P578" t="n">
        <v>0</v>
      </c>
      <c r="Q578" t="n">
        <v>0</v>
      </c>
      <c r="R578" s="2" t="inlineStr"/>
    </row>
    <row r="579" ht="15" customHeight="1">
      <c r="A579" t="inlineStr">
        <is>
          <t>A 61617-2024</t>
        </is>
      </c>
      <c r="B579" s="1" t="n">
        <v>45646.65767361111</v>
      </c>
      <c r="C579" s="1" t="n">
        <v>45905</v>
      </c>
      <c r="D579" t="inlineStr">
        <is>
          <t>NORRBOTTENS LÄN</t>
        </is>
      </c>
      <c r="E579" t="inlineStr">
        <is>
          <t>BODEN</t>
        </is>
      </c>
      <c r="G579" t="n">
        <v>0.7</v>
      </c>
      <c r="H579" t="n">
        <v>0</v>
      </c>
      <c r="I579" t="n">
        <v>0</v>
      </c>
      <c r="J579" t="n">
        <v>0</v>
      </c>
      <c r="K579" t="n">
        <v>0</v>
      </c>
      <c r="L579" t="n">
        <v>0</v>
      </c>
      <c r="M579" t="n">
        <v>0</v>
      </c>
      <c r="N579" t="n">
        <v>0</v>
      </c>
      <c r="O579" t="n">
        <v>0</v>
      </c>
      <c r="P579" t="n">
        <v>0</v>
      </c>
      <c r="Q579" t="n">
        <v>0</v>
      </c>
      <c r="R579" s="2" t="inlineStr"/>
    </row>
    <row r="580" ht="15" customHeight="1">
      <c r="A580" t="inlineStr">
        <is>
          <t>A 15486-2025</t>
        </is>
      </c>
      <c r="B580" s="1" t="n">
        <v>45747.57071759259</v>
      </c>
      <c r="C580" s="1" t="n">
        <v>45905</v>
      </c>
      <c r="D580" t="inlineStr">
        <is>
          <t>NORRBOTTENS LÄN</t>
        </is>
      </c>
      <c r="E580" t="inlineStr">
        <is>
          <t>BODEN</t>
        </is>
      </c>
      <c r="G580" t="n">
        <v>3.4</v>
      </c>
      <c r="H580" t="n">
        <v>0</v>
      </c>
      <c r="I580" t="n">
        <v>0</v>
      </c>
      <c r="J580" t="n">
        <v>0</v>
      </c>
      <c r="K580" t="n">
        <v>0</v>
      </c>
      <c r="L580" t="n">
        <v>0</v>
      </c>
      <c r="M580" t="n">
        <v>0</v>
      </c>
      <c r="N580" t="n">
        <v>0</v>
      </c>
      <c r="O580" t="n">
        <v>0</v>
      </c>
      <c r="P580" t="n">
        <v>0</v>
      </c>
      <c r="Q580" t="n">
        <v>0</v>
      </c>
      <c r="R580" s="2" t="inlineStr"/>
    </row>
    <row r="581" ht="15" customHeight="1">
      <c r="A581" t="inlineStr">
        <is>
          <t>A 33130-2025</t>
        </is>
      </c>
      <c r="B581" s="1" t="n">
        <v>45840.50157407407</v>
      </c>
      <c r="C581" s="1" t="n">
        <v>45905</v>
      </c>
      <c r="D581" t="inlineStr">
        <is>
          <t>NORRBOTTENS LÄN</t>
        </is>
      </c>
      <c r="E581" t="inlineStr">
        <is>
          <t>BODEN</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15881-2023</t>
        </is>
      </c>
      <c r="B582" s="1" t="n">
        <v>45022.44041666666</v>
      </c>
      <c r="C582" s="1" t="n">
        <v>45905</v>
      </c>
      <c r="D582" t="inlineStr">
        <is>
          <t>NORRBOTTENS LÄN</t>
        </is>
      </c>
      <c r="E582" t="inlineStr">
        <is>
          <t>BODEN</t>
        </is>
      </c>
      <c r="G582" t="n">
        <v>2.2</v>
      </c>
      <c r="H582" t="n">
        <v>0</v>
      </c>
      <c r="I582" t="n">
        <v>0</v>
      </c>
      <c r="J582" t="n">
        <v>0</v>
      </c>
      <c r="K582" t="n">
        <v>0</v>
      </c>
      <c r="L582" t="n">
        <v>0</v>
      </c>
      <c r="M582" t="n">
        <v>0</v>
      </c>
      <c r="N582" t="n">
        <v>0</v>
      </c>
      <c r="O582" t="n">
        <v>0</v>
      </c>
      <c r="P582" t="n">
        <v>0</v>
      </c>
      <c r="Q582" t="n">
        <v>0</v>
      </c>
      <c r="R582" s="2" t="inlineStr"/>
    </row>
    <row r="583" ht="15" customHeight="1">
      <c r="A583" t="inlineStr">
        <is>
          <t>A 10727-2025</t>
        </is>
      </c>
      <c r="B583" s="1" t="n">
        <v>45722.38607638889</v>
      </c>
      <c r="C583" s="1" t="n">
        <v>45905</v>
      </c>
      <c r="D583" t="inlineStr">
        <is>
          <t>NORRBOTTENS LÄN</t>
        </is>
      </c>
      <c r="E583" t="inlineStr">
        <is>
          <t>BODEN</t>
        </is>
      </c>
      <c r="G583" t="n">
        <v>5.4</v>
      </c>
      <c r="H583" t="n">
        <v>0</v>
      </c>
      <c r="I583" t="n">
        <v>0</v>
      </c>
      <c r="J583" t="n">
        <v>0</v>
      </c>
      <c r="K583" t="n">
        <v>0</v>
      </c>
      <c r="L583" t="n">
        <v>0</v>
      </c>
      <c r="M583" t="n">
        <v>0</v>
      </c>
      <c r="N583" t="n">
        <v>0</v>
      </c>
      <c r="O583" t="n">
        <v>0</v>
      </c>
      <c r="P583" t="n">
        <v>0</v>
      </c>
      <c r="Q583" t="n">
        <v>0</v>
      </c>
      <c r="R583" s="2" t="inlineStr"/>
    </row>
    <row r="584" ht="15" customHeight="1">
      <c r="A584" t="inlineStr">
        <is>
          <t>A 1497-2022</t>
        </is>
      </c>
      <c r="B584" s="1" t="n">
        <v>44573</v>
      </c>
      <c r="C584" s="1" t="n">
        <v>45905</v>
      </c>
      <c r="D584" t="inlineStr">
        <is>
          <t>NORRBOTTENS LÄN</t>
        </is>
      </c>
      <c r="E584" t="inlineStr">
        <is>
          <t>BODEN</t>
        </is>
      </c>
      <c r="F584" t="inlineStr">
        <is>
          <t>Övriga statliga verk och myndigheter</t>
        </is>
      </c>
      <c r="G584" t="n">
        <v>9.9</v>
      </c>
      <c r="H584" t="n">
        <v>0</v>
      </c>
      <c r="I584" t="n">
        <v>0</v>
      </c>
      <c r="J584" t="n">
        <v>0</v>
      </c>
      <c r="K584" t="n">
        <v>0</v>
      </c>
      <c r="L584" t="n">
        <v>0</v>
      </c>
      <c r="M584" t="n">
        <v>0</v>
      </c>
      <c r="N584" t="n">
        <v>0</v>
      </c>
      <c r="O584" t="n">
        <v>0</v>
      </c>
      <c r="P584" t="n">
        <v>0</v>
      </c>
      <c r="Q584" t="n">
        <v>0</v>
      </c>
      <c r="R584" s="2" t="inlineStr"/>
    </row>
    <row r="585" ht="15" customHeight="1">
      <c r="A585" t="inlineStr">
        <is>
          <t>A 16699-2024</t>
        </is>
      </c>
      <c r="B585" s="1" t="n">
        <v>45408.96730324074</v>
      </c>
      <c r="C585" s="1" t="n">
        <v>45905</v>
      </c>
      <c r="D585" t="inlineStr">
        <is>
          <t>NORRBOTTENS LÄN</t>
        </is>
      </c>
      <c r="E585" t="inlineStr">
        <is>
          <t>BODEN</t>
        </is>
      </c>
      <c r="G585" t="n">
        <v>14.9</v>
      </c>
      <c r="H585" t="n">
        <v>0</v>
      </c>
      <c r="I585" t="n">
        <v>0</v>
      </c>
      <c r="J585" t="n">
        <v>0</v>
      </c>
      <c r="K585" t="n">
        <v>0</v>
      </c>
      <c r="L585" t="n">
        <v>0</v>
      </c>
      <c r="M585" t="n">
        <v>0</v>
      </c>
      <c r="N585" t="n">
        <v>0</v>
      </c>
      <c r="O585" t="n">
        <v>0</v>
      </c>
      <c r="P585" t="n">
        <v>0</v>
      </c>
      <c r="Q585" t="n">
        <v>0</v>
      </c>
      <c r="R585" s="2" t="inlineStr"/>
    </row>
    <row r="586" ht="15" customHeight="1">
      <c r="A586" t="inlineStr">
        <is>
          <t>A 33511-2025</t>
        </is>
      </c>
      <c r="B586" s="1" t="n">
        <v>45841.5196875</v>
      </c>
      <c r="C586" s="1" t="n">
        <v>45905</v>
      </c>
      <c r="D586" t="inlineStr">
        <is>
          <t>NORRBOTTENS LÄN</t>
        </is>
      </c>
      <c r="E586" t="inlineStr">
        <is>
          <t>BODEN</t>
        </is>
      </c>
      <c r="G586" t="n">
        <v>3.5</v>
      </c>
      <c r="H586" t="n">
        <v>0</v>
      </c>
      <c r="I586" t="n">
        <v>0</v>
      </c>
      <c r="J586" t="n">
        <v>0</v>
      </c>
      <c r="K586" t="n">
        <v>0</v>
      </c>
      <c r="L586" t="n">
        <v>0</v>
      </c>
      <c r="M586" t="n">
        <v>0</v>
      </c>
      <c r="N586" t="n">
        <v>0</v>
      </c>
      <c r="O586" t="n">
        <v>0</v>
      </c>
      <c r="P586" t="n">
        <v>0</v>
      </c>
      <c r="Q586" t="n">
        <v>0</v>
      </c>
      <c r="R586" s="2" t="inlineStr"/>
    </row>
    <row r="587" ht="15" customHeight="1">
      <c r="A587" t="inlineStr">
        <is>
          <t>A 7442-2024</t>
        </is>
      </c>
      <c r="B587" s="1" t="n">
        <v>45345</v>
      </c>
      <c r="C587" s="1" t="n">
        <v>45905</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29377-2024</t>
        </is>
      </c>
      <c r="B588" s="1" t="n">
        <v>45483</v>
      </c>
      <c r="C588" s="1" t="n">
        <v>45905</v>
      </c>
      <c r="D588" t="inlineStr">
        <is>
          <t>NORRBOTTENS LÄN</t>
        </is>
      </c>
      <c r="E588" t="inlineStr">
        <is>
          <t>BODEN</t>
        </is>
      </c>
      <c r="G588" t="n">
        <v>2.7</v>
      </c>
      <c r="H588" t="n">
        <v>0</v>
      </c>
      <c r="I588" t="n">
        <v>0</v>
      </c>
      <c r="J588" t="n">
        <v>0</v>
      </c>
      <c r="K588" t="n">
        <v>0</v>
      </c>
      <c r="L588" t="n">
        <v>0</v>
      </c>
      <c r="M588" t="n">
        <v>0</v>
      </c>
      <c r="N588" t="n">
        <v>0</v>
      </c>
      <c r="O588" t="n">
        <v>0</v>
      </c>
      <c r="P588" t="n">
        <v>0</v>
      </c>
      <c r="Q588" t="n">
        <v>0</v>
      </c>
      <c r="R588" s="2" t="inlineStr"/>
    </row>
    <row r="589" ht="15" customHeight="1">
      <c r="A589" t="inlineStr">
        <is>
          <t>A 38291-2025</t>
        </is>
      </c>
      <c r="B589" s="1" t="n">
        <v>45882</v>
      </c>
      <c r="C589" s="1" t="n">
        <v>45905</v>
      </c>
      <c r="D589" t="inlineStr">
        <is>
          <t>NORRBOTTENS LÄN</t>
        </is>
      </c>
      <c r="E589" t="inlineStr">
        <is>
          <t>BODEN</t>
        </is>
      </c>
      <c r="G589" t="n">
        <v>11.4</v>
      </c>
      <c r="H589" t="n">
        <v>0</v>
      </c>
      <c r="I589" t="n">
        <v>0</v>
      </c>
      <c r="J589" t="n">
        <v>0</v>
      </c>
      <c r="K589" t="n">
        <v>0</v>
      </c>
      <c r="L589" t="n">
        <v>0</v>
      </c>
      <c r="M589" t="n">
        <v>0</v>
      </c>
      <c r="N589" t="n">
        <v>0</v>
      </c>
      <c r="O589" t="n">
        <v>0</v>
      </c>
      <c r="P589" t="n">
        <v>0</v>
      </c>
      <c r="Q589" t="n">
        <v>0</v>
      </c>
      <c r="R589" s="2" t="inlineStr"/>
    </row>
    <row r="590" ht="15" customHeight="1">
      <c r="A590" t="inlineStr">
        <is>
          <t>A 64975-2023</t>
        </is>
      </c>
      <c r="B590" s="1" t="n">
        <v>45285</v>
      </c>
      <c r="C590" s="1" t="n">
        <v>45905</v>
      </c>
      <c r="D590" t="inlineStr">
        <is>
          <t>NORRBOTTENS LÄN</t>
        </is>
      </c>
      <c r="E590" t="inlineStr">
        <is>
          <t>BODEN</t>
        </is>
      </c>
      <c r="G590" t="n">
        <v>9.4</v>
      </c>
      <c r="H590" t="n">
        <v>0</v>
      </c>
      <c r="I590" t="n">
        <v>0</v>
      </c>
      <c r="J590" t="n">
        <v>0</v>
      </c>
      <c r="K590" t="n">
        <v>0</v>
      </c>
      <c r="L590" t="n">
        <v>0</v>
      </c>
      <c r="M590" t="n">
        <v>0</v>
      </c>
      <c r="N590" t="n">
        <v>0</v>
      </c>
      <c r="O590" t="n">
        <v>0</v>
      </c>
      <c r="P590" t="n">
        <v>0</v>
      </c>
      <c r="Q590" t="n">
        <v>0</v>
      </c>
      <c r="R590" s="2" t="inlineStr"/>
    </row>
    <row r="591" ht="15" customHeight="1">
      <c r="A591" t="inlineStr">
        <is>
          <t>A 33175-2025</t>
        </is>
      </c>
      <c r="B591" s="1" t="n">
        <v>45840</v>
      </c>
      <c r="C591" s="1" t="n">
        <v>45905</v>
      </c>
      <c r="D591" t="inlineStr">
        <is>
          <t>NORRBOTTENS LÄN</t>
        </is>
      </c>
      <c r="E591" t="inlineStr">
        <is>
          <t>BODEN</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38584-2025</t>
        </is>
      </c>
      <c r="B592" s="1" t="n">
        <v>45884.46996527778</v>
      </c>
      <c r="C592" s="1" t="n">
        <v>45905</v>
      </c>
      <c r="D592" t="inlineStr">
        <is>
          <t>NORRBOTTENS LÄN</t>
        </is>
      </c>
      <c r="E592" t="inlineStr">
        <is>
          <t>BODEN</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33693-2025</t>
        </is>
      </c>
      <c r="B593" s="1" t="n">
        <v>45841.69828703703</v>
      </c>
      <c r="C593" s="1" t="n">
        <v>45905</v>
      </c>
      <c r="D593" t="inlineStr">
        <is>
          <t>NORRBOTTENS LÄN</t>
        </is>
      </c>
      <c r="E593" t="inlineStr">
        <is>
          <t>BODEN</t>
        </is>
      </c>
      <c r="G593" t="n">
        <v>4.7</v>
      </c>
      <c r="H593" t="n">
        <v>0</v>
      </c>
      <c r="I593" t="n">
        <v>0</v>
      </c>
      <c r="J593" t="n">
        <v>0</v>
      </c>
      <c r="K593" t="n">
        <v>0</v>
      </c>
      <c r="L593" t="n">
        <v>0</v>
      </c>
      <c r="M593" t="n">
        <v>0</v>
      </c>
      <c r="N593" t="n">
        <v>0</v>
      </c>
      <c r="O593" t="n">
        <v>0</v>
      </c>
      <c r="P593" t="n">
        <v>0</v>
      </c>
      <c r="Q593" t="n">
        <v>0</v>
      </c>
      <c r="R593" s="2" t="inlineStr"/>
    </row>
    <row r="594" ht="15" customHeight="1">
      <c r="A594" t="inlineStr">
        <is>
          <t>A 33504-2025</t>
        </is>
      </c>
      <c r="B594" s="1" t="n">
        <v>45841.5124537037</v>
      </c>
      <c r="C594" s="1" t="n">
        <v>45905</v>
      </c>
      <c r="D594" t="inlineStr">
        <is>
          <t>NORRBOTTENS LÄN</t>
        </is>
      </c>
      <c r="E594" t="inlineStr">
        <is>
          <t>BODEN</t>
        </is>
      </c>
      <c r="G594" t="n">
        <v>7</v>
      </c>
      <c r="H594" t="n">
        <v>0</v>
      </c>
      <c r="I594" t="n">
        <v>0</v>
      </c>
      <c r="J594" t="n">
        <v>0</v>
      </c>
      <c r="K594" t="n">
        <v>0</v>
      </c>
      <c r="L594" t="n">
        <v>0</v>
      </c>
      <c r="M594" t="n">
        <v>0</v>
      </c>
      <c r="N594" t="n">
        <v>0</v>
      </c>
      <c r="O594" t="n">
        <v>0</v>
      </c>
      <c r="P594" t="n">
        <v>0</v>
      </c>
      <c r="Q594" t="n">
        <v>0</v>
      </c>
      <c r="R594" s="2" t="inlineStr"/>
    </row>
    <row r="595" ht="15" customHeight="1">
      <c r="A595" t="inlineStr">
        <is>
          <t>A 35115-2024</t>
        </is>
      </c>
      <c r="B595" s="1" t="n">
        <v>45529.93233796296</v>
      </c>
      <c r="C595" s="1" t="n">
        <v>45905</v>
      </c>
      <c r="D595" t="inlineStr">
        <is>
          <t>NORRBOTTENS LÄN</t>
        </is>
      </c>
      <c r="E595" t="inlineStr">
        <is>
          <t>BODEN</t>
        </is>
      </c>
      <c r="G595" t="n">
        <v>6.3</v>
      </c>
      <c r="H595" t="n">
        <v>0</v>
      </c>
      <c r="I595" t="n">
        <v>0</v>
      </c>
      <c r="J595" t="n">
        <v>0</v>
      </c>
      <c r="K595" t="n">
        <v>0</v>
      </c>
      <c r="L595" t="n">
        <v>0</v>
      </c>
      <c r="M595" t="n">
        <v>0</v>
      </c>
      <c r="N595" t="n">
        <v>0</v>
      </c>
      <c r="O595" t="n">
        <v>0</v>
      </c>
      <c r="P595" t="n">
        <v>0</v>
      </c>
      <c r="Q595" t="n">
        <v>0</v>
      </c>
      <c r="R595" s="2" t="inlineStr"/>
    </row>
    <row r="596" ht="15" customHeight="1">
      <c r="A596" t="inlineStr">
        <is>
          <t>A 48107-2022</t>
        </is>
      </c>
      <c r="B596" s="1" t="n">
        <v>44856.89673611111</v>
      </c>
      <c r="C596" s="1" t="n">
        <v>45905</v>
      </c>
      <c r="D596" t="inlineStr">
        <is>
          <t>NORRBOTTENS LÄN</t>
        </is>
      </c>
      <c r="E596" t="inlineStr">
        <is>
          <t>BODEN</t>
        </is>
      </c>
      <c r="G596" t="n">
        <v>3.3</v>
      </c>
      <c r="H596" t="n">
        <v>0</v>
      </c>
      <c r="I596" t="n">
        <v>0</v>
      </c>
      <c r="J596" t="n">
        <v>0</v>
      </c>
      <c r="K596" t="n">
        <v>0</v>
      </c>
      <c r="L596" t="n">
        <v>0</v>
      </c>
      <c r="M596" t="n">
        <v>0</v>
      </c>
      <c r="N596" t="n">
        <v>0</v>
      </c>
      <c r="O596" t="n">
        <v>0</v>
      </c>
      <c r="P596" t="n">
        <v>0</v>
      </c>
      <c r="Q596" t="n">
        <v>0</v>
      </c>
      <c r="R596" s="2" t="inlineStr"/>
    </row>
    <row r="597" ht="15" customHeight="1">
      <c r="A597" t="inlineStr">
        <is>
          <t>A 25627-2022</t>
        </is>
      </c>
      <c r="B597" s="1" t="n">
        <v>44732.92724537037</v>
      </c>
      <c r="C597" s="1" t="n">
        <v>45905</v>
      </c>
      <c r="D597" t="inlineStr">
        <is>
          <t>NORRBOTTENS LÄN</t>
        </is>
      </c>
      <c r="E597" t="inlineStr">
        <is>
          <t>BODEN</t>
        </is>
      </c>
      <c r="G597" t="n">
        <v>4.4</v>
      </c>
      <c r="H597" t="n">
        <v>0</v>
      </c>
      <c r="I597" t="n">
        <v>0</v>
      </c>
      <c r="J597" t="n">
        <v>0</v>
      </c>
      <c r="K597" t="n">
        <v>0</v>
      </c>
      <c r="L597" t="n">
        <v>0</v>
      </c>
      <c r="M597" t="n">
        <v>0</v>
      </c>
      <c r="N597" t="n">
        <v>0</v>
      </c>
      <c r="O597" t="n">
        <v>0</v>
      </c>
      <c r="P597" t="n">
        <v>0</v>
      </c>
      <c r="Q597" t="n">
        <v>0</v>
      </c>
      <c r="R597" s="2" t="inlineStr"/>
    </row>
    <row r="598" ht="15" customHeight="1">
      <c r="A598" t="inlineStr">
        <is>
          <t>A 38583-2025</t>
        </is>
      </c>
      <c r="B598" s="1" t="n">
        <v>45884.46990740741</v>
      </c>
      <c r="C598" s="1" t="n">
        <v>45905</v>
      </c>
      <c r="D598" t="inlineStr">
        <is>
          <t>NORRBOTTENS LÄN</t>
        </is>
      </c>
      <c r="E598" t="inlineStr">
        <is>
          <t>BODEN</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4055-2024</t>
        </is>
      </c>
      <c r="B599" s="1" t="n">
        <v>45323</v>
      </c>
      <c r="C599" s="1" t="n">
        <v>45905</v>
      </c>
      <c r="D599" t="inlineStr">
        <is>
          <t>NORRBOTTENS LÄN</t>
        </is>
      </c>
      <c r="E599" t="inlineStr">
        <is>
          <t>BODEN</t>
        </is>
      </c>
      <c r="G599" t="n">
        <v>1.6</v>
      </c>
      <c r="H599" t="n">
        <v>0</v>
      </c>
      <c r="I599" t="n">
        <v>0</v>
      </c>
      <c r="J599" t="n">
        <v>0</v>
      </c>
      <c r="K599" t="n">
        <v>0</v>
      </c>
      <c r="L599" t="n">
        <v>0</v>
      </c>
      <c r="M599" t="n">
        <v>0</v>
      </c>
      <c r="N599" t="n">
        <v>0</v>
      </c>
      <c r="O599" t="n">
        <v>0</v>
      </c>
      <c r="P599" t="n">
        <v>0</v>
      </c>
      <c r="Q599" t="n">
        <v>0</v>
      </c>
      <c r="R599" s="2" t="inlineStr"/>
    </row>
    <row r="600" ht="15" customHeight="1">
      <c r="A600" t="inlineStr">
        <is>
          <t>A 38286-2025</t>
        </is>
      </c>
      <c r="B600" s="1" t="n">
        <v>45882</v>
      </c>
      <c r="C600" s="1" t="n">
        <v>45905</v>
      </c>
      <c r="D600" t="inlineStr">
        <is>
          <t>NORRBOTTENS LÄN</t>
        </is>
      </c>
      <c r="E600" t="inlineStr">
        <is>
          <t>BODEN</t>
        </is>
      </c>
      <c r="G600" t="n">
        <v>1</v>
      </c>
      <c r="H600" t="n">
        <v>0</v>
      </c>
      <c r="I600" t="n">
        <v>0</v>
      </c>
      <c r="J600" t="n">
        <v>0</v>
      </c>
      <c r="K600" t="n">
        <v>0</v>
      </c>
      <c r="L600" t="n">
        <v>0</v>
      </c>
      <c r="M600" t="n">
        <v>0</v>
      </c>
      <c r="N600" t="n">
        <v>0</v>
      </c>
      <c r="O600" t="n">
        <v>0</v>
      </c>
      <c r="P600" t="n">
        <v>0</v>
      </c>
      <c r="Q600" t="n">
        <v>0</v>
      </c>
      <c r="R600" s="2" t="inlineStr"/>
    </row>
    <row r="601" ht="15" customHeight="1">
      <c r="A601" t="inlineStr">
        <is>
          <t>A 38288-2025</t>
        </is>
      </c>
      <c r="B601" s="1" t="n">
        <v>45882</v>
      </c>
      <c r="C601" s="1" t="n">
        <v>45905</v>
      </c>
      <c r="D601" t="inlineStr">
        <is>
          <t>NORRBOTTENS LÄN</t>
        </is>
      </c>
      <c r="E601" t="inlineStr">
        <is>
          <t>BODEN</t>
        </is>
      </c>
      <c r="G601" t="n">
        <v>0.5</v>
      </c>
      <c r="H601" t="n">
        <v>0</v>
      </c>
      <c r="I601" t="n">
        <v>0</v>
      </c>
      <c r="J601" t="n">
        <v>0</v>
      </c>
      <c r="K601" t="n">
        <v>0</v>
      </c>
      <c r="L601" t="n">
        <v>0</v>
      </c>
      <c r="M601" t="n">
        <v>0</v>
      </c>
      <c r="N601" t="n">
        <v>0</v>
      </c>
      <c r="O601" t="n">
        <v>0</v>
      </c>
      <c r="P601" t="n">
        <v>0</v>
      </c>
      <c r="Q601" t="n">
        <v>0</v>
      </c>
      <c r="R601" s="2" t="inlineStr"/>
    </row>
    <row r="602" ht="15" customHeight="1">
      <c r="A602" t="inlineStr">
        <is>
          <t>A 38511-2025</t>
        </is>
      </c>
      <c r="B602" s="1" t="n">
        <v>45884</v>
      </c>
      <c r="C602" s="1" t="n">
        <v>45905</v>
      </c>
      <c r="D602" t="inlineStr">
        <is>
          <t>NORRBOTTENS LÄN</t>
        </is>
      </c>
      <c r="E602" t="inlineStr">
        <is>
          <t>BODEN</t>
        </is>
      </c>
      <c r="F602" t="inlineStr">
        <is>
          <t>Sveaskog</t>
        </is>
      </c>
      <c r="G602" t="n">
        <v>5.3</v>
      </c>
      <c r="H602" t="n">
        <v>0</v>
      </c>
      <c r="I602" t="n">
        <v>0</v>
      </c>
      <c r="J602" t="n">
        <v>0</v>
      </c>
      <c r="K602" t="n">
        <v>0</v>
      </c>
      <c r="L602" t="n">
        <v>0</v>
      </c>
      <c r="M602" t="n">
        <v>0</v>
      </c>
      <c r="N602" t="n">
        <v>0</v>
      </c>
      <c r="O602" t="n">
        <v>0</v>
      </c>
      <c r="P602" t="n">
        <v>0</v>
      </c>
      <c r="Q602" t="n">
        <v>0</v>
      </c>
      <c r="R602" s="2" t="inlineStr"/>
    </row>
    <row r="603" ht="15" customHeight="1">
      <c r="A603" t="inlineStr">
        <is>
          <t>A 36310-2025</t>
        </is>
      </c>
      <c r="B603" s="1" t="n">
        <v>45868</v>
      </c>
      <c r="C603" s="1" t="n">
        <v>45905</v>
      </c>
      <c r="D603" t="inlineStr">
        <is>
          <t>NORRBOTTENS LÄN</t>
        </is>
      </c>
      <c r="E603" t="inlineStr">
        <is>
          <t>BODEN</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7159-2023</t>
        </is>
      </c>
      <c r="B604" s="1" t="n">
        <v>44970</v>
      </c>
      <c r="C604" s="1" t="n">
        <v>45905</v>
      </c>
      <c r="D604" t="inlineStr">
        <is>
          <t>NORRBOTTENS LÄN</t>
        </is>
      </c>
      <c r="E604" t="inlineStr">
        <is>
          <t>BODEN</t>
        </is>
      </c>
      <c r="G604" t="n">
        <v>2</v>
      </c>
      <c r="H604" t="n">
        <v>0</v>
      </c>
      <c r="I604" t="n">
        <v>0</v>
      </c>
      <c r="J604" t="n">
        <v>0</v>
      </c>
      <c r="K604" t="n">
        <v>0</v>
      </c>
      <c r="L604" t="n">
        <v>0</v>
      </c>
      <c r="M604" t="n">
        <v>0</v>
      </c>
      <c r="N604" t="n">
        <v>0</v>
      </c>
      <c r="O604" t="n">
        <v>0</v>
      </c>
      <c r="P604" t="n">
        <v>0</v>
      </c>
      <c r="Q604" t="n">
        <v>0</v>
      </c>
      <c r="R604" s="2" t="inlineStr"/>
    </row>
    <row r="605" ht="15" customHeight="1">
      <c r="A605" t="inlineStr">
        <is>
          <t>A 28745-2023</t>
        </is>
      </c>
      <c r="B605" s="1" t="n">
        <v>45103.92518518519</v>
      </c>
      <c r="C605" s="1" t="n">
        <v>45905</v>
      </c>
      <c r="D605" t="inlineStr">
        <is>
          <t>NORRBOTTENS LÄN</t>
        </is>
      </c>
      <c r="E605" t="inlineStr">
        <is>
          <t>BODEN</t>
        </is>
      </c>
      <c r="G605" t="n">
        <v>0.8</v>
      </c>
      <c r="H605" t="n">
        <v>0</v>
      </c>
      <c r="I605" t="n">
        <v>0</v>
      </c>
      <c r="J605" t="n">
        <v>0</v>
      </c>
      <c r="K605" t="n">
        <v>0</v>
      </c>
      <c r="L605" t="n">
        <v>0</v>
      </c>
      <c r="M605" t="n">
        <v>0</v>
      </c>
      <c r="N605" t="n">
        <v>0</v>
      </c>
      <c r="O605" t="n">
        <v>0</v>
      </c>
      <c r="P605" t="n">
        <v>0</v>
      </c>
      <c r="Q605" t="n">
        <v>0</v>
      </c>
      <c r="R605" s="2" t="inlineStr"/>
    </row>
    <row r="606" ht="15" customHeight="1">
      <c r="A606" t="inlineStr">
        <is>
          <t>A 24193-2024</t>
        </is>
      </c>
      <c r="B606" s="1" t="n">
        <v>45456</v>
      </c>
      <c r="C606" s="1" t="n">
        <v>45905</v>
      </c>
      <c r="D606" t="inlineStr">
        <is>
          <t>NORRBOTTENS LÄN</t>
        </is>
      </c>
      <c r="E606" t="inlineStr">
        <is>
          <t>BODEN</t>
        </is>
      </c>
      <c r="G606" t="n">
        <v>5.1</v>
      </c>
      <c r="H606" t="n">
        <v>0</v>
      </c>
      <c r="I606" t="n">
        <v>0</v>
      </c>
      <c r="J606" t="n">
        <v>0</v>
      </c>
      <c r="K606" t="n">
        <v>0</v>
      </c>
      <c r="L606" t="n">
        <v>0</v>
      </c>
      <c r="M606" t="n">
        <v>0</v>
      </c>
      <c r="N606" t="n">
        <v>0</v>
      </c>
      <c r="O606" t="n">
        <v>0</v>
      </c>
      <c r="P606" t="n">
        <v>0</v>
      </c>
      <c r="Q606" t="n">
        <v>0</v>
      </c>
      <c r="R606" s="2" t="inlineStr"/>
    </row>
    <row r="607" ht="15" customHeight="1">
      <c r="A607" t="inlineStr">
        <is>
          <t>A 39127-2025</t>
        </is>
      </c>
      <c r="B607" s="1" t="n">
        <v>45887</v>
      </c>
      <c r="C607" s="1" t="n">
        <v>45905</v>
      </c>
      <c r="D607" t="inlineStr">
        <is>
          <t>NORRBOTTENS LÄN</t>
        </is>
      </c>
      <c r="E607" t="inlineStr">
        <is>
          <t>BODEN</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49124-2023</t>
        </is>
      </c>
      <c r="B608" s="1" t="n">
        <v>45210.46891203704</v>
      </c>
      <c r="C608" s="1" t="n">
        <v>45905</v>
      </c>
      <c r="D608" t="inlineStr">
        <is>
          <t>NORRBOTTENS LÄN</t>
        </is>
      </c>
      <c r="E608" t="inlineStr">
        <is>
          <t>BODEN</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18900-2025</t>
        </is>
      </c>
      <c r="B609" s="1" t="n">
        <v>45764.45171296296</v>
      </c>
      <c r="C609" s="1" t="n">
        <v>45905</v>
      </c>
      <c r="D609" t="inlineStr">
        <is>
          <t>NORRBOTTENS LÄN</t>
        </is>
      </c>
      <c r="E609" t="inlineStr">
        <is>
          <t>BODEN</t>
        </is>
      </c>
      <c r="G609" t="n">
        <v>2.8</v>
      </c>
      <c r="H609" t="n">
        <v>0</v>
      </c>
      <c r="I609" t="n">
        <v>0</v>
      </c>
      <c r="J609" t="n">
        <v>0</v>
      </c>
      <c r="K609" t="n">
        <v>0</v>
      </c>
      <c r="L609" t="n">
        <v>0</v>
      </c>
      <c r="M609" t="n">
        <v>0</v>
      </c>
      <c r="N609" t="n">
        <v>0</v>
      </c>
      <c r="O609" t="n">
        <v>0</v>
      </c>
      <c r="P609" t="n">
        <v>0</v>
      </c>
      <c r="Q609" t="n">
        <v>0</v>
      </c>
      <c r="R609" s="2" t="inlineStr"/>
    </row>
    <row r="610" ht="15" customHeight="1">
      <c r="A610" t="inlineStr">
        <is>
          <t>A 40624-2022</t>
        </is>
      </c>
      <c r="B610" s="1" t="n">
        <v>44823</v>
      </c>
      <c r="C610" s="1" t="n">
        <v>45905</v>
      </c>
      <c r="D610" t="inlineStr">
        <is>
          <t>NORRBOTTENS LÄN</t>
        </is>
      </c>
      <c r="E610" t="inlineStr">
        <is>
          <t>BODEN</t>
        </is>
      </c>
      <c r="F610" t="inlineStr">
        <is>
          <t>SCA</t>
        </is>
      </c>
      <c r="G610" t="n">
        <v>6.4</v>
      </c>
      <c r="H610" t="n">
        <v>0</v>
      </c>
      <c r="I610" t="n">
        <v>0</v>
      </c>
      <c r="J610" t="n">
        <v>0</v>
      </c>
      <c r="K610" t="n">
        <v>0</v>
      </c>
      <c r="L610" t="n">
        <v>0</v>
      </c>
      <c r="M610" t="n">
        <v>0</v>
      </c>
      <c r="N610" t="n">
        <v>0</v>
      </c>
      <c r="O610" t="n">
        <v>0</v>
      </c>
      <c r="P610" t="n">
        <v>0</v>
      </c>
      <c r="Q610" t="n">
        <v>0</v>
      </c>
      <c r="R610" s="2" t="inlineStr"/>
    </row>
    <row r="611" ht="15" customHeight="1">
      <c r="A611" t="inlineStr">
        <is>
          <t>A 44708-2024</t>
        </is>
      </c>
      <c r="B611" s="1" t="n">
        <v>45574.5735300926</v>
      </c>
      <c r="C611" s="1" t="n">
        <v>45905</v>
      </c>
      <c r="D611" t="inlineStr">
        <is>
          <t>NORRBOTTENS LÄN</t>
        </is>
      </c>
      <c r="E611" t="inlineStr">
        <is>
          <t>BODEN</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5452-2025</t>
        </is>
      </c>
      <c r="B612" s="1" t="n">
        <v>45692.92622685185</v>
      </c>
      <c r="C612" s="1" t="n">
        <v>45905</v>
      </c>
      <c r="D612" t="inlineStr">
        <is>
          <t>NORRBOTTENS LÄN</t>
        </is>
      </c>
      <c r="E612" t="inlineStr">
        <is>
          <t>BODEN</t>
        </is>
      </c>
      <c r="G612" t="n">
        <v>0.7</v>
      </c>
      <c r="H612" t="n">
        <v>0</v>
      </c>
      <c r="I612" t="n">
        <v>0</v>
      </c>
      <c r="J612" t="n">
        <v>0</v>
      </c>
      <c r="K612" t="n">
        <v>0</v>
      </c>
      <c r="L612" t="n">
        <v>0</v>
      </c>
      <c r="M612" t="n">
        <v>0</v>
      </c>
      <c r="N612" t="n">
        <v>0</v>
      </c>
      <c r="O612" t="n">
        <v>0</v>
      </c>
      <c r="P612" t="n">
        <v>0</v>
      </c>
      <c r="Q612" t="n">
        <v>0</v>
      </c>
      <c r="R612" s="2" t="inlineStr"/>
    </row>
    <row r="613" ht="15" customHeight="1">
      <c r="A613" t="inlineStr">
        <is>
          <t>A 39129-2025</t>
        </is>
      </c>
      <c r="B613" s="1" t="n">
        <v>45887</v>
      </c>
      <c r="C613" s="1" t="n">
        <v>45905</v>
      </c>
      <c r="D613" t="inlineStr">
        <is>
          <t>NORRBOTTENS LÄN</t>
        </is>
      </c>
      <c r="E613" t="inlineStr">
        <is>
          <t>BODEN</t>
        </is>
      </c>
      <c r="F613" t="inlineStr">
        <is>
          <t>Sveaskog</t>
        </is>
      </c>
      <c r="G613" t="n">
        <v>10.3</v>
      </c>
      <c r="H613" t="n">
        <v>0</v>
      </c>
      <c r="I613" t="n">
        <v>0</v>
      </c>
      <c r="J613" t="n">
        <v>0</v>
      </c>
      <c r="K613" t="n">
        <v>0</v>
      </c>
      <c r="L613" t="n">
        <v>0</v>
      </c>
      <c r="M613" t="n">
        <v>0</v>
      </c>
      <c r="N613" t="n">
        <v>0</v>
      </c>
      <c r="O613" t="n">
        <v>0</v>
      </c>
      <c r="P613" t="n">
        <v>0</v>
      </c>
      <c r="Q613" t="n">
        <v>0</v>
      </c>
      <c r="R613" s="2" t="inlineStr"/>
    </row>
    <row r="614" ht="15" customHeight="1">
      <c r="A614" t="inlineStr">
        <is>
          <t>A 31754-2024</t>
        </is>
      </c>
      <c r="B614" s="1" t="n">
        <v>45509.43402777778</v>
      </c>
      <c r="C614" s="1" t="n">
        <v>45905</v>
      </c>
      <c r="D614" t="inlineStr">
        <is>
          <t>NORRBOTTENS LÄN</t>
        </is>
      </c>
      <c r="E614" t="inlineStr">
        <is>
          <t>BODEN</t>
        </is>
      </c>
      <c r="G614" t="n">
        <v>11.1</v>
      </c>
      <c r="H614" t="n">
        <v>0</v>
      </c>
      <c r="I614" t="n">
        <v>0</v>
      </c>
      <c r="J614" t="n">
        <v>0</v>
      </c>
      <c r="K614" t="n">
        <v>0</v>
      </c>
      <c r="L614" t="n">
        <v>0</v>
      </c>
      <c r="M614" t="n">
        <v>0</v>
      </c>
      <c r="N614" t="n">
        <v>0</v>
      </c>
      <c r="O614" t="n">
        <v>0</v>
      </c>
      <c r="P614" t="n">
        <v>0</v>
      </c>
      <c r="Q614" t="n">
        <v>0</v>
      </c>
      <c r="R614" s="2" t="inlineStr"/>
    </row>
    <row r="615" ht="15" customHeight="1">
      <c r="A615" t="inlineStr">
        <is>
          <t>A 46367-2024</t>
        </is>
      </c>
      <c r="B615" s="1" t="n">
        <v>45582</v>
      </c>
      <c r="C615" s="1" t="n">
        <v>45905</v>
      </c>
      <c r="D615" t="inlineStr">
        <is>
          <t>NORRBOTTENS LÄN</t>
        </is>
      </c>
      <c r="E615" t="inlineStr">
        <is>
          <t>BODEN</t>
        </is>
      </c>
      <c r="G615" t="n">
        <v>1.8</v>
      </c>
      <c r="H615" t="n">
        <v>0</v>
      </c>
      <c r="I615" t="n">
        <v>0</v>
      </c>
      <c r="J615" t="n">
        <v>0</v>
      </c>
      <c r="K615" t="n">
        <v>0</v>
      </c>
      <c r="L615" t="n">
        <v>0</v>
      </c>
      <c r="M615" t="n">
        <v>0</v>
      </c>
      <c r="N615" t="n">
        <v>0</v>
      </c>
      <c r="O615" t="n">
        <v>0</v>
      </c>
      <c r="P615" t="n">
        <v>0</v>
      </c>
      <c r="Q615" t="n">
        <v>0</v>
      </c>
      <c r="R615" s="2" t="inlineStr"/>
    </row>
    <row r="616" ht="15" customHeight="1">
      <c r="A616" t="inlineStr">
        <is>
          <t>A 33981-2025</t>
        </is>
      </c>
      <c r="B616" s="1" t="n">
        <v>45843.34435185185</v>
      </c>
      <c r="C616" s="1" t="n">
        <v>45905</v>
      </c>
      <c r="D616" t="inlineStr">
        <is>
          <t>NORRBOTTENS LÄN</t>
        </is>
      </c>
      <c r="E616" t="inlineStr">
        <is>
          <t>BODEN</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57713-2024</t>
        </is>
      </c>
      <c r="B617" s="1" t="n">
        <v>45630.69038194444</v>
      </c>
      <c r="C617" s="1" t="n">
        <v>45905</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718-2022</t>
        </is>
      </c>
      <c r="B618" s="1" t="n">
        <v>44568</v>
      </c>
      <c r="C618" s="1" t="n">
        <v>45905</v>
      </c>
      <c r="D618" t="inlineStr">
        <is>
          <t>NORRBOTTENS LÄN</t>
        </is>
      </c>
      <c r="E618" t="inlineStr">
        <is>
          <t>BODEN</t>
        </is>
      </c>
      <c r="G618" t="n">
        <v>5.5</v>
      </c>
      <c r="H618" t="n">
        <v>0</v>
      </c>
      <c r="I618" t="n">
        <v>0</v>
      </c>
      <c r="J618" t="n">
        <v>0</v>
      </c>
      <c r="K618" t="n">
        <v>0</v>
      </c>
      <c r="L618" t="n">
        <v>0</v>
      </c>
      <c r="M618" t="n">
        <v>0</v>
      </c>
      <c r="N618" t="n">
        <v>0</v>
      </c>
      <c r="O618" t="n">
        <v>0</v>
      </c>
      <c r="P618" t="n">
        <v>0</v>
      </c>
      <c r="Q618" t="n">
        <v>0</v>
      </c>
      <c r="R618" s="2" t="inlineStr"/>
    </row>
    <row r="619" ht="15" customHeight="1">
      <c r="A619" t="inlineStr">
        <is>
          <t>A 19068-2024</t>
        </is>
      </c>
      <c r="B619" s="1" t="n">
        <v>45427.93548611111</v>
      </c>
      <c r="C619" s="1" t="n">
        <v>45905</v>
      </c>
      <c r="D619" t="inlineStr">
        <is>
          <t>NORRBOTTENS LÄN</t>
        </is>
      </c>
      <c r="E619" t="inlineStr">
        <is>
          <t>BODEN</t>
        </is>
      </c>
      <c r="G619" t="n">
        <v>22.1</v>
      </c>
      <c r="H619" t="n">
        <v>0</v>
      </c>
      <c r="I619" t="n">
        <v>0</v>
      </c>
      <c r="J619" t="n">
        <v>0</v>
      </c>
      <c r="K619" t="n">
        <v>0</v>
      </c>
      <c r="L619" t="n">
        <v>0</v>
      </c>
      <c r="M619" t="n">
        <v>0</v>
      </c>
      <c r="N619" t="n">
        <v>0</v>
      </c>
      <c r="O619" t="n">
        <v>0</v>
      </c>
      <c r="P619" t="n">
        <v>0</v>
      </c>
      <c r="Q619" t="n">
        <v>0</v>
      </c>
      <c r="R619" s="2" t="inlineStr"/>
    </row>
    <row r="620" ht="15" customHeight="1">
      <c r="A620" t="inlineStr">
        <is>
          <t>A 1192-2025</t>
        </is>
      </c>
      <c r="B620" s="1" t="n">
        <v>45667.37363425926</v>
      </c>
      <c r="C620" s="1" t="n">
        <v>45905</v>
      </c>
      <c r="D620" t="inlineStr">
        <is>
          <t>NORRBOTTENS LÄN</t>
        </is>
      </c>
      <c r="E620" t="inlineStr">
        <is>
          <t>BODEN</t>
        </is>
      </c>
      <c r="G620" t="n">
        <v>2.7</v>
      </c>
      <c r="H620" t="n">
        <v>0</v>
      </c>
      <c r="I620" t="n">
        <v>0</v>
      </c>
      <c r="J620" t="n">
        <v>0</v>
      </c>
      <c r="K620" t="n">
        <v>0</v>
      </c>
      <c r="L620" t="n">
        <v>0</v>
      </c>
      <c r="M620" t="n">
        <v>0</v>
      </c>
      <c r="N620" t="n">
        <v>0</v>
      </c>
      <c r="O620" t="n">
        <v>0</v>
      </c>
      <c r="P620" t="n">
        <v>0</v>
      </c>
      <c r="Q620" t="n">
        <v>0</v>
      </c>
      <c r="R620" s="2" t="inlineStr"/>
    </row>
    <row r="621" ht="15" customHeight="1">
      <c r="A621" t="inlineStr">
        <is>
          <t>A 1205-2025</t>
        </is>
      </c>
      <c r="B621" s="1" t="n">
        <v>45667.39547453704</v>
      </c>
      <c r="C621" s="1" t="n">
        <v>45905</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13714-2022</t>
        </is>
      </c>
      <c r="B622" s="1" t="n">
        <v>44648</v>
      </c>
      <c r="C622" s="1" t="n">
        <v>45905</v>
      </c>
      <c r="D622" t="inlineStr">
        <is>
          <t>NORRBOTTENS LÄN</t>
        </is>
      </c>
      <c r="E622" t="inlineStr">
        <is>
          <t>BODEN</t>
        </is>
      </c>
      <c r="F622" t="inlineStr">
        <is>
          <t>Sveaskog</t>
        </is>
      </c>
      <c r="G622" t="n">
        <v>4.5</v>
      </c>
      <c r="H622" t="n">
        <v>0</v>
      </c>
      <c r="I622" t="n">
        <v>0</v>
      </c>
      <c r="J622" t="n">
        <v>0</v>
      </c>
      <c r="K622" t="n">
        <v>0</v>
      </c>
      <c r="L622" t="n">
        <v>0</v>
      </c>
      <c r="M622" t="n">
        <v>0</v>
      </c>
      <c r="N622" t="n">
        <v>0</v>
      </c>
      <c r="O622" t="n">
        <v>0</v>
      </c>
      <c r="P622" t="n">
        <v>0</v>
      </c>
      <c r="Q622" t="n">
        <v>0</v>
      </c>
      <c r="R622" s="2" t="inlineStr"/>
    </row>
    <row r="623" ht="15" customHeight="1">
      <c r="A623" t="inlineStr">
        <is>
          <t>A 47929-2024</t>
        </is>
      </c>
      <c r="B623" s="1" t="n">
        <v>45589</v>
      </c>
      <c r="C623" s="1" t="n">
        <v>45905</v>
      </c>
      <c r="D623" t="inlineStr">
        <is>
          <t>NORRBOTTENS LÄN</t>
        </is>
      </c>
      <c r="E623" t="inlineStr">
        <is>
          <t>BODEN</t>
        </is>
      </c>
      <c r="F623" t="inlineStr">
        <is>
          <t>Naturvårdsverket</t>
        </is>
      </c>
      <c r="G623" t="n">
        <v>4.2</v>
      </c>
      <c r="H623" t="n">
        <v>0</v>
      </c>
      <c r="I623" t="n">
        <v>0</v>
      </c>
      <c r="J623" t="n">
        <v>0</v>
      </c>
      <c r="K623" t="n">
        <v>0</v>
      </c>
      <c r="L623" t="n">
        <v>0</v>
      </c>
      <c r="M623" t="n">
        <v>0</v>
      </c>
      <c r="N623" t="n">
        <v>0</v>
      </c>
      <c r="O623" t="n">
        <v>0</v>
      </c>
      <c r="P623" t="n">
        <v>0</v>
      </c>
      <c r="Q623" t="n">
        <v>0</v>
      </c>
      <c r="R623" s="2" t="inlineStr"/>
    </row>
    <row r="624" ht="15" customHeight="1">
      <c r="A624" t="inlineStr">
        <is>
          <t>A 61568-2024</t>
        </is>
      </c>
      <c r="B624" s="1" t="n">
        <v>45646.61572916667</v>
      </c>
      <c r="C624" s="1" t="n">
        <v>45905</v>
      </c>
      <c r="D624" t="inlineStr">
        <is>
          <t>NORRBOTTENS LÄN</t>
        </is>
      </c>
      <c r="E624" t="inlineStr">
        <is>
          <t>BODEN</t>
        </is>
      </c>
      <c r="G624" t="n">
        <v>1.1</v>
      </c>
      <c r="H624" t="n">
        <v>0</v>
      </c>
      <c r="I624" t="n">
        <v>0</v>
      </c>
      <c r="J624" t="n">
        <v>0</v>
      </c>
      <c r="K624" t="n">
        <v>0</v>
      </c>
      <c r="L624" t="n">
        <v>0</v>
      </c>
      <c r="M624" t="n">
        <v>0</v>
      </c>
      <c r="N624" t="n">
        <v>0</v>
      </c>
      <c r="O624" t="n">
        <v>0</v>
      </c>
      <c r="P624" t="n">
        <v>0</v>
      </c>
      <c r="Q624" t="n">
        <v>0</v>
      </c>
      <c r="R624" s="2" t="inlineStr"/>
    </row>
    <row r="625" ht="15" customHeight="1">
      <c r="A625" t="inlineStr">
        <is>
          <t>A 35843-2021</t>
        </is>
      </c>
      <c r="B625" s="1" t="n">
        <v>44386</v>
      </c>
      <c r="C625" s="1" t="n">
        <v>45905</v>
      </c>
      <c r="D625" t="inlineStr">
        <is>
          <t>NORRBOTTENS LÄN</t>
        </is>
      </c>
      <c r="E625" t="inlineStr">
        <is>
          <t>BODEN</t>
        </is>
      </c>
      <c r="G625" t="n">
        <v>1.5</v>
      </c>
      <c r="H625" t="n">
        <v>0</v>
      </c>
      <c r="I625" t="n">
        <v>0</v>
      </c>
      <c r="J625" t="n">
        <v>0</v>
      </c>
      <c r="K625" t="n">
        <v>0</v>
      </c>
      <c r="L625" t="n">
        <v>0</v>
      </c>
      <c r="M625" t="n">
        <v>0</v>
      </c>
      <c r="N625" t="n">
        <v>0</v>
      </c>
      <c r="O625" t="n">
        <v>0</v>
      </c>
      <c r="P625" t="n">
        <v>0</v>
      </c>
      <c r="Q625" t="n">
        <v>0</v>
      </c>
      <c r="R625" s="2" t="inlineStr"/>
    </row>
    <row r="626" ht="15" customHeight="1">
      <c r="A626" t="inlineStr">
        <is>
          <t>A 36438-2024</t>
        </is>
      </c>
      <c r="B626" s="1" t="n">
        <v>45537.27357638889</v>
      </c>
      <c r="C626" s="1" t="n">
        <v>45905</v>
      </c>
      <c r="D626" t="inlineStr">
        <is>
          <t>NORRBOTTENS LÄN</t>
        </is>
      </c>
      <c r="E626" t="inlineStr">
        <is>
          <t>BODEN</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28378-2021</t>
        </is>
      </c>
      <c r="B627" s="1" t="n">
        <v>44356</v>
      </c>
      <c r="C627" s="1" t="n">
        <v>45905</v>
      </c>
      <c r="D627" t="inlineStr">
        <is>
          <t>NORRBOTTENS LÄN</t>
        </is>
      </c>
      <c r="E627" t="inlineStr">
        <is>
          <t>BODEN</t>
        </is>
      </c>
      <c r="G627" t="n">
        <v>0.2</v>
      </c>
      <c r="H627" t="n">
        <v>0</v>
      </c>
      <c r="I627" t="n">
        <v>0</v>
      </c>
      <c r="J627" t="n">
        <v>0</v>
      </c>
      <c r="K627" t="n">
        <v>0</v>
      </c>
      <c r="L627" t="n">
        <v>0</v>
      </c>
      <c r="M627" t="n">
        <v>0</v>
      </c>
      <c r="N627" t="n">
        <v>0</v>
      </c>
      <c r="O627" t="n">
        <v>0</v>
      </c>
      <c r="P627" t="n">
        <v>0</v>
      </c>
      <c r="Q627" t="n">
        <v>0</v>
      </c>
      <c r="R627" s="2" t="inlineStr"/>
    </row>
    <row r="628" ht="15" customHeight="1">
      <c r="A628" t="inlineStr">
        <is>
          <t>A 6242-2023</t>
        </is>
      </c>
      <c r="B628" s="1" t="n">
        <v>44964.94416666667</v>
      </c>
      <c r="C628" s="1" t="n">
        <v>45905</v>
      </c>
      <c r="D628" t="inlineStr">
        <is>
          <t>NORRBOTTENS LÄN</t>
        </is>
      </c>
      <c r="E628" t="inlineStr">
        <is>
          <t>BODEN</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31007-2024</t>
        </is>
      </c>
      <c r="B629" s="1" t="n">
        <v>45499.63932870371</v>
      </c>
      <c r="C629" s="1" t="n">
        <v>45905</v>
      </c>
      <c r="D629" t="inlineStr">
        <is>
          <t>NORRBOTTENS LÄN</t>
        </is>
      </c>
      <c r="E629" t="inlineStr">
        <is>
          <t>BODEN</t>
        </is>
      </c>
      <c r="G629" t="n">
        <v>8</v>
      </c>
      <c r="H629" t="n">
        <v>0</v>
      </c>
      <c r="I629" t="n">
        <v>0</v>
      </c>
      <c r="J629" t="n">
        <v>0</v>
      </c>
      <c r="K629" t="n">
        <v>0</v>
      </c>
      <c r="L629" t="n">
        <v>0</v>
      </c>
      <c r="M629" t="n">
        <v>0</v>
      </c>
      <c r="N629" t="n">
        <v>0</v>
      </c>
      <c r="O629" t="n">
        <v>0</v>
      </c>
      <c r="P629" t="n">
        <v>0</v>
      </c>
      <c r="Q629" t="n">
        <v>0</v>
      </c>
      <c r="R629" s="2" t="inlineStr"/>
    </row>
    <row r="630" ht="15" customHeight="1">
      <c r="A630" t="inlineStr">
        <is>
          <t>A 4396-2025</t>
        </is>
      </c>
      <c r="B630" s="1" t="n">
        <v>45686.42653935185</v>
      </c>
      <c r="C630" s="1" t="n">
        <v>45905</v>
      </c>
      <c r="D630" t="inlineStr">
        <is>
          <t>NORRBOTTENS LÄN</t>
        </is>
      </c>
      <c r="E630" t="inlineStr">
        <is>
          <t>BODEN</t>
        </is>
      </c>
      <c r="G630" t="n">
        <v>3.6</v>
      </c>
      <c r="H630" t="n">
        <v>0</v>
      </c>
      <c r="I630" t="n">
        <v>0</v>
      </c>
      <c r="J630" t="n">
        <v>0</v>
      </c>
      <c r="K630" t="n">
        <v>0</v>
      </c>
      <c r="L630" t="n">
        <v>0</v>
      </c>
      <c r="M630" t="n">
        <v>0</v>
      </c>
      <c r="N630" t="n">
        <v>0</v>
      </c>
      <c r="O630" t="n">
        <v>0</v>
      </c>
      <c r="P630" t="n">
        <v>0</v>
      </c>
      <c r="Q630" t="n">
        <v>0</v>
      </c>
      <c r="R630" s="2" t="inlineStr"/>
    </row>
    <row r="631" ht="15" customHeight="1">
      <c r="A631" t="inlineStr">
        <is>
          <t>A 15483-2025</t>
        </is>
      </c>
      <c r="B631" s="1" t="n">
        <v>45747.56618055556</v>
      </c>
      <c r="C631" s="1" t="n">
        <v>45905</v>
      </c>
      <c r="D631" t="inlineStr">
        <is>
          <t>NORRBOTTENS LÄN</t>
        </is>
      </c>
      <c r="E631" t="inlineStr">
        <is>
          <t>BODEN</t>
        </is>
      </c>
      <c r="G631" t="n">
        <v>3.6</v>
      </c>
      <c r="H631" t="n">
        <v>0</v>
      </c>
      <c r="I631" t="n">
        <v>0</v>
      </c>
      <c r="J631" t="n">
        <v>0</v>
      </c>
      <c r="K631" t="n">
        <v>0</v>
      </c>
      <c r="L631" t="n">
        <v>0</v>
      </c>
      <c r="M631" t="n">
        <v>0</v>
      </c>
      <c r="N631" t="n">
        <v>0</v>
      </c>
      <c r="O631" t="n">
        <v>0</v>
      </c>
      <c r="P631" t="n">
        <v>0</v>
      </c>
      <c r="Q631" t="n">
        <v>0</v>
      </c>
      <c r="R631" s="2" t="inlineStr"/>
    </row>
    <row r="632" ht="15" customHeight="1">
      <c r="A632" t="inlineStr">
        <is>
          <t>A 40157-2025</t>
        </is>
      </c>
      <c r="B632" s="1" t="n">
        <v>45894</v>
      </c>
      <c r="C632" s="1" t="n">
        <v>45905</v>
      </c>
      <c r="D632" t="inlineStr">
        <is>
          <t>NORRBOTTENS LÄN</t>
        </is>
      </c>
      <c r="E632" t="inlineStr">
        <is>
          <t>BODEN</t>
        </is>
      </c>
      <c r="F632" t="inlineStr">
        <is>
          <t>Övriga statliga verk och myndigheter</t>
        </is>
      </c>
      <c r="G632" t="n">
        <v>17.6</v>
      </c>
      <c r="H632" t="n">
        <v>0</v>
      </c>
      <c r="I632" t="n">
        <v>0</v>
      </c>
      <c r="J632" t="n">
        <v>0</v>
      </c>
      <c r="K632" t="n">
        <v>0</v>
      </c>
      <c r="L632" t="n">
        <v>0</v>
      </c>
      <c r="M632" t="n">
        <v>0</v>
      </c>
      <c r="N632" t="n">
        <v>0</v>
      </c>
      <c r="O632" t="n">
        <v>0</v>
      </c>
      <c r="P632" t="n">
        <v>0</v>
      </c>
      <c r="Q632" t="n">
        <v>0</v>
      </c>
      <c r="R632" s="2" t="inlineStr"/>
    </row>
    <row r="633" ht="15" customHeight="1">
      <c r="A633" t="inlineStr">
        <is>
          <t>A 51280-2024</t>
        </is>
      </c>
      <c r="B633" s="1" t="n">
        <v>45603.75905092592</v>
      </c>
      <c r="C633" s="1" t="n">
        <v>45905</v>
      </c>
      <c r="D633" t="inlineStr">
        <is>
          <t>NORRBOTTENS LÄN</t>
        </is>
      </c>
      <c r="E633" t="inlineStr">
        <is>
          <t>BODEN</t>
        </is>
      </c>
      <c r="G633" t="n">
        <v>2</v>
      </c>
      <c r="H633" t="n">
        <v>0</v>
      </c>
      <c r="I633" t="n">
        <v>0</v>
      </c>
      <c r="J633" t="n">
        <v>0</v>
      </c>
      <c r="K633" t="n">
        <v>0</v>
      </c>
      <c r="L633" t="n">
        <v>0</v>
      </c>
      <c r="M633" t="n">
        <v>0</v>
      </c>
      <c r="N633" t="n">
        <v>0</v>
      </c>
      <c r="O633" t="n">
        <v>0</v>
      </c>
      <c r="P633" t="n">
        <v>0</v>
      </c>
      <c r="Q633" t="n">
        <v>0</v>
      </c>
      <c r="R633" s="2" t="inlineStr"/>
    </row>
    <row r="634" ht="15" customHeight="1">
      <c r="A634" t="inlineStr">
        <is>
          <t>A 39975-2025</t>
        </is>
      </c>
      <c r="B634" s="1" t="n">
        <v>45893.46916666667</v>
      </c>
      <c r="C634" s="1" t="n">
        <v>45905</v>
      </c>
      <c r="D634" t="inlineStr">
        <is>
          <t>NORRBOTTENS LÄN</t>
        </is>
      </c>
      <c r="E634" t="inlineStr">
        <is>
          <t>BODEN</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45446-2023</t>
        </is>
      </c>
      <c r="B635" s="1" t="n">
        <v>45194.40387731481</v>
      </c>
      <c r="C635" s="1" t="n">
        <v>45905</v>
      </c>
      <c r="D635" t="inlineStr">
        <is>
          <t>NORRBOTTENS LÄN</t>
        </is>
      </c>
      <c r="E635" t="inlineStr">
        <is>
          <t>BODEN</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61743-2024</t>
        </is>
      </c>
      <c r="B636" s="1" t="n">
        <v>45649.38344907408</v>
      </c>
      <c r="C636" s="1" t="n">
        <v>45905</v>
      </c>
      <c r="D636" t="inlineStr">
        <is>
          <t>NORRBOTTENS LÄN</t>
        </is>
      </c>
      <c r="E636" t="inlineStr">
        <is>
          <t>BODEN</t>
        </is>
      </c>
      <c r="G636" t="n">
        <v>1.9</v>
      </c>
      <c r="H636" t="n">
        <v>0</v>
      </c>
      <c r="I636" t="n">
        <v>0</v>
      </c>
      <c r="J636" t="n">
        <v>0</v>
      </c>
      <c r="K636" t="n">
        <v>0</v>
      </c>
      <c r="L636" t="n">
        <v>0</v>
      </c>
      <c r="M636" t="n">
        <v>0</v>
      </c>
      <c r="N636" t="n">
        <v>0</v>
      </c>
      <c r="O636" t="n">
        <v>0</v>
      </c>
      <c r="P636" t="n">
        <v>0</v>
      </c>
      <c r="Q636" t="n">
        <v>0</v>
      </c>
      <c r="R636" s="2" t="inlineStr"/>
    </row>
    <row r="637" ht="15" customHeight="1">
      <c r="A637" t="inlineStr">
        <is>
          <t>A 40117-2025</t>
        </is>
      </c>
      <c r="B637" s="1" t="n">
        <v>45894.51857638889</v>
      </c>
      <c r="C637" s="1" t="n">
        <v>45905</v>
      </c>
      <c r="D637" t="inlineStr">
        <is>
          <t>NORRBOTTENS LÄN</t>
        </is>
      </c>
      <c r="E637" t="inlineStr">
        <is>
          <t>BODEN</t>
        </is>
      </c>
      <c r="G637" t="n">
        <v>3.6</v>
      </c>
      <c r="H637" t="n">
        <v>0</v>
      </c>
      <c r="I637" t="n">
        <v>0</v>
      </c>
      <c r="J637" t="n">
        <v>0</v>
      </c>
      <c r="K637" t="n">
        <v>0</v>
      </c>
      <c r="L637" t="n">
        <v>0</v>
      </c>
      <c r="M637" t="n">
        <v>0</v>
      </c>
      <c r="N637" t="n">
        <v>0</v>
      </c>
      <c r="O637" t="n">
        <v>0</v>
      </c>
      <c r="P637" t="n">
        <v>0</v>
      </c>
      <c r="Q637" t="n">
        <v>0</v>
      </c>
      <c r="R637" s="2" t="inlineStr"/>
    </row>
    <row r="638" ht="15" customHeight="1">
      <c r="A638" t="inlineStr">
        <is>
          <t>A 39808-2025</t>
        </is>
      </c>
      <c r="B638" s="1" t="n">
        <v>45891.51008101852</v>
      </c>
      <c r="C638" s="1" t="n">
        <v>45905</v>
      </c>
      <c r="D638" t="inlineStr">
        <is>
          <t>NORRBOTTENS LÄN</t>
        </is>
      </c>
      <c r="E638" t="inlineStr">
        <is>
          <t>BODEN</t>
        </is>
      </c>
      <c r="F638" t="inlineStr">
        <is>
          <t>Sveaskog</t>
        </is>
      </c>
      <c r="G638" t="n">
        <v>29.2</v>
      </c>
      <c r="H638" t="n">
        <v>0</v>
      </c>
      <c r="I638" t="n">
        <v>0</v>
      </c>
      <c r="J638" t="n">
        <v>0</v>
      </c>
      <c r="K638" t="n">
        <v>0</v>
      </c>
      <c r="L638" t="n">
        <v>0</v>
      </c>
      <c r="M638" t="n">
        <v>0</v>
      </c>
      <c r="N638" t="n">
        <v>0</v>
      </c>
      <c r="O638" t="n">
        <v>0</v>
      </c>
      <c r="P638" t="n">
        <v>0</v>
      </c>
      <c r="Q638" t="n">
        <v>0</v>
      </c>
      <c r="R638" s="2" t="inlineStr"/>
    </row>
    <row r="639" ht="15" customHeight="1">
      <c r="A639" t="inlineStr">
        <is>
          <t>A 8571-2025</t>
        </is>
      </c>
      <c r="B639" s="1" t="n">
        <v>45709.64082175926</v>
      </c>
      <c r="C639" s="1" t="n">
        <v>45905</v>
      </c>
      <c r="D639" t="inlineStr">
        <is>
          <t>NORRBOTTENS LÄN</t>
        </is>
      </c>
      <c r="E639" t="inlineStr">
        <is>
          <t>BODEN</t>
        </is>
      </c>
      <c r="F639" t="inlineStr">
        <is>
          <t>Övriga Aktiebolag</t>
        </is>
      </c>
      <c r="G639" t="n">
        <v>14.3</v>
      </c>
      <c r="H639" t="n">
        <v>0</v>
      </c>
      <c r="I639" t="n">
        <v>0</v>
      </c>
      <c r="J639" t="n">
        <v>0</v>
      </c>
      <c r="K639" t="n">
        <v>0</v>
      </c>
      <c r="L639" t="n">
        <v>0</v>
      </c>
      <c r="M639" t="n">
        <v>0</v>
      </c>
      <c r="N639" t="n">
        <v>0</v>
      </c>
      <c r="O639" t="n">
        <v>0</v>
      </c>
      <c r="P639" t="n">
        <v>0</v>
      </c>
      <c r="Q639" t="n">
        <v>0</v>
      </c>
      <c r="R639" s="2" t="inlineStr"/>
    </row>
    <row r="640" ht="15" customHeight="1">
      <c r="A640" t="inlineStr">
        <is>
          <t>A 25901-2025</t>
        </is>
      </c>
      <c r="B640" s="1" t="n">
        <v>45803</v>
      </c>
      <c r="C640" s="1" t="n">
        <v>45905</v>
      </c>
      <c r="D640" t="inlineStr">
        <is>
          <t>NORRBOTTENS LÄN</t>
        </is>
      </c>
      <c r="E640" t="inlineStr">
        <is>
          <t>BODEN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18871-2025</t>
        </is>
      </c>
      <c r="B641" s="1" t="n">
        <v>45764</v>
      </c>
      <c r="C641" s="1" t="n">
        <v>45905</v>
      </c>
      <c r="D641" t="inlineStr">
        <is>
          <t>NORRBOTTENS LÄN</t>
        </is>
      </c>
      <c r="E641" t="inlineStr">
        <is>
          <t>BODEN</t>
        </is>
      </c>
      <c r="G641" t="n">
        <v>2.5</v>
      </c>
      <c r="H641" t="n">
        <v>0</v>
      </c>
      <c r="I641" t="n">
        <v>0</v>
      </c>
      <c r="J641" t="n">
        <v>0</v>
      </c>
      <c r="K641" t="n">
        <v>0</v>
      </c>
      <c r="L641" t="n">
        <v>0</v>
      </c>
      <c r="M641" t="n">
        <v>0</v>
      </c>
      <c r="N641" t="n">
        <v>0</v>
      </c>
      <c r="O641" t="n">
        <v>0</v>
      </c>
      <c r="P641" t="n">
        <v>0</v>
      </c>
      <c r="Q641" t="n">
        <v>0</v>
      </c>
      <c r="R641" s="2" t="inlineStr"/>
    </row>
    <row r="642" ht="15" customHeight="1">
      <c r="A642" t="inlineStr">
        <is>
          <t>A 40023-2025</t>
        </is>
      </c>
      <c r="B642" s="1" t="n">
        <v>45894.36493055556</v>
      </c>
      <c r="C642" s="1" t="n">
        <v>45905</v>
      </c>
      <c r="D642" t="inlineStr">
        <is>
          <t>NORRBOTTENS LÄN</t>
        </is>
      </c>
      <c r="E642" t="inlineStr">
        <is>
          <t>BODEN</t>
        </is>
      </c>
      <c r="F642" t="inlineStr">
        <is>
          <t>SCA</t>
        </is>
      </c>
      <c r="G642" t="n">
        <v>3.6</v>
      </c>
      <c r="H642" t="n">
        <v>0</v>
      </c>
      <c r="I642" t="n">
        <v>0</v>
      </c>
      <c r="J642" t="n">
        <v>0</v>
      </c>
      <c r="K642" t="n">
        <v>0</v>
      </c>
      <c r="L642" t="n">
        <v>0</v>
      </c>
      <c r="M642" t="n">
        <v>0</v>
      </c>
      <c r="N642" t="n">
        <v>0</v>
      </c>
      <c r="O642" t="n">
        <v>0</v>
      </c>
      <c r="P642" t="n">
        <v>0</v>
      </c>
      <c r="Q642" t="n">
        <v>0</v>
      </c>
      <c r="R642" s="2" t="inlineStr"/>
    </row>
    <row r="643" ht="15" customHeight="1">
      <c r="A643" t="inlineStr">
        <is>
          <t>A 39741-2025</t>
        </is>
      </c>
      <c r="B643" s="1" t="n">
        <v>45891.37986111111</v>
      </c>
      <c r="C643" s="1" t="n">
        <v>45905</v>
      </c>
      <c r="D643" t="inlineStr">
        <is>
          <t>NORRBOTTENS LÄN</t>
        </is>
      </c>
      <c r="E643" t="inlineStr">
        <is>
          <t>BODEN</t>
        </is>
      </c>
      <c r="G643" t="n">
        <v>4.5</v>
      </c>
      <c r="H643" t="n">
        <v>0</v>
      </c>
      <c r="I643" t="n">
        <v>0</v>
      </c>
      <c r="J643" t="n">
        <v>0</v>
      </c>
      <c r="K643" t="n">
        <v>0</v>
      </c>
      <c r="L643" t="n">
        <v>0</v>
      </c>
      <c r="M643" t="n">
        <v>0</v>
      </c>
      <c r="N643" t="n">
        <v>0</v>
      </c>
      <c r="O643" t="n">
        <v>0</v>
      </c>
      <c r="P643" t="n">
        <v>0</v>
      </c>
      <c r="Q643" t="n">
        <v>0</v>
      </c>
      <c r="R643" s="2" t="inlineStr"/>
    </row>
    <row r="644" ht="15" customHeight="1">
      <c r="A644" t="inlineStr">
        <is>
          <t>A 40115-2025</t>
        </is>
      </c>
      <c r="B644" s="1" t="n">
        <v>45893</v>
      </c>
      <c r="C644" s="1" t="n">
        <v>45905</v>
      </c>
      <c r="D644" t="inlineStr">
        <is>
          <t>NORRBOTTENS LÄN</t>
        </is>
      </c>
      <c r="E644" t="inlineStr">
        <is>
          <t>BODEN</t>
        </is>
      </c>
      <c r="F644" t="inlineStr">
        <is>
          <t>Övriga statliga verk och myndigheter</t>
        </is>
      </c>
      <c r="G644" t="n">
        <v>5.1</v>
      </c>
      <c r="H644" t="n">
        <v>0</v>
      </c>
      <c r="I644" t="n">
        <v>0</v>
      </c>
      <c r="J644" t="n">
        <v>0</v>
      </c>
      <c r="K644" t="n">
        <v>0</v>
      </c>
      <c r="L644" t="n">
        <v>0</v>
      </c>
      <c r="M644" t="n">
        <v>0</v>
      </c>
      <c r="N644" t="n">
        <v>0</v>
      </c>
      <c r="O644" t="n">
        <v>0</v>
      </c>
      <c r="P644" t="n">
        <v>0</v>
      </c>
      <c r="Q644" t="n">
        <v>0</v>
      </c>
      <c r="R644" s="2" t="inlineStr"/>
    </row>
    <row r="645" ht="15" customHeight="1">
      <c r="A645" t="inlineStr">
        <is>
          <t>A 37114-2024</t>
        </is>
      </c>
      <c r="B645" s="1" t="n">
        <v>45539.52540509259</v>
      </c>
      <c r="C645" s="1" t="n">
        <v>45905</v>
      </c>
      <c r="D645" t="inlineStr">
        <is>
          <t>NORRBOTTENS LÄN</t>
        </is>
      </c>
      <c r="E645" t="inlineStr">
        <is>
          <t>BODEN</t>
        </is>
      </c>
      <c r="G645" t="n">
        <v>0.4</v>
      </c>
      <c r="H645" t="n">
        <v>0</v>
      </c>
      <c r="I645" t="n">
        <v>0</v>
      </c>
      <c r="J645" t="n">
        <v>0</v>
      </c>
      <c r="K645" t="n">
        <v>0</v>
      </c>
      <c r="L645" t="n">
        <v>0</v>
      </c>
      <c r="M645" t="n">
        <v>0</v>
      </c>
      <c r="N645" t="n">
        <v>0</v>
      </c>
      <c r="O645" t="n">
        <v>0</v>
      </c>
      <c r="P645" t="n">
        <v>0</v>
      </c>
      <c r="Q645" t="n">
        <v>0</v>
      </c>
      <c r="R645" s="2" t="inlineStr"/>
    </row>
    <row r="646" ht="15" customHeight="1">
      <c r="A646" t="inlineStr">
        <is>
          <t>A 57988-2020</t>
        </is>
      </c>
      <c r="B646" s="1" t="n">
        <v>44143</v>
      </c>
      <c r="C646" s="1" t="n">
        <v>45905</v>
      </c>
      <c r="D646" t="inlineStr">
        <is>
          <t>NORRBOTTENS LÄN</t>
        </is>
      </c>
      <c r="E646" t="inlineStr">
        <is>
          <t>BODEN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9314-2025</t>
        </is>
      </c>
      <c r="B647" s="1" t="n">
        <v>45714.69826388889</v>
      </c>
      <c r="C647" s="1" t="n">
        <v>45905</v>
      </c>
      <c r="D647" t="inlineStr">
        <is>
          <t>NORRBOTTENS LÄN</t>
        </is>
      </c>
      <c r="E647" t="inlineStr">
        <is>
          <t>BODEN</t>
        </is>
      </c>
      <c r="F647" t="inlineStr">
        <is>
          <t>SCA</t>
        </is>
      </c>
      <c r="G647" t="n">
        <v>30</v>
      </c>
      <c r="H647" t="n">
        <v>0</v>
      </c>
      <c r="I647" t="n">
        <v>0</v>
      </c>
      <c r="J647" t="n">
        <v>0</v>
      </c>
      <c r="K647" t="n">
        <v>0</v>
      </c>
      <c r="L647" t="n">
        <v>0</v>
      </c>
      <c r="M647" t="n">
        <v>0</v>
      </c>
      <c r="N647" t="n">
        <v>0</v>
      </c>
      <c r="O647" t="n">
        <v>0</v>
      </c>
      <c r="P647" t="n">
        <v>0</v>
      </c>
      <c r="Q647" t="n">
        <v>0</v>
      </c>
      <c r="R647" s="2" t="inlineStr"/>
    </row>
    <row r="648" ht="15" customHeight="1">
      <c r="A648" t="inlineStr">
        <is>
          <t>A 40327-2025</t>
        </is>
      </c>
      <c r="B648" s="1" t="n">
        <v>45895.44861111111</v>
      </c>
      <c r="C648" s="1" t="n">
        <v>45905</v>
      </c>
      <c r="D648" t="inlineStr">
        <is>
          <t>NORRBOTTENS LÄN</t>
        </is>
      </c>
      <c r="E648" t="inlineStr">
        <is>
          <t>BODEN</t>
        </is>
      </c>
      <c r="G648" t="n">
        <v>9.4</v>
      </c>
      <c r="H648" t="n">
        <v>0</v>
      </c>
      <c r="I648" t="n">
        <v>0</v>
      </c>
      <c r="J648" t="n">
        <v>0</v>
      </c>
      <c r="K648" t="n">
        <v>0</v>
      </c>
      <c r="L648" t="n">
        <v>0</v>
      </c>
      <c r="M648" t="n">
        <v>0</v>
      </c>
      <c r="N648" t="n">
        <v>0</v>
      </c>
      <c r="O648" t="n">
        <v>0</v>
      </c>
      <c r="P648" t="n">
        <v>0</v>
      </c>
      <c r="Q648" t="n">
        <v>0</v>
      </c>
      <c r="R648" s="2" t="inlineStr"/>
    </row>
    <row r="649" ht="15" customHeight="1">
      <c r="A649" t="inlineStr">
        <is>
          <t>A 35561-2025</t>
        </is>
      </c>
      <c r="B649" s="1" t="n">
        <v>45856.53160879629</v>
      </c>
      <c r="C649" s="1" t="n">
        <v>45905</v>
      </c>
      <c r="D649" t="inlineStr">
        <is>
          <t>NORRBOTTENS LÄN</t>
        </is>
      </c>
      <c r="E649" t="inlineStr">
        <is>
          <t>BODEN</t>
        </is>
      </c>
      <c r="F649" t="inlineStr">
        <is>
          <t>SCA</t>
        </is>
      </c>
      <c r="G649" t="n">
        <v>10.8</v>
      </c>
      <c r="H649" t="n">
        <v>0</v>
      </c>
      <c r="I649" t="n">
        <v>0</v>
      </c>
      <c r="J649" t="n">
        <v>0</v>
      </c>
      <c r="K649" t="n">
        <v>0</v>
      </c>
      <c r="L649" t="n">
        <v>0</v>
      </c>
      <c r="M649" t="n">
        <v>0</v>
      </c>
      <c r="N649" t="n">
        <v>0</v>
      </c>
      <c r="O649" t="n">
        <v>0</v>
      </c>
      <c r="P649" t="n">
        <v>0</v>
      </c>
      <c r="Q649" t="n">
        <v>0</v>
      </c>
      <c r="R649" s="2" t="inlineStr"/>
    </row>
    <row r="650" ht="15" customHeight="1">
      <c r="A650" t="inlineStr">
        <is>
          <t>A 40820-2025</t>
        </is>
      </c>
      <c r="B650" s="1" t="n">
        <v>45897.48924768518</v>
      </c>
      <c r="C650" s="1" t="n">
        <v>45905</v>
      </c>
      <c r="D650" t="inlineStr">
        <is>
          <t>NORRBOTTENS LÄN</t>
        </is>
      </c>
      <c r="E650" t="inlineStr">
        <is>
          <t>BODEN</t>
        </is>
      </c>
      <c r="F650" t="inlineStr">
        <is>
          <t>Sveaskog</t>
        </is>
      </c>
      <c r="G650" t="n">
        <v>28.1</v>
      </c>
      <c r="H650" t="n">
        <v>0</v>
      </c>
      <c r="I650" t="n">
        <v>0</v>
      </c>
      <c r="J650" t="n">
        <v>0</v>
      </c>
      <c r="K650" t="n">
        <v>0</v>
      </c>
      <c r="L650" t="n">
        <v>0</v>
      </c>
      <c r="M650" t="n">
        <v>0</v>
      </c>
      <c r="N650" t="n">
        <v>0</v>
      </c>
      <c r="O650" t="n">
        <v>0</v>
      </c>
      <c r="P650" t="n">
        <v>0</v>
      </c>
      <c r="Q650" t="n">
        <v>0</v>
      </c>
      <c r="R650" s="2" t="inlineStr"/>
    </row>
    <row r="651" ht="15" customHeight="1">
      <c r="A651" t="inlineStr">
        <is>
          <t>A 40814-2025</t>
        </is>
      </c>
      <c r="B651" s="1" t="n">
        <v>45897.48153935185</v>
      </c>
      <c r="C651" s="1" t="n">
        <v>45905</v>
      </c>
      <c r="D651" t="inlineStr">
        <is>
          <t>NORRBOTTENS LÄN</t>
        </is>
      </c>
      <c r="E651" t="inlineStr">
        <is>
          <t>BODEN</t>
        </is>
      </c>
      <c r="G651" t="n">
        <v>4</v>
      </c>
      <c r="H651" t="n">
        <v>0</v>
      </c>
      <c r="I651" t="n">
        <v>0</v>
      </c>
      <c r="J651" t="n">
        <v>0</v>
      </c>
      <c r="K651" t="n">
        <v>0</v>
      </c>
      <c r="L651" t="n">
        <v>0</v>
      </c>
      <c r="M651" t="n">
        <v>0</v>
      </c>
      <c r="N651" t="n">
        <v>0</v>
      </c>
      <c r="O651" t="n">
        <v>0</v>
      </c>
      <c r="P651" t="n">
        <v>0</v>
      </c>
      <c r="Q651" t="n">
        <v>0</v>
      </c>
      <c r="R651" s="2" t="inlineStr"/>
    </row>
    <row r="652" ht="15" customHeight="1">
      <c r="A652" t="inlineStr">
        <is>
          <t>A 46512-2021</t>
        </is>
      </c>
      <c r="B652" s="1" t="n">
        <v>44445</v>
      </c>
      <c r="C652" s="1" t="n">
        <v>45905</v>
      </c>
      <c r="D652" t="inlineStr">
        <is>
          <t>NORRBOTTENS LÄN</t>
        </is>
      </c>
      <c r="E652" t="inlineStr">
        <is>
          <t>BODEN</t>
        </is>
      </c>
      <c r="G652" t="n">
        <v>7.2</v>
      </c>
      <c r="H652" t="n">
        <v>0</v>
      </c>
      <c r="I652" t="n">
        <v>0</v>
      </c>
      <c r="J652" t="n">
        <v>0</v>
      </c>
      <c r="K652" t="n">
        <v>0</v>
      </c>
      <c r="L652" t="n">
        <v>0</v>
      </c>
      <c r="M652" t="n">
        <v>0</v>
      </c>
      <c r="N652" t="n">
        <v>0</v>
      </c>
      <c r="O652" t="n">
        <v>0</v>
      </c>
      <c r="P652" t="n">
        <v>0</v>
      </c>
      <c r="Q652" t="n">
        <v>0</v>
      </c>
      <c r="R652" s="2" t="inlineStr"/>
    </row>
    <row r="653" ht="15" customHeight="1">
      <c r="A653" t="inlineStr">
        <is>
          <t>A 1962-2025</t>
        </is>
      </c>
      <c r="B653" s="1" t="n">
        <v>45672</v>
      </c>
      <c r="C653" s="1" t="n">
        <v>45905</v>
      </c>
      <c r="D653" t="inlineStr">
        <is>
          <t>NORRBOTTENS LÄN</t>
        </is>
      </c>
      <c r="E653" t="inlineStr">
        <is>
          <t>BODEN</t>
        </is>
      </c>
      <c r="G653" t="n">
        <v>0.1</v>
      </c>
      <c r="H653" t="n">
        <v>0</v>
      </c>
      <c r="I653" t="n">
        <v>0</v>
      </c>
      <c r="J653" t="n">
        <v>0</v>
      </c>
      <c r="K653" t="n">
        <v>0</v>
      </c>
      <c r="L653" t="n">
        <v>0</v>
      </c>
      <c r="M653" t="n">
        <v>0</v>
      </c>
      <c r="N653" t="n">
        <v>0</v>
      </c>
      <c r="O653" t="n">
        <v>0</v>
      </c>
      <c r="P653" t="n">
        <v>0</v>
      </c>
      <c r="Q653" t="n">
        <v>0</v>
      </c>
      <c r="R653" s="2" t="inlineStr"/>
    </row>
    <row r="654" ht="15" customHeight="1">
      <c r="A654" t="inlineStr">
        <is>
          <t>A 40709-2025</t>
        </is>
      </c>
      <c r="B654" s="1" t="n">
        <v>45897.33677083333</v>
      </c>
      <c r="C654" s="1" t="n">
        <v>45905</v>
      </c>
      <c r="D654" t="inlineStr">
        <is>
          <t>NORRBOTTENS LÄN</t>
        </is>
      </c>
      <c r="E654" t="inlineStr">
        <is>
          <t>BODEN</t>
        </is>
      </c>
      <c r="G654" t="n">
        <v>2</v>
      </c>
      <c r="H654" t="n">
        <v>0</v>
      </c>
      <c r="I654" t="n">
        <v>0</v>
      </c>
      <c r="J654" t="n">
        <v>0</v>
      </c>
      <c r="K654" t="n">
        <v>0</v>
      </c>
      <c r="L654" t="n">
        <v>0</v>
      </c>
      <c r="M654" t="n">
        <v>0</v>
      </c>
      <c r="N654" t="n">
        <v>0</v>
      </c>
      <c r="O654" t="n">
        <v>0</v>
      </c>
      <c r="P654" t="n">
        <v>0</v>
      </c>
      <c r="Q654" t="n">
        <v>0</v>
      </c>
      <c r="R654" s="2" t="inlineStr"/>
    </row>
    <row r="655" ht="15" customHeight="1">
      <c r="A655" t="inlineStr">
        <is>
          <t>A 40130-2025</t>
        </is>
      </c>
      <c r="B655" s="1" t="n">
        <v>45894</v>
      </c>
      <c r="C655" s="1" t="n">
        <v>45905</v>
      </c>
      <c r="D655" t="inlineStr">
        <is>
          <t>NORRBOTTENS LÄN</t>
        </is>
      </c>
      <c r="E655" t="inlineStr">
        <is>
          <t>BODEN</t>
        </is>
      </c>
      <c r="G655" t="n">
        <v>5.3</v>
      </c>
      <c r="H655" t="n">
        <v>0</v>
      </c>
      <c r="I655" t="n">
        <v>0</v>
      </c>
      <c r="J655" t="n">
        <v>0</v>
      </c>
      <c r="K655" t="n">
        <v>0</v>
      </c>
      <c r="L655" t="n">
        <v>0</v>
      </c>
      <c r="M655" t="n">
        <v>0</v>
      </c>
      <c r="N655" t="n">
        <v>0</v>
      </c>
      <c r="O655" t="n">
        <v>0</v>
      </c>
      <c r="P655" t="n">
        <v>0</v>
      </c>
      <c r="Q655" t="n">
        <v>0</v>
      </c>
      <c r="R655" s="2" t="inlineStr"/>
    </row>
    <row r="656" ht="15" customHeight="1">
      <c r="A656" t="inlineStr">
        <is>
          <t>A 40816-2025</t>
        </is>
      </c>
      <c r="B656" s="1" t="n">
        <v>45897.48422453704</v>
      </c>
      <c r="C656" s="1" t="n">
        <v>45905</v>
      </c>
      <c r="D656" t="inlineStr">
        <is>
          <t>NORRBOTTENS LÄN</t>
        </is>
      </c>
      <c r="E656" t="inlineStr">
        <is>
          <t>BODEN</t>
        </is>
      </c>
      <c r="G656" t="n">
        <v>3.9</v>
      </c>
      <c r="H656" t="n">
        <v>0</v>
      </c>
      <c r="I656" t="n">
        <v>0</v>
      </c>
      <c r="J656" t="n">
        <v>0</v>
      </c>
      <c r="K656" t="n">
        <v>0</v>
      </c>
      <c r="L656" t="n">
        <v>0</v>
      </c>
      <c r="M656" t="n">
        <v>0</v>
      </c>
      <c r="N656" t="n">
        <v>0</v>
      </c>
      <c r="O656" t="n">
        <v>0</v>
      </c>
      <c r="P656" t="n">
        <v>0</v>
      </c>
      <c r="Q656" t="n">
        <v>0</v>
      </c>
      <c r="R656" s="2" t="inlineStr"/>
    </row>
    <row r="657" ht="15" customHeight="1">
      <c r="A657" t="inlineStr">
        <is>
          <t>A 55080-2021</t>
        </is>
      </c>
      <c r="B657" s="1" t="n">
        <v>44474.65423611111</v>
      </c>
      <c r="C657" s="1" t="n">
        <v>45905</v>
      </c>
      <c r="D657" t="inlineStr">
        <is>
          <t>NORRBOTTENS LÄN</t>
        </is>
      </c>
      <c r="E657" t="inlineStr">
        <is>
          <t>BODEN</t>
        </is>
      </c>
      <c r="G657" t="n">
        <v>2.8</v>
      </c>
      <c r="H657" t="n">
        <v>0</v>
      </c>
      <c r="I657" t="n">
        <v>0</v>
      </c>
      <c r="J657" t="n">
        <v>0</v>
      </c>
      <c r="K657" t="n">
        <v>0</v>
      </c>
      <c r="L657" t="n">
        <v>0</v>
      </c>
      <c r="M657" t="n">
        <v>0</v>
      </c>
      <c r="N657" t="n">
        <v>0</v>
      </c>
      <c r="O657" t="n">
        <v>0</v>
      </c>
      <c r="P657" t="n">
        <v>0</v>
      </c>
      <c r="Q657" t="n">
        <v>0</v>
      </c>
      <c r="R657" s="2" t="inlineStr"/>
    </row>
    <row r="658" ht="15" customHeight="1">
      <c r="A658" t="inlineStr">
        <is>
          <t>A 47042-2024</t>
        </is>
      </c>
      <c r="B658" s="1" t="n">
        <v>45586.44344907408</v>
      </c>
      <c r="C658" s="1" t="n">
        <v>45905</v>
      </c>
      <c r="D658" t="inlineStr">
        <is>
          <t>NORRBOTTENS LÄN</t>
        </is>
      </c>
      <c r="E658" t="inlineStr">
        <is>
          <t>BODEN</t>
        </is>
      </c>
      <c r="G658" t="n">
        <v>27.9</v>
      </c>
      <c r="H658" t="n">
        <v>0</v>
      </c>
      <c r="I658" t="n">
        <v>0</v>
      </c>
      <c r="J658" t="n">
        <v>0</v>
      </c>
      <c r="K658" t="n">
        <v>0</v>
      </c>
      <c r="L658" t="n">
        <v>0</v>
      </c>
      <c r="M658" t="n">
        <v>0</v>
      </c>
      <c r="N658" t="n">
        <v>0</v>
      </c>
      <c r="O658" t="n">
        <v>0</v>
      </c>
      <c r="P658" t="n">
        <v>0</v>
      </c>
      <c r="Q658" t="n">
        <v>0</v>
      </c>
      <c r="R658" s="2" t="inlineStr"/>
    </row>
    <row r="659" ht="15" customHeight="1">
      <c r="A659" t="inlineStr">
        <is>
          <t>A 41598-2025</t>
        </is>
      </c>
      <c r="B659" s="1" t="n">
        <v>45901.65390046296</v>
      </c>
      <c r="C659" s="1" t="n">
        <v>45905</v>
      </c>
      <c r="D659" t="inlineStr">
        <is>
          <t>NORRBOTTENS LÄN</t>
        </is>
      </c>
      <c r="E659" t="inlineStr">
        <is>
          <t>BODEN</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16213-2021</t>
        </is>
      </c>
      <c r="B660" s="1" t="n">
        <v>44292</v>
      </c>
      <c r="C660" s="1" t="n">
        <v>45905</v>
      </c>
      <c r="D660" t="inlineStr">
        <is>
          <t>NORRBOTTENS LÄN</t>
        </is>
      </c>
      <c r="E660" t="inlineStr">
        <is>
          <t>BODEN</t>
        </is>
      </c>
      <c r="G660" t="n">
        <v>21.2</v>
      </c>
      <c r="H660" t="n">
        <v>0</v>
      </c>
      <c r="I660" t="n">
        <v>0</v>
      </c>
      <c r="J660" t="n">
        <v>0</v>
      </c>
      <c r="K660" t="n">
        <v>0</v>
      </c>
      <c r="L660" t="n">
        <v>0</v>
      </c>
      <c r="M660" t="n">
        <v>0</v>
      </c>
      <c r="N660" t="n">
        <v>0</v>
      </c>
      <c r="O660" t="n">
        <v>0</v>
      </c>
      <c r="P660" t="n">
        <v>0</v>
      </c>
      <c r="Q660" t="n">
        <v>0</v>
      </c>
      <c r="R660" s="2" t="inlineStr"/>
    </row>
    <row r="661" ht="15" customHeight="1">
      <c r="A661" t="inlineStr">
        <is>
          <t>A 41470-2025</t>
        </is>
      </c>
      <c r="B661" s="1" t="n">
        <v>45896</v>
      </c>
      <c r="C661" s="1" t="n">
        <v>45905</v>
      </c>
      <c r="D661" t="inlineStr">
        <is>
          <t>NORRBOTTENS LÄN</t>
        </is>
      </c>
      <c r="E661" t="inlineStr">
        <is>
          <t>BODEN</t>
        </is>
      </c>
      <c r="F661" t="inlineStr">
        <is>
          <t>Övriga statliga verk och myndigheter</t>
        </is>
      </c>
      <c r="G661" t="n">
        <v>3</v>
      </c>
      <c r="H661" t="n">
        <v>0</v>
      </c>
      <c r="I661" t="n">
        <v>0</v>
      </c>
      <c r="J661" t="n">
        <v>0</v>
      </c>
      <c r="K661" t="n">
        <v>0</v>
      </c>
      <c r="L661" t="n">
        <v>0</v>
      </c>
      <c r="M661" t="n">
        <v>0</v>
      </c>
      <c r="N661" t="n">
        <v>0</v>
      </c>
      <c r="O661" t="n">
        <v>0</v>
      </c>
      <c r="P661" t="n">
        <v>0</v>
      </c>
      <c r="Q661" t="n">
        <v>0</v>
      </c>
      <c r="R661" s="2" t="inlineStr"/>
    </row>
    <row r="662" ht="15" customHeight="1">
      <c r="A662" t="inlineStr">
        <is>
          <t>A 41443-2025</t>
        </is>
      </c>
      <c r="B662" s="1" t="n">
        <v>45901.41519675926</v>
      </c>
      <c r="C662" s="1" t="n">
        <v>45905</v>
      </c>
      <c r="D662" t="inlineStr">
        <is>
          <t>NORRBOTTENS LÄN</t>
        </is>
      </c>
      <c r="E662" t="inlineStr">
        <is>
          <t>BODEN</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41649-2025</t>
        </is>
      </c>
      <c r="B663" s="1" t="n">
        <v>45902.32747685185</v>
      </c>
      <c r="C663" s="1" t="n">
        <v>45905</v>
      </c>
      <c r="D663" t="inlineStr">
        <is>
          <t>NORRBOTTENS LÄN</t>
        </is>
      </c>
      <c r="E663" t="inlineStr">
        <is>
          <t>BODEN</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41647-2025</t>
        </is>
      </c>
      <c r="B664" s="1" t="n">
        <v>45901</v>
      </c>
      <c r="C664" s="1" t="n">
        <v>45905</v>
      </c>
      <c r="D664" t="inlineStr">
        <is>
          <t>NORRBOTTENS LÄN</t>
        </is>
      </c>
      <c r="E664" t="inlineStr">
        <is>
          <t>BODEN</t>
        </is>
      </c>
      <c r="G664" t="n">
        <v>4.7</v>
      </c>
      <c r="H664" t="n">
        <v>0</v>
      </c>
      <c r="I664" t="n">
        <v>0</v>
      </c>
      <c r="J664" t="n">
        <v>0</v>
      </c>
      <c r="K664" t="n">
        <v>0</v>
      </c>
      <c r="L664" t="n">
        <v>0</v>
      </c>
      <c r="M664" t="n">
        <v>0</v>
      </c>
      <c r="N664" t="n">
        <v>0</v>
      </c>
      <c r="O664" t="n">
        <v>0</v>
      </c>
      <c r="P664" t="n">
        <v>0</v>
      </c>
      <c r="Q664" t="n">
        <v>0</v>
      </c>
      <c r="R664" s="2" t="inlineStr"/>
    </row>
    <row r="665" ht="15" customHeight="1">
      <c r="A665" t="inlineStr">
        <is>
          <t>A 39651-2025</t>
        </is>
      </c>
      <c r="B665" s="1" t="n">
        <v>45890</v>
      </c>
      <c r="C665" s="1" t="n">
        <v>45905</v>
      </c>
      <c r="D665" t="inlineStr">
        <is>
          <t>NORRBOTTENS LÄN</t>
        </is>
      </c>
      <c r="E665" t="inlineStr">
        <is>
          <t>BODEN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40183-2025</t>
        </is>
      </c>
      <c r="B666" s="1" t="n">
        <v>45894</v>
      </c>
      <c r="C666" s="1" t="n">
        <v>45905</v>
      </c>
      <c r="D666" t="inlineStr">
        <is>
          <t>NORRBOTTENS LÄN</t>
        </is>
      </c>
      <c r="E666" t="inlineStr">
        <is>
          <t>BODEN</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41601-2025</t>
        </is>
      </c>
      <c r="B667" s="1" t="n">
        <v>45901.65690972222</v>
      </c>
      <c r="C667" s="1" t="n">
        <v>45905</v>
      </c>
      <c r="D667" t="inlineStr">
        <is>
          <t>NORRBOTTENS LÄN</t>
        </is>
      </c>
      <c r="E667" t="inlineStr">
        <is>
          <t>BODEN</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35773-2025</t>
        </is>
      </c>
      <c r="B668" s="1" t="n">
        <v>45860.67740740741</v>
      </c>
      <c r="C668" s="1" t="n">
        <v>45905</v>
      </c>
      <c r="D668" t="inlineStr">
        <is>
          <t>NORRBOTTENS LÄN</t>
        </is>
      </c>
      <c r="E668" t="inlineStr">
        <is>
          <t>BODEN</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41418-2025</t>
        </is>
      </c>
      <c r="B669" s="1" t="n">
        <v>45901.37751157407</v>
      </c>
      <c r="C669" s="1" t="n">
        <v>45905</v>
      </c>
      <c r="D669" t="inlineStr">
        <is>
          <t>NORRBOTTENS LÄN</t>
        </is>
      </c>
      <c r="E669" t="inlineStr">
        <is>
          <t>BODEN</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16581-2025</t>
        </is>
      </c>
      <c r="B670" s="1" t="n">
        <v>45752</v>
      </c>
      <c r="C670" s="1" t="n">
        <v>45905</v>
      </c>
      <c r="D670" t="inlineStr">
        <is>
          <t>NORRBOTTENS LÄN</t>
        </is>
      </c>
      <c r="E670" t="inlineStr">
        <is>
          <t>BODEN</t>
        </is>
      </c>
      <c r="G670" t="n">
        <v>10</v>
      </c>
      <c r="H670" t="n">
        <v>0</v>
      </c>
      <c r="I670" t="n">
        <v>0</v>
      </c>
      <c r="J670" t="n">
        <v>0</v>
      </c>
      <c r="K670" t="n">
        <v>0</v>
      </c>
      <c r="L670" t="n">
        <v>0</v>
      </c>
      <c r="M670" t="n">
        <v>0</v>
      </c>
      <c r="N670" t="n">
        <v>0</v>
      </c>
      <c r="O670" t="n">
        <v>0</v>
      </c>
      <c r="P670" t="n">
        <v>0</v>
      </c>
      <c r="Q670" t="n">
        <v>0</v>
      </c>
      <c r="R670" s="2" t="inlineStr"/>
    </row>
    <row r="671" ht="15" customHeight="1">
      <c r="A671" t="inlineStr">
        <is>
          <t>A 41691-2025</t>
        </is>
      </c>
      <c r="B671" s="1" t="n">
        <v>45902.40394675926</v>
      </c>
      <c r="C671" s="1" t="n">
        <v>45905</v>
      </c>
      <c r="D671" t="inlineStr">
        <is>
          <t>NORRBOTTENS LÄN</t>
        </is>
      </c>
      <c r="E671" t="inlineStr">
        <is>
          <t>BODEN</t>
        </is>
      </c>
      <c r="F671" t="inlineStr">
        <is>
          <t>Sveaskog</t>
        </is>
      </c>
      <c r="G671" t="n">
        <v>0.2</v>
      </c>
      <c r="H671" t="n">
        <v>0</v>
      </c>
      <c r="I671" t="n">
        <v>0</v>
      </c>
      <c r="J671" t="n">
        <v>0</v>
      </c>
      <c r="K671" t="n">
        <v>0</v>
      </c>
      <c r="L671" t="n">
        <v>0</v>
      </c>
      <c r="M671" t="n">
        <v>0</v>
      </c>
      <c r="N671" t="n">
        <v>0</v>
      </c>
      <c r="O671" t="n">
        <v>0</v>
      </c>
      <c r="P671" t="n">
        <v>0</v>
      </c>
      <c r="Q671" t="n">
        <v>0</v>
      </c>
      <c r="R671" s="2" t="inlineStr"/>
    </row>
    <row r="672" ht="15" customHeight="1">
      <c r="A672" t="inlineStr">
        <is>
          <t>A 41578-2025</t>
        </is>
      </c>
      <c r="B672" s="1" t="n">
        <v>45901.62032407407</v>
      </c>
      <c r="C672" s="1" t="n">
        <v>45905</v>
      </c>
      <c r="D672" t="inlineStr">
        <is>
          <t>NORRBOTTENS LÄN</t>
        </is>
      </c>
      <c r="E672" t="inlineStr">
        <is>
          <t>BODEN</t>
        </is>
      </c>
      <c r="F672" t="inlineStr">
        <is>
          <t>Sveaskog</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41595-2025</t>
        </is>
      </c>
      <c r="B673" s="1" t="n">
        <v>45901.64849537037</v>
      </c>
      <c r="C673" s="1" t="n">
        <v>45905</v>
      </c>
      <c r="D673" t="inlineStr">
        <is>
          <t>NORRBOTTENS LÄN</t>
        </is>
      </c>
      <c r="E673" t="inlineStr">
        <is>
          <t>BODEN</t>
        </is>
      </c>
      <c r="F673" t="inlineStr">
        <is>
          <t>Sveaskog</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40267-2025</t>
        </is>
      </c>
      <c r="B674" s="1" t="n">
        <v>45895</v>
      </c>
      <c r="C674" s="1" t="n">
        <v>45905</v>
      </c>
      <c r="D674" t="inlineStr">
        <is>
          <t>NORRBOTTENS LÄN</t>
        </is>
      </c>
      <c r="E674" t="inlineStr">
        <is>
          <t>BODEN</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19563-2024</t>
        </is>
      </c>
      <c r="B675" s="1" t="n">
        <v>45429.92297453704</v>
      </c>
      <c r="C675" s="1" t="n">
        <v>45905</v>
      </c>
      <c r="D675" t="inlineStr">
        <is>
          <t>NORRBOTTENS LÄN</t>
        </is>
      </c>
      <c r="E675" t="inlineStr">
        <is>
          <t>BODEN</t>
        </is>
      </c>
      <c r="G675" t="n">
        <v>3.4</v>
      </c>
      <c r="H675" t="n">
        <v>0</v>
      </c>
      <c r="I675" t="n">
        <v>0</v>
      </c>
      <c r="J675" t="n">
        <v>0</v>
      </c>
      <c r="K675" t="n">
        <v>0</v>
      </c>
      <c r="L675" t="n">
        <v>0</v>
      </c>
      <c r="M675" t="n">
        <v>0</v>
      </c>
      <c r="N675" t="n">
        <v>0</v>
      </c>
      <c r="O675" t="n">
        <v>0</v>
      </c>
      <c r="P675" t="n">
        <v>0</v>
      </c>
      <c r="Q675" t="n">
        <v>0</v>
      </c>
      <c r="R675" s="2" t="inlineStr"/>
    </row>
    <row r="676" ht="15" customHeight="1">
      <c r="A676" t="inlineStr">
        <is>
          <t>A 16020-2025</t>
        </is>
      </c>
      <c r="B676" s="1" t="n">
        <v>45748</v>
      </c>
      <c r="C676" s="1" t="n">
        <v>45905</v>
      </c>
      <c r="D676" t="inlineStr">
        <is>
          <t>NORRBOTTENS LÄN</t>
        </is>
      </c>
      <c r="E676" t="inlineStr">
        <is>
          <t>BODEN</t>
        </is>
      </c>
      <c r="G676" t="n">
        <v>2.5</v>
      </c>
      <c r="H676" t="n">
        <v>0</v>
      </c>
      <c r="I676" t="n">
        <v>0</v>
      </c>
      <c r="J676" t="n">
        <v>0</v>
      </c>
      <c r="K676" t="n">
        <v>0</v>
      </c>
      <c r="L676" t="n">
        <v>0</v>
      </c>
      <c r="M676" t="n">
        <v>0</v>
      </c>
      <c r="N676" t="n">
        <v>0</v>
      </c>
      <c r="O676" t="n">
        <v>0</v>
      </c>
      <c r="P676" t="n">
        <v>0</v>
      </c>
      <c r="Q676" t="n">
        <v>0</v>
      </c>
      <c r="R676" s="2" t="inlineStr"/>
    </row>
    <row r="677" ht="15" customHeight="1">
      <c r="A677" t="inlineStr">
        <is>
          <t>A 33353-2021</t>
        </is>
      </c>
      <c r="B677" s="1" t="n">
        <v>44377.49069444444</v>
      </c>
      <c r="C677" s="1" t="n">
        <v>45905</v>
      </c>
      <c r="D677" t="inlineStr">
        <is>
          <t>NORRBOTTENS LÄN</t>
        </is>
      </c>
      <c r="E677" t="inlineStr">
        <is>
          <t>BODEN</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35755-2025</t>
        </is>
      </c>
      <c r="B678" s="1" t="n">
        <v>45860.59417824074</v>
      </c>
      <c r="C678" s="1" t="n">
        <v>45905</v>
      </c>
      <c r="D678" t="inlineStr">
        <is>
          <t>NORRBOTTENS LÄN</t>
        </is>
      </c>
      <c r="E678" t="inlineStr">
        <is>
          <t>BODEN</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67438-2021</t>
        </is>
      </c>
      <c r="B679" s="1" t="n">
        <v>44524</v>
      </c>
      <c r="C679" s="1" t="n">
        <v>45905</v>
      </c>
      <c r="D679" t="inlineStr">
        <is>
          <t>NORRBOTTENS LÄN</t>
        </is>
      </c>
      <c r="E679" t="inlineStr">
        <is>
          <t>BODEN</t>
        </is>
      </c>
      <c r="G679" t="n">
        <v>3.2</v>
      </c>
      <c r="H679" t="n">
        <v>0</v>
      </c>
      <c r="I679" t="n">
        <v>0</v>
      </c>
      <c r="J679" t="n">
        <v>0</v>
      </c>
      <c r="K679" t="n">
        <v>0</v>
      </c>
      <c r="L679" t="n">
        <v>0</v>
      </c>
      <c r="M679" t="n">
        <v>0</v>
      </c>
      <c r="N679" t="n">
        <v>0</v>
      </c>
      <c r="O679" t="n">
        <v>0</v>
      </c>
      <c r="P679" t="n">
        <v>0</v>
      </c>
      <c r="Q679" t="n">
        <v>0</v>
      </c>
      <c r="R679" s="2" t="inlineStr"/>
    </row>
    <row r="680" ht="15" customHeight="1">
      <c r="A680" t="inlineStr">
        <is>
          <t>A 18173-2025</t>
        </is>
      </c>
      <c r="B680" s="1" t="n">
        <v>45761</v>
      </c>
      <c r="C680" s="1" t="n">
        <v>45905</v>
      </c>
      <c r="D680" t="inlineStr">
        <is>
          <t>NORRBOTTENS LÄN</t>
        </is>
      </c>
      <c r="E680" t="inlineStr">
        <is>
          <t>BODEN</t>
        </is>
      </c>
      <c r="G680" t="n">
        <v>7.2</v>
      </c>
      <c r="H680" t="n">
        <v>0</v>
      </c>
      <c r="I680" t="n">
        <v>0</v>
      </c>
      <c r="J680" t="n">
        <v>0</v>
      </c>
      <c r="K680" t="n">
        <v>0</v>
      </c>
      <c r="L680" t="n">
        <v>0</v>
      </c>
      <c r="M680" t="n">
        <v>0</v>
      </c>
      <c r="N680" t="n">
        <v>0</v>
      </c>
      <c r="O680" t="n">
        <v>0</v>
      </c>
      <c r="P680" t="n">
        <v>0</v>
      </c>
      <c r="Q680" t="n">
        <v>0</v>
      </c>
      <c r="R680" s="2" t="inlineStr"/>
    </row>
    <row r="681" ht="15" customHeight="1">
      <c r="A681" t="inlineStr">
        <is>
          <t>A 54104-2022</t>
        </is>
      </c>
      <c r="B681" s="1" t="n">
        <v>44881.55375</v>
      </c>
      <c r="C681" s="1" t="n">
        <v>45905</v>
      </c>
      <c r="D681" t="inlineStr">
        <is>
          <t>NORRBOTTENS LÄN</t>
        </is>
      </c>
      <c r="E681" t="inlineStr">
        <is>
          <t>BODEN</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30300-2023</t>
        </is>
      </c>
      <c r="B682" s="1" t="n">
        <v>45110</v>
      </c>
      <c r="C682" s="1" t="n">
        <v>45905</v>
      </c>
      <c r="D682" t="inlineStr">
        <is>
          <t>NORRBOTTENS LÄN</t>
        </is>
      </c>
      <c r="E682" t="inlineStr">
        <is>
          <t>BODEN</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28432-2022</t>
        </is>
      </c>
      <c r="B683" s="1" t="n">
        <v>44747</v>
      </c>
      <c r="C683" s="1" t="n">
        <v>45905</v>
      </c>
      <c r="D683" t="inlineStr">
        <is>
          <t>NORRBOTTENS LÄN</t>
        </is>
      </c>
      <c r="E683" t="inlineStr">
        <is>
          <t>BODEN</t>
        </is>
      </c>
      <c r="G683" t="n">
        <v>2.4</v>
      </c>
      <c r="H683" t="n">
        <v>0</v>
      </c>
      <c r="I683" t="n">
        <v>0</v>
      </c>
      <c r="J683" t="n">
        <v>0</v>
      </c>
      <c r="K683" t="n">
        <v>0</v>
      </c>
      <c r="L683" t="n">
        <v>0</v>
      </c>
      <c r="M683" t="n">
        <v>0</v>
      </c>
      <c r="N683" t="n">
        <v>0</v>
      </c>
      <c r="O683" t="n">
        <v>0</v>
      </c>
      <c r="P683" t="n">
        <v>0</v>
      </c>
      <c r="Q683" t="n">
        <v>0</v>
      </c>
      <c r="R683" s="2" t="inlineStr"/>
    </row>
    <row r="684" ht="15" customHeight="1">
      <c r="A684" t="inlineStr">
        <is>
          <t>A 12832-2022</t>
        </is>
      </c>
      <c r="B684" s="1" t="n">
        <v>44642</v>
      </c>
      <c r="C684" s="1" t="n">
        <v>45905</v>
      </c>
      <c r="D684" t="inlineStr">
        <is>
          <t>NORRBOTTENS LÄN</t>
        </is>
      </c>
      <c r="E684" t="inlineStr">
        <is>
          <t>BODEN</t>
        </is>
      </c>
      <c r="G684" t="n">
        <v>6.6</v>
      </c>
      <c r="H684" t="n">
        <v>0</v>
      </c>
      <c r="I684" t="n">
        <v>0</v>
      </c>
      <c r="J684" t="n">
        <v>0</v>
      </c>
      <c r="K684" t="n">
        <v>0</v>
      </c>
      <c r="L684" t="n">
        <v>0</v>
      </c>
      <c r="M684" t="n">
        <v>0</v>
      </c>
      <c r="N684" t="n">
        <v>0</v>
      </c>
      <c r="O684" t="n">
        <v>0</v>
      </c>
      <c r="P684" t="n">
        <v>0</v>
      </c>
      <c r="Q684" t="n">
        <v>0</v>
      </c>
      <c r="R684" s="2" t="inlineStr"/>
    </row>
    <row r="685" ht="15" customHeight="1">
      <c r="A685" t="inlineStr">
        <is>
          <t>A 21421-2022</t>
        </is>
      </c>
      <c r="B685" s="1" t="n">
        <v>44706</v>
      </c>
      <c r="C685" s="1" t="n">
        <v>45905</v>
      </c>
      <c r="D685" t="inlineStr">
        <is>
          <t>NORRBOTTENS LÄN</t>
        </is>
      </c>
      <c r="E685" t="inlineStr">
        <is>
          <t>BODEN</t>
        </is>
      </c>
      <c r="G685" t="n">
        <v>1</v>
      </c>
      <c r="H685" t="n">
        <v>0</v>
      </c>
      <c r="I685" t="n">
        <v>0</v>
      </c>
      <c r="J685" t="n">
        <v>0</v>
      </c>
      <c r="K685" t="n">
        <v>0</v>
      </c>
      <c r="L685" t="n">
        <v>0</v>
      </c>
      <c r="M685" t="n">
        <v>0</v>
      </c>
      <c r="N685" t="n">
        <v>0</v>
      </c>
      <c r="O685" t="n">
        <v>0</v>
      </c>
      <c r="P685" t="n">
        <v>0</v>
      </c>
      <c r="Q685" t="n">
        <v>0</v>
      </c>
      <c r="R685" s="2" t="inlineStr"/>
    </row>
    <row r="686" ht="15" customHeight="1">
      <c r="A686" t="inlineStr">
        <is>
          <t>A 41180-2021</t>
        </is>
      </c>
      <c r="B686" s="1" t="n">
        <v>44423</v>
      </c>
      <c r="C686" s="1" t="n">
        <v>45905</v>
      </c>
      <c r="D686" t="inlineStr">
        <is>
          <t>NORRBOTTENS LÄN</t>
        </is>
      </c>
      <c r="E686" t="inlineStr">
        <is>
          <t>BODEN</t>
        </is>
      </c>
      <c r="G686" t="n">
        <v>0.5</v>
      </c>
      <c r="H686" t="n">
        <v>0</v>
      </c>
      <c r="I686" t="n">
        <v>0</v>
      </c>
      <c r="J686" t="n">
        <v>0</v>
      </c>
      <c r="K686" t="n">
        <v>0</v>
      </c>
      <c r="L686" t="n">
        <v>0</v>
      </c>
      <c r="M686" t="n">
        <v>0</v>
      </c>
      <c r="N686" t="n">
        <v>0</v>
      </c>
      <c r="O686" t="n">
        <v>0</v>
      </c>
      <c r="P686" t="n">
        <v>0</v>
      </c>
      <c r="Q686" t="n">
        <v>0</v>
      </c>
      <c r="R686" s="2" t="inlineStr"/>
    </row>
    <row r="687" ht="15" customHeight="1">
      <c r="A687" t="inlineStr">
        <is>
          <t>A 19291-2025</t>
        </is>
      </c>
      <c r="B687" s="1" t="n">
        <v>45769</v>
      </c>
      <c r="C687" s="1" t="n">
        <v>45905</v>
      </c>
      <c r="D687" t="inlineStr">
        <is>
          <t>NORRBOTTENS LÄN</t>
        </is>
      </c>
      <c r="E687" t="inlineStr">
        <is>
          <t>BODEN</t>
        </is>
      </c>
      <c r="G687" t="n">
        <v>3.5</v>
      </c>
      <c r="H687" t="n">
        <v>0</v>
      </c>
      <c r="I687" t="n">
        <v>0</v>
      </c>
      <c r="J687" t="n">
        <v>0</v>
      </c>
      <c r="K687" t="n">
        <v>0</v>
      </c>
      <c r="L687" t="n">
        <v>0</v>
      </c>
      <c r="M687" t="n">
        <v>0</v>
      </c>
      <c r="N687" t="n">
        <v>0</v>
      </c>
      <c r="O687" t="n">
        <v>0</v>
      </c>
      <c r="P687" t="n">
        <v>0</v>
      </c>
      <c r="Q687" t="n">
        <v>0</v>
      </c>
      <c r="R687" s="2" t="inlineStr"/>
    </row>
    <row r="688" ht="15" customHeight="1">
      <c r="A688" t="inlineStr">
        <is>
          <t>A 57897-2022</t>
        </is>
      </c>
      <c r="B688" s="1" t="n">
        <v>44900</v>
      </c>
      <c r="C688" s="1" t="n">
        <v>45905</v>
      </c>
      <c r="D688" t="inlineStr">
        <is>
          <t>NORRBOTTENS LÄN</t>
        </is>
      </c>
      <c r="E688" t="inlineStr">
        <is>
          <t>BODEN</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53840-2022</t>
        </is>
      </c>
      <c r="B689" s="1" t="n">
        <v>44880.59427083333</v>
      </c>
      <c r="C689" s="1" t="n">
        <v>45905</v>
      </c>
      <c r="D689" t="inlineStr">
        <is>
          <t>NORRBOTTENS LÄN</t>
        </is>
      </c>
      <c r="E689" t="inlineStr">
        <is>
          <t>BODEN</t>
        </is>
      </c>
      <c r="G689" t="n">
        <v>2</v>
      </c>
      <c r="H689" t="n">
        <v>0</v>
      </c>
      <c r="I689" t="n">
        <v>0</v>
      </c>
      <c r="J689" t="n">
        <v>0</v>
      </c>
      <c r="K689" t="n">
        <v>0</v>
      </c>
      <c r="L689" t="n">
        <v>0</v>
      </c>
      <c r="M689" t="n">
        <v>0</v>
      </c>
      <c r="N689" t="n">
        <v>0</v>
      </c>
      <c r="O689" t="n">
        <v>0</v>
      </c>
      <c r="P689" t="n">
        <v>0</v>
      </c>
      <c r="Q689" t="n">
        <v>0</v>
      </c>
      <c r="R689" s="2" t="inlineStr"/>
    </row>
    <row r="690" ht="15" customHeight="1">
      <c r="A690" t="inlineStr">
        <is>
          <t>A 9969-2023</t>
        </is>
      </c>
      <c r="B690" s="1" t="n">
        <v>44979</v>
      </c>
      <c r="C690" s="1" t="n">
        <v>45905</v>
      </c>
      <c r="D690" t="inlineStr">
        <is>
          <t>NORRBOTTENS LÄN</t>
        </is>
      </c>
      <c r="E690" t="inlineStr">
        <is>
          <t>BODEN</t>
        </is>
      </c>
      <c r="F690" t="inlineStr">
        <is>
          <t>Övriga statliga verk och myndigheter</t>
        </is>
      </c>
      <c r="G690" t="n">
        <v>18.8</v>
      </c>
      <c r="H690" t="n">
        <v>0</v>
      </c>
      <c r="I690" t="n">
        <v>0</v>
      </c>
      <c r="J690" t="n">
        <v>0</v>
      </c>
      <c r="K690" t="n">
        <v>0</v>
      </c>
      <c r="L690" t="n">
        <v>0</v>
      </c>
      <c r="M690" t="n">
        <v>0</v>
      </c>
      <c r="N690" t="n">
        <v>0</v>
      </c>
      <c r="O690" t="n">
        <v>0</v>
      </c>
      <c r="P690" t="n">
        <v>0</v>
      </c>
      <c r="Q690" t="n">
        <v>0</v>
      </c>
      <c r="R690" s="2" t="inlineStr"/>
    </row>
    <row r="691" ht="15" customHeight="1">
      <c r="A691" t="inlineStr">
        <is>
          <t>A 58099-2023</t>
        </is>
      </c>
      <c r="B691" s="1" t="n">
        <v>45248.94667824074</v>
      </c>
      <c r="C691" s="1" t="n">
        <v>45905</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877-2023</t>
        </is>
      </c>
      <c r="B692" s="1" t="n">
        <v>44931</v>
      </c>
      <c r="C692" s="1" t="n">
        <v>45905</v>
      </c>
      <c r="D692" t="inlineStr">
        <is>
          <t>NORRBOTTENS LÄN</t>
        </is>
      </c>
      <c r="E692" t="inlineStr">
        <is>
          <t>BODEN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57600-2021</t>
        </is>
      </c>
      <c r="B693" s="1" t="n">
        <v>44484.36106481482</v>
      </c>
      <c r="C693" s="1" t="n">
        <v>45905</v>
      </c>
      <c r="D693" t="inlineStr">
        <is>
          <t>NORRBOTTENS LÄN</t>
        </is>
      </c>
      <c r="E693" t="inlineStr">
        <is>
          <t>BODEN</t>
        </is>
      </c>
      <c r="G693" t="n">
        <v>5.3</v>
      </c>
      <c r="H693" t="n">
        <v>0</v>
      </c>
      <c r="I693" t="n">
        <v>0</v>
      </c>
      <c r="J693" t="n">
        <v>0</v>
      </c>
      <c r="K693" t="n">
        <v>0</v>
      </c>
      <c r="L693" t="n">
        <v>0</v>
      </c>
      <c r="M693" t="n">
        <v>0</v>
      </c>
      <c r="N693" t="n">
        <v>0</v>
      </c>
      <c r="O693" t="n">
        <v>0</v>
      </c>
      <c r="P693" t="n">
        <v>0</v>
      </c>
      <c r="Q693" t="n">
        <v>0</v>
      </c>
      <c r="R693" s="2" t="inlineStr"/>
    </row>
    <row r="694" ht="15" customHeight="1">
      <c r="A694" t="inlineStr">
        <is>
          <t>A 18901-2025</t>
        </is>
      </c>
      <c r="B694" s="1" t="n">
        <v>45764.45273148148</v>
      </c>
      <c r="C694" s="1" t="n">
        <v>45905</v>
      </c>
      <c r="D694" t="inlineStr">
        <is>
          <t>NORRBOTTENS LÄN</t>
        </is>
      </c>
      <c r="E694" t="inlineStr">
        <is>
          <t>BODEN</t>
        </is>
      </c>
      <c r="G694" t="n">
        <v>1</v>
      </c>
      <c r="H694" t="n">
        <v>0</v>
      </c>
      <c r="I694" t="n">
        <v>0</v>
      </c>
      <c r="J694" t="n">
        <v>0</v>
      </c>
      <c r="K694" t="n">
        <v>0</v>
      </c>
      <c r="L694" t="n">
        <v>0</v>
      </c>
      <c r="M694" t="n">
        <v>0</v>
      </c>
      <c r="N694" t="n">
        <v>0</v>
      </c>
      <c r="O694" t="n">
        <v>0</v>
      </c>
      <c r="P694" t="n">
        <v>0</v>
      </c>
      <c r="Q694" t="n">
        <v>0</v>
      </c>
      <c r="R694" s="2" t="inlineStr"/>
    </row>
    <row r="695" ht="15" customHeight="1">
      <c r="A695" t="inlineStr">
        <is>
          <t>A 20046-2025</t>
        </is>
      </c>
      <c r="B695" s="1" t="n">
        <v>45772</v>
      </c>
      <c r="C695" s="1" t="n">
        <v>45905</v>
      </c>
      <c r="D695" t="inlineStr">
        <is>
          <t>NORRBOTTENS LÄN</t>
        </is>
      </c>
      <c r="E695" t="inlineStr">
        <is>
          <t>BODEN</t>
        </is>
      </c>
      <c r="G695" t="n">
        <v>1</v>
      </c>
      <c r="H695" t="n">
        <v>0</v>
      </c>
      <c r="I695" t="n">
        <v>0</v>
      </c>
      <c r="J695" t="n">
        <v>0</v>
      </c>
      <c r="K695" t="n">
        <v>0</v>
      </c>
      <c r="L695" t="n">
        <v>0</v>
      </c>
      <c r="M695" t="n">
        <v>0</v>
      </c>
      <c r="N695" t="n">
        <v>0</v>
      </c>
      <c r="O695" t="n">
        <v>0</v>
      </c>
      <c r="P695" t="n">
        <v>0</v>
      </c>
      <c r="Q695" t="n">
        <v>0</v>
      </c>
      <c r="R695" s="2" t="inlineStr"/>
    </row>
    <row r="696" ht="15" customHeight="1">
      <c r="A696" t="inlineStr">
        <is>
          <t>A 3535-2021</t>
        </is>
      </c>
      <c r="B696" s="1" t="n">
        <v>44216</v>
      </c>
      <c r="C696" s="1" t="n">
        <v>45905</v>
      </c>
      <c r="D696" t="inlineStr">
        <is>
          <t>NORRBOTTENS LÄN</t>
        </is>
      </c>
      <c r="E696" t="inlineStr">
        <is>
          <t>BODEN</t>
        </is>
      </c>
      <c r="G696" t="n">
        <v>5.7</v>
      </c>
      <c r="H696" t="n">
        <v>0</v>
      </c>
      <c r="I696" t="n">
        <v>0</v>
      </c>
      <c r="J696" t="n">
        <v>0</v>
      </c>
      <c r="K696" t="n">
        <v>0</v>
      </c>
      <c r="L696" t="n">
        <v>0</v>
      </c>
      <c r="M696" t="n">
        <v>0</v>
      </c>
      <c r="N696" t="n">
        <v>0</v>
      </c>
      <c r="O696" t="n">
        <v>0</v>
      </c>
      <c r="P696" t="n">
        <v>0</v>
      </c>
      <c r="Q696" t="n">
        <v>0</v>
      </c>
      <c r="R696" s="2" t="inlineStr"/>
    </row>
    <row r="697" ht="15" customHeight="1">
      <c r="A697" t="inlineStr">
        <is>
          <t>A 47024-2024</t>
        </is>
      </c>
      <c r="B697" s="1" t="n">
        <v>45586</v>
      </c>
      <c r="C697" s="1" t="n">
        <v>45905</v>
      </c>
      <c r="D697" t="inlineStr">
        <is>
          <t>NORRBOTTENS LÄN</t>
        </is>
      </c>
      <c r="E697" t="inlineStr">
        <is>
          <t>BODEN</t>
        </is>
      </c>
      <c r="F697" t="inlineStr">
        <is>
          <t>Sveaskog</t>
        </is>
      </c>
      <c r="G697" t="n">
        <v>12.8</v>
      </c>
      <c r="H697" t="n">
        <v>0</v>
      </c>
      <c r="I697" t="n">
        <v>0</v>
      </c>
      <c r="J697" t="n">
        <v>0</v>
      </c>
      <c r="K697" t="n">
        <v>0</v>
      </c>
      <c r="L697" t="n">
        <v>0</v>
      </c>
      <c r="M697" t="n">
        <v>0</v>
      </c>
      <c r="N697" t="n">
        <v>0</v>
      </c>
      <c r="O697" t="n">
        <v>0</v>
      </c>
      <c r="P697" t="n">
        <v>0</v>
      </c>
      <c r="Q697" t="n">
        <v>0</v>
      </c>
      <c r="R697" s="2" t="inlineStr"/>
    </row>
    <row r="698" ht="15" customHeight="1">
      <c r="A698" t="inlineStr">
        <is>
          <t>A 2601-2025</t>
        </is>
      </c>
      <c r="B698" s="1" t="n">
        <v>45674</v>
      </c>
      <c r="C698" s="1" t="n">
        <v>45905</v>
      </c>
      <c r="D698" t="inlineStr">
        <is>
          <t>NORRBOTTENS LÄN</t>
        </is>
      </c>
      <c r="E698" t="inlineStr">
        <is>
          <t>BODEN</t>
        </is>
      </c>
      <c r="G698" t="n">
        <v>0.7</v>
      </c>
      <c r="H698" t="n">
        <v>0</v>
      </c>
      <c r="I698" t="n">
        <v>0</v>
      </c>
      <c r="J698" t="n">
        <v>0</v>
      </c>
      <c r="K698" t="n">
        <v>0</v>
      </c>
      <c r="L698" t="n">
        <v>0</v>
      </c>
      <c r="M698" t="n">
        <v>0</v>
      </c>
      <c r="N698" t="n">
        <v>0</v>
      </c>
      <c r="O698" t="n">
        <v>0</v>
      </c>
      <c r="P698" t="n">
        <v>0</v>
      </c>
      <c r="Q698" t="n">
        <v>0</v>
      </c>
      <c r="R698" s="2" t="inlineStr"/>
    </row>
    <row r="699" ht="15" customHeight="1">
      <c r="A699" t="inlineStr">
        <is>
          <t>A 42173-2025</t>
        </is>
      </c>
      <c r="B699" s="1" t="n">
        <v>45902</v>
      </c>
      <c r="C699" s="1" t="n">
        <v>45905</v>
      </c>
      <c r="D699" t="inlineStr">
        <is>
          <t>NORRBOTTENS LÄN</t>
        </is>
      </c>
      <c r="E699" t="inlineStr">
        <is>
          <t>BODEN</t>
        </is>
      </c>
      <c r="F699" t="inlineStr">
        <is>
          <t>Övriga statliga verk och myndigheter</t>
        </is>
      </c>
      <c r="G699" t="n">
        <v>1.6</v>
      </c>
      <c r="H699" t="n">
        <v>0</v>
      </c>
      <c r="I699" t="n">
        <v>0</v>
      </c>
      <c r="J699" t="n">
        <v>0</v>
      </c>
      <c r="K699" t="n">
        <v>0</v>
      </c>
      <c r="L699" t="n">
        <v>0</v>
      </c>
      <c r="M699" t="n">
        <v>0</v>
      </c>
      <c r="N699" t="n">
        <v>0</v>
      </c>
      <c r="O699" t="n">
        <v>0</v>
      </c>
      <c r="P699" t="n">
        <v>0</v>
      </c>
      <c r="Q699" t="n">
        <v>0</v>
      </c>
      <c r="R699" s="2" t="inlineStr"/>
    </row>
    <row r="700" ht="15" customHeight="1">
      <c r="A700" t="inlineStr">
        <is>
          <t>A 17313-2021</t>
        </is>
      </c>
      <c r="B700" s="1" t="n">
        <v>44298</v>
      </c>
      <c r="C700" s="1" t="n">
        <v>45905</v>
      </c>
      <c r="D700" t="inlineStr">
        <is>
          <t>NORRBOTTENS LÄN</t>
        </is>
      </c>
      <c r="E700" t="inlineStr">
        <is>
          <t>BODEN</t>
        </is>
      </c>
      <c r="G700" t="n">
        <v>2.6</v>
      </c>
      <c r="H700" t="n">
        <v>0</v>
      </c>
      <c r="I700" t="n">
        <v>0</v>
      </c>
      <c r="J700" t="n">
        <v>0</v>
      </c>
      <c r="K700" t="n">
        <v>0</v>
      </c>
      <c r="L700" t="n">
        <v>0</v>
      </c>
      <c r="M700" t="n">
        <v>0</v>
      </c>
      <c r="N700" t="n">
        <v>0</v>
      </c>
      <c r="O700" t="n">
        <v>0</v>
      </c>
      <c r="P700" t="n">
        <v>0</v>
      </c>
      <c r="Q700" t="n">
        <v>0</v>
      </c>
      <c r="R700" s="2" t="inlineStr"/>
    </row>
    <row r="701" ht="15" customHeight="1">
      <c r="A701" t="inlineStr">
        <is>
          <t>A 49728-2024</t>
        </is>
      </c>
      <c r="B701" s="1" t="n">
        <v>45596.7612962963</v>
      </c>
      <c r="C701" s="1" t="n">
        <v>45905</v>
      </c>
      <c r="D701" t="inlineStr">
        <is>
          <t>NORRBOTTENS LÄN</t>
        </is>
      </c>
      <c r="E701" t="inlineStr">
        <is>
          <t>BODEN</t>
        </is>
      </c>
      <c r="G701" t="n">
        <v>22.7</v>
      </c>
      <c r="H701" t="n">
        <v>0</v>
      </c>
      <c r="I701" t="n">
        <v>0</v>
      </c>
      <c r="J701" t="n">
        <v>0</v>
      </c>
      <c r="K701" t="n">
        <v>0</v>
      </c>
      <c r="L701" t="n">
        <v>0</v>
      </c>
      <c r="M701" t="n">
        <v>0</v>
      </c>
      <c r="N701" t="n">
        <v>0</v>
      </c>
      <c r="O701" t="n">
        <v>0</v>
      </c>
      <c r="P701" t="n">
        <v>0</v>
      </c>
      <c r="Q701" t="n">
        <v>0</v>
      </c>
      <c r="R701" s="2" t="inlineStr"/>
    </row>
    <row r="702" ht="15" customHeight="1">
      <c r="A702" t="inlineStr">
        <is>
          <t>A 37212-2025</t>
        </is>
      </c>
      <c r="B702" s="1" t="n">
        <v>45875</v>
      </c>
      <c r="C702" s="1" t="n">
        <v>45905</v>
      </c>
      <c r="D702" t="inlineStr">
        <is>
          <t>NORRBOTTENS LÄN</t>
        </is>
      </c>
      <c r="E702" t="inlineStr">
        <is>
          <t>BODEN</t>
        </is>
      </c>
      <c r="G702" t="n">
        <v>3.3</v>
      </c>
      <c r="H702" t="n">
        <v>0</v>
      </c>
      <c r="I702" t="n">
        <v>0</v>
      </c>
      <c r="J702" t="n">
        <v>0</v>
      </c>
      <c r="K702" t="n">
        <v>0</v>
      </c>
      <c r="L702" t="n">
        <v>0</v>
      </c>
      <c r="M702" t="n">
        <v>0</v>
      </c>
      <c r="N702" t="n">
        <v>0</v>
      </c>
      <c r="O702" t="n">
        <v>0</v>
      </c>
      <c r="P702" t="n">
        <v>0</v>
      </c>
      <c r="Q702" t="n">
        <v>0</v>
      </c>
      <c r="R702" s="2" t="inlineStr"/>
    </row>
    <row r="703" ht="15" customHeight="1">
      <c r="A703" t="inlineStr">
        <is>
          <t>A 53829-2020</t>
        </is>
      </c>
      <c r="B703" s="1" t="n">
        <v>44124</v>
      </c>
      <c r="C703" s="1" t="n">
        <v>45905</v>
      </c>
      <c r="D703" t="inlineStr">
        <is>
          <t>NORRBOTTENS LÄN</t>
        </is>
      </c>
      <c r="E703" t="inlineStr">
        <is>
          <t>BODEN</t>
        </is>
      </c>
      <c r="G703" t="n">
        <v>3.2</v>
      </c>
      <c r="H703" t="n">
        <v>0</v>
      </c>
      <c r="I703" t="n">
        <v>0</v>
      </c>
      <c r="J703" t="n">
        <v>0</v>
      </c>
      <c r="K703" t="n">
        <v>0</v>
      </c>
      <c r="L703" t="n">
        <v>0</v>
      </c>
      <c r="M703" t="n">
        <v>0</v>
      </c>
      <c r="N703" t="n">
        <v>0</v>
      </c>
      <c r="O703" t="n">
        <v>0</v>
      </c>
      <c r="P703" t="n">
        <v>0</v>
      </c>
      <c r="Q703" t="n">
        <v>0</v>
      </c>
      <c r="R703" s="2" t="inlineStr"/>
    </row>
    <row r="704" ht="15" customHeight="1">
      <c r="A704" t="inlineStr">
        <is>
          <t>A 49127-2023</t>
        </is>
      </c>
      <c r="B704" s="1" t="n">
        <v>45210</v>
      </c>
      <c r="C704" s="1" t="n">
        <v>45905</v>
      </c>
      <c r="D704" t="inlineStr">
        <is>
          <t>NORRBOTTENS LÄN</t>
        </is>
      </c>
      <c r="E704" t="inlineStr">
        <is>
          <t>BODEN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36926-2025</t>
        </is>
      </c>
      <c r="B705" s="1" t="n">
        <v>45874</v>
      </c>
      <c r="C705" s="1" t="n">
        <v>45905</v>
      </c>
      <c r="D705" t="inlineStr">
        <is>
          <t>NORRBOTTENS LÄN</t>
        </is>
      </c>
      <c r="E705" t="inlineStr">
        <is>
          <t>BODEN</t>
        </is>
      </c>
      <c r="F705" t="inlineStr">
        <is>
          <t>SCA</t>
        </is>
      </c>
      <c r="G705" t="n">
        <v>8.4</v>
      </c>
      <c r="H705" t="n">
        <v>0</v>
      </c>
      <c r="I705" t="n">
        <v>0</v>
      </c>
      <c r="J705" t="n">
        <v>0</v>
      </c>
      <c r="K705" t="n">
        <v>0</v>
      </c>
      <c r="L705" t="n">
        <v>0</v>
      </c>
      <c r="M705" t="n">
        <v>0</v>
      </c>
      <c r="N705" t="n">
        <v>0</v>
      </c>
      <c r="O705" t="n">
        <v>0</v>
      </c>
      <c r="P705" t="n">
        <v>0</v>
      </c>
      <c r="Q705" t="n">
        <v>0</v>
      </c>
      <c r="R705" s="2" t="inlineStr"/>
    </row>
    <row r="706" ht="15" customHeight="1">
      <c r="A706" t="inlineStr">
        <is>
          <t>A 50526-2020</t>
        </is>
      </c>
      <c r="B706" s="1" t="n">
        <v>44110</v>
      </c>
      <c r="C706" s="1" t="n">
        <v>45905</v>
      </c>
      <c r="D706" t="inlineStr">
        <is>
          <t>NORRBOTTENS LÄN</t>
        </is>
      </c>
      <c r="E706" t="inlineStr">
        <is>
          <t>BODEN</t>
        </is>
      </c>
      <c r="G706" t="n">
        <v>5</v>
      </c>
      <c r="H706" t="n">
        <v>0</v>
      </c>
      <c r="I706" t="n">
        <v>0</v>
      </c>
      <c r="J706" t="n">
        <v>0</v>
      </c>
      <c r="K706" t="n">
        <v>0</v>
      </c>
      <c r="L706" t="n">
        <v>0</v>
      </c>
      <c r="M706" t="n">
        <v>0</v>
      </c>
      <c r="N706" t="n">
        <v>0</v>
      </c>
      <c r="O706" t="n">
        <v>0</v>
      </c>
      <c r="P706" t="n">
        <v>0</v>
      </c>
      <c r="Q706" t="n">
        <v>0</v>
      </c>
      <c r="R706" s="2" t="inlineStr"/>
    </row>
    <row r="707" ht="15" customHeight="1">
      <c r="A707" t="inlineStr">
        <is>
          <t>A 20289-2025</t>
        </is>
      </c>
      <c r="B707" s="1" t="n">
        <v>45774</v>
      </c>
      <c r="C707" s="1" t="n">
        <v>45905</v>
      </c>
      <c r="D707" t="inlineStr">
        <is>
          <t>NORRBOTTENS LÄN</t>
        </is>
      </c>
      <c r="E707" t="inlineStr">
        <is>
          <t>BODEN</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43648-2023</t>
        </is>
      </c>
      <c r="B708" s="1" t="n">
        <v>45187</v>
      </c>
      <c r="C708" s="1" t="n">
        <v>45905</v>
      </c>
      <c r="D708" t="inlineStr">
        <is>
          <t>NORRBOTTENS LÄN</t>
        </is>
      </c>
      <c r="E708" t="inlineStr">
        <is>
          <t>BODEN</t>
        </is>
      </c>
      <c r="F708" t="inlineStr">
        <is>
          <t>Sveaskog</t>
        </is>
      </c>
      <c r="G708" t="n">
        <v>7.1</v>
      </c>
      <c r="H708" t="n">
        <v>0</v>
      </c>
      <c r="I708" t="n">
        <v>0</v>
      </c>
      <c r="J708" t="n">
        <v>0</v>
      </c>
      <c r="K708" t="n">
        <v>0</v>
      </c>
      <c r="L708" t="n">
        <v>0</v>
      </c>
      <c r="M708" t="n">
        <v>0</v>
      </c>
      <c r="N708" t="n">
        <v>0</v>
      </c>
      <c r="O708" t="n">
        <v>0</v>
      </c>
      <c r="P708" t="n">
        <v>0</v>
      </c>
      <c r="Q708" t="n">
        <v>0</v>
      </c>
      <c r="R708" s="2" t="inlineStr"/>
    </row>
    <row r="709" ht="15" customHeight="1">
      <c r="A709" t="inlineStr">
        <is>
          <t>A 55540-2022</t>
        </is>
      </c>
      <c r="B709" s="1" t="n">
        <v>44887</v>
      </c>
      <c r="C709" s="1" t="n">
        <v>45905</v>
      </c>
      <c r="D709" t="inlineStr">
        <is>
          <t>NORRBOTTENS LÄN</t>
        </is>
      </c>
      <c r="E709" t="inlineStr">
        <is>
          <t>BODEN</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467-2022</t>
        </is>
      </c>
      <c r="B710" s="1" t="n">
        <v>44565</v>
      </c>
      <c r="C710" s="1" t="n">
        <v>45905</v>
      </c>
      <c r="D710" t="inlineStr">
        <is>
          <t>NORRBOTTENS LÄN</t>
        </is>
      </c>
      <c r="E710" t="inlineStr">
        <is>
          <t>BODEN</t>
        </is>
      </c>
      <c r="G710" t="n">
        <v>3.4</v>
      </c>
      <c r="H710" t="n">
        <v>0</v>
      </c>
      <c r="I710" t="n">
        <v>0</v>
      </c>
      <c r="J710" t="n">
        <v>0</v>
      </c>
      <c r="K710" t="n">
        <v>0</v>
      </c>
      <c r="L710" t="n">
        <v>0</v>
      </c>
      <c r="M710" t="n">
        <v>0</v>
      </c>
      <c r="N710" t="n">
        <v>0</v>
      </c>
      <c r="O710" t="n">
        <v>0</v>
      </c>
      <c r="P710" t="n">
        <v>0</v>
      </c>
      <c r="Q710" t="n">
        <v>0</v>
      </c>
      <c r="R710" s="2" t="inlineStr"/>
    </row>
    <row r="711" ht="15" customHeight="1">
      <c r="A711" t="inlineStr">
        <is>
          <t>A 54616-2023</t>
        </is>
      </c>
      <c r="B711" s="1" t="n">
        <v>45233.95826388889</v>
      </c>
      <c r="C711" s="1" t="n">
        <v>45905</v>
      </c>
      <c r="D711" t="inlineStr">
        <is>
          <t>NORRBOTTENS LÄN</t>
        </is>
      </c>
      <c r="E711" t="inlineStr">
        <is>
          <t>BODEN</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50253-2024</t>
        </is>
      </c>
      <c r="B712" s="1" t="n">
        <v>45600</v>
      </c>
      <c r="C712" s="1" t="n">
        <v>45905</v>
      </c>
      <c r="D712" t="inlineStr">
        <is>
          <t>NORRBOTTENS LÄN</t>
        </is>
      </c>
      <c r="E712" t="inlineStr">
        <is>
          <t>BODEN</t>
        </is>
      </c>
      <c r="G712" t="n">
        <v>2.7</v>
      </c>
      <c r="H712" t="n">
        <v>0</v>
      </c>
      <c r="I712" t="n">
        <v>0</v>
      </c>
      <c r="J712" t="n">
        <v>0</v>
      </c>
      <c r="K712" t="n">
        <v>0</v>
      </c>
      <c r="L712" t="n">
        <v>0</v>
      </c>
      <c r="M712" t="n">
        <v>0</v>
      </c>
      <c r="N712" t="n">
        <v>0</v>
      </c>
      <c r="O712" t="n">
        <v>0</v>
      </c>
      <c r="P712" t="n">
        <v>0</v>
      </c>
      <c r="Q712" t="n">
        <v>0</v>
      </c>
      <c r="R712" s="2" t="inlineStr"/>
    </row>
    <row r="713" ht="15" customHeight="1">
      <c r="A713" t="inlineStr">
        <is>
          <t>A 48471-2024</t>
        </is>
      </c>
      <c r="B713" s="1" t="n">
        <v>45591</v>
      </c>
      <c r="C713" s="1" t="n">
        <v>45905</v>
      </c>
      <c r="D713" t="inlineStr">
        <is>
          <t>NORRBOTTENS LÄN</t>
        </is>
      </c>
      <c r="E713" t="inlineStr">
        <is>
          <t>BODEN</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24058-2025</t>
        </is>
      </c>
      <c r="B714" s="1" t="n">
        <v>45796.51097222222</v>
      </c>
      <c r="C714" s="1" t="n">
        <v>45905</v>
      </c>
      <c r="D714" t="inlineStr">
        <is>
          <t>NORRBOTTENS LÄN</t>
        </is>
      </c>
      <c r="E714" t="inlineStr">
        <is>
          <t>BODEN</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22460-2023</t>
        </is>
      </c>
      <c r="B715" s="1" t="n">
        <v>45070.92538194444</v>
      </c>
      <c r="C715" s="1" t="n">
        <v>45905</v>
      </c>
      <c r="D715" t="inlineStr">
        <is>
          <t>NORRBOTTENS LÄN</t>
        </is>
      </c>
      <c r="E715" t="inlineStr">
        <is>
          <t>BODEN</t>
        </is>
      </c>
      <c r="G715" t="n">
        <v>1.4</v>
      </c>
      <c r="H715" t="n">
        <v>0</v>
      </c>
      <c r="I715" t="n">
        <v>0</v>
      </c>
      <c r="J715" t="n">
        <v>0</v>
      </c>
      <c r="K715" t="n">
        <v>0</v>
      </c>
      <c r="L715" t="n">
        <v>0</v>
      </c>
      <c r="M715" t="n">
        <v>0</v>
      </c>
      <c r="N715" t="n">
        <v>0</v>
      </c>
      <c r="O715" t="n">
        <v>0</v>
      </c>
      <c r="P715" t="n">
        <v>0</v>
      </c>
      <c r="Q715" t="n">
        <v>0</v>
      </c>
      <c r="R715" s="2" t="inlineStr"/>
    </row>
    <row r="716" ht="15" customHeight="1">
      <c r="A716" t="inlineStr">
        <is>
          <t>A 41943-2025</t>
        </is>
      </c>
      <c r="B716" s="1" t="n">
        <v>45903</v>
      </c>
      <c r="C716" s="1" t="n">
        <v>45905</v>
      </c>
      <c r="D716" t="inlineStr">
        <is>
          <t>NORRBOTTENS LÄN</t>
        </is>
      </c>
      <c r="E716" t="inlineStr">
        <is>
          <t>BODEN</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25920-2023</t>
        </is>
      </c>
      <c r="B717" s="1" t="n">
        <v>45085</v>
      </c>
      <c r="C717" s="1" t="n">
        <v>45905</v>
      </c>
      <c r="D717" t="inlineStr">
        <is>
          <t>NORRBOTTENS LÄN</t>
        </is>
      </c>
      <c r="E717" t="inlineStr">
        <is>
          <t>BODEN</t>
        </is>
      </c>
      <c r="G717" t="n">
        <v>0.5</v>
      </c>
      <c r="H717" t="n">
        <v>0</v>
      </c>
      <c r="I717" t="n">
        <v>0</v>
      </c>
      <c r="J717" t="n">
        <v>0</v>
      </c>
      <c r="K717" t="n">
        <v>0</v>
      </c>
      <c r="L717" t="n">
        <v>0</v>
      </c>
      <c r="M717" t="n">
        <v>0</v>
      </c>
      <c r="N717" t="n">
        <v>0</v>
      </c>
      <c r="O717" t="n">
        <v>0</v>
      </c>
      <c r="P717" t="n">
        <v>0</v>
      </c>
      <c r="Q717" t="n">
        <v>0</v>
      </c>
      <c r="R717" s="2" t="inlineStr"/>
    </row>
    <row r="718" ht="15" customHeight="1">
      <c r="A718" t="inlineStr">
        <is>
          <t>A 42171-2025</t>
        </is>
      </c>
      <c r="B718" s="1" t="n">
        <v>45902</v>
      </c>
      <c r="C718" s="1" t="n">
        <v>45905</v>
      </c>
      <c r="D718" t="inlineStr">
        <is>
          <t>NORRBOTTENS LÄN</t>
        </is>
      </c>
      <c r="E718" t="inlineStr">
        <is>
          <t>BODEN</t>
        </is>
      </c>
      <c r="F718" t="inlineStr">
        <is>
          <t>Övriga statliga verk och myndigheter</t>
        </is>
      </c>
      <c r="G718" t="n">
        <v>4.7</v>
      </c>
      <c r="H718" t="n">
        <v>0</v>
      </c>
      <c r="I718" t="n">
        <v>0</v>
      </c>
      <c r="J718" t="n">
        <v>0</v>
      </c>
      <c r="K718" t="n">
        <v>0</v>
      </c>
      <c r="L718" t="n">
        <v>0</v>
      </c>
      <c r="M718" t="n">
        <v>0</v>
      </c>
      <c r="N718" t="n">
        <v>0</v>
      </c>
      <c r="O718" t="n">
        <v>0</v>
      </c>
      <c r="P718" t="n">
        <v>0</v>
      </c>
      <c r="Q718" t="n">
        <v>0</v>
      </c>
      <c r="R718" s="2" t="inlineStr"/>
    </row>
    <row r="719" ht="15" customHeight="1">
      <c r="A719" t="inlineStr">
        <is>
          <t>A 665-2023</t>
        </is>
      </c>
      <c r="B719" s="1" t="n">
        <v>44925</v>
      </c>
      <c r="C719" s="1" t="n">
        <v>45905</v>
      </c>
      <c r="D719" t="inlineStr">
        <is>
          <t>NORRBOTTENS LÄN</t>
        </is>
      </c>
      <c r="E719" t="inlineStr">
        <is>
          <t>BODEN</t>
        </is>
      </c>
      <c r="G719" t="n">
        <v>0.9</v>
      </c>
      <c r="H719" t="n">
        <v>0</v>
      </c>
      <c r="I719" t="n">
        <v>0</v>
      </c>
      <c r="J719" t="n">
        <v>0</v>
      </c>
      <c r="K719" t="n">
        <v>0</v>
      </c>
      <c r="L719" t="n">
        <v>0</v>
      </c>
      <c r="M719" t="n">
        <v>0</v>
      </c>
      <c r="N719" t="n">
        <v>0</v>
      </c>
      <c r="O719" t="n">
        <v>0</v>
      </c>
      <c r="P719" t="n">
        <v>0</v>
      </c>
      <c r="Q719" t="n">
        <v>0</v>
      </c>
      <c r="R719" s="2" t="inlineStr"/>
    </row>
    <row r="720" ht="15" customHeight="1">
      <c r="A720" t="inlineStr">
        <is>
          <t>A 45115-2021</t>
        </is>
      </c>
      <c r="B720" s="1" t="n">
        <v>44438</v>
      </c>
      <c r="C720" s="1" t="n">
        <v>45905</v>
      </c>
      <c r="D720" t="inlineStr">
        <is>
          <t>NORRBOTTENS LÄN</t>
        </is>
      </c>
      <c r="E720" t="inlineStr">
        <is>
          <t>BODEN</t>
        </is>
      </c>
      <c r="G720" t="n">
        <v>4.7</v>
      </c>
      <c r="H720" t="n">
        <v>0</v>
      </c>
      <c r="I720" t="n">
        <v>0</v>
      </c>
      <c r="J720" t="n">
        <v>0</v>
      </c>
      <c r="K720" t="n">
        <v>0</v>
      </c>
      <c r="L720" t="n">
        <v>0</v>
      </c>
      <c r="M720" t="n">
        <v>0</v>
      </c>
      <c r="N720" t="n">
        <v>0</v>
      </c>
      <c r="O720" t="n">
        <v>0</v>
      </c>
      <c r="P720" t="n">
        <v>0</v>
      </c>
      <c r="Q720" t="n">
        <v>0</v>
      </c>
      <c r="R720" s="2" t="inlineStr"/>
    </row>
    <row r="721" ht="15" customHeight="1">
      <c r="A721" t="inlineStr">
        <is>
          <t>A 45677-2021</t>
        </is>
      </c>
      <c r="B721" s="1" t="n">
        <v>44441.35422453703</v>
      </c>
      <c r="C721" s="1" t="n">
        <v>45905</v>
      </c>
      <c r="D721" t="inlineStr">
        <is>
          <t>NORRBOTTENS LÄN</t>
        </is>
      </c>
      <c r="E721" t="inlineStr">
        <is>
          <t>BODEN</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33908-2021</t>
        </is>
      </c>
      <c r="B722" s="1" t="n">
        <v>44378</v>
      </c>
      <c r="C722" s="1" t="n">
        <v>45905</v>
      </c>
      <c r="D722" t="inlineStr">
        <is>
          <t>NORRBOTTENS LÄN</t>
        </is>
      </c>
      <c r="E722" t="inlineStr">
        <is>
          <t>BODEN</t>
        </is>
      </c>
      <c r="G722" t="n">
        <v>3.3</v>
      </c>
      <c r="H722" t="n">
        <v>0</v>
      </c>
      <c r="I722" t="n">
        <v>0</v>
      </c>
      <c r="J722" t="n">
        <v>0</v>
      </c>
      <c r="K722" t="n">
        <v>0</v>
      </c>
      <c r="L722" t="n">
        <v>0</v>
      </c>
      <c r="M722" t="n">
        <v>0</v>
      </c>
      <c r="N722" t="n">
        <v>0</v>
      </c>
      <c r="O722" t="n">
        <v>0</v>
      </c>
      <c r="P722" t="n">
        <v>0</v>
      </c>
      <c r="Q722" t="n">
        <v>0</v>
      </c>
      <c r="R722" s="2" t="inlineStr"/>
    </row>
    <row r="723" ht="15" customHeight="1">
      <c r="A723" t="inlineStr">
        <is>
          <t>A 68591-2021</t>
        </is>
      </c>
      <c r="B723" s="1" t="n">
        <v>44529</v>
      </c>
      <c r="C723" s="1" t="n">
        <v>45905</v>
      </c>
      <c r="D723" t="inlineStr">
        <is>
          <t>NORRBOTTENS LÄN</t>
        </is>
      </c>
      <c r="E723" t="inlineStr">
        <is>
          <t>BODEN</t>
        </is>
      </c>
      <c r="G723" t="n">
        <v>2.2</v>
      </c>
      <c r="H723" t="n">
        <v>0</v>
      </c>
      <c r="I723" t="n">
        <v>0</v>
      </c>
      <c r="J723" t="n">
        <v>0</v>
      </c>
      <c r="K723" t="n">
        <v>0</v>
      </c>
      <c r="L723" t="n">
        <v>0</v>
      </c>
      <c r="M723" t="n">
        <v>0</v>
      </c>
      <c r="N723" t="n">
        <v>0</v>
      </c>
      <c r="O723" t="n">
        <v>0</v>
      </c>
      <c r="P723" t="n">
        <v>0</v>
      </c>
      <c r="Q723" t="n">
        <v>0</v>
      </c>
      <c r="R723" s="2" t="inlineStr"/>
    </row>
    <row r="724" ht="15" customHeight="1">
      <c r="A724" t="inlineStr">
        <is>
          <t>A 22458-2023</t>
        </is>
      </c>
      <c r="B724" s="1" t="n">
        <v>45070</v>
      </c>
      <c r="C724" s="1" t="n">
        <v>45905</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26035-2023</t>
        </is>
      </c>
      <c r="B725" s="1" t="n">
        <v>45091</v>
      </c>
      <c r="C725" s="1" t="n">
        <v>45905</v>
      </c>
      <c r="D725" t="inlineStr">
        <is>
          <t>NORRBOTTENS LÄN</t>
        </is>
      </c>
      <c r="E725" t="inlineStr">
        <is>
          <t>BODEN</t>
        </is>
      </c>
      <c r="G725" t="n">
        <v>14.1</v>
      </c>
      <c r="H725" t="n">
        <v>0</v>
      </c>
      <c r="I725" t="n">
        <v>0</v>
      </c>
      <c r="J725" t="n">
        <v>0</v>
      </c>
      <c r="K725" t="n">
        <v>0</v>
      </c>
      <c r="L725" t="n">
        <v>0</v>
      </c>
      <c r="M725" t="n">
        <v>0</v>
      </c>
      <c r="N725" t="n">
        <v>0</v>
      </c>
      <c r="O725" t="n">
        <v>0</v>
      </c>
      <c r="P725" t="n">
        <v>0</v>
      </c>
      <c r="Q725" t="n">
        <v>0</v>
      </c>
      <c r="R725" s="2" t="inlineStr"/>
    </row>
    <row r="726" ht="15" customHeight="1">
      <c r="A726" t="inlineStr">
        <is>
          <t>A 14757-2023</t>
        </is>
      </c>
      <c r="B726" s="1" t="n">
        <v>45014.54700231482</v>
      </c>
      <c r="C726" s="1" t="n">
        <v>45905</v>
      </c>
      <c r="D726" t="inlineStr">
        <is>
          <t>NORRBOTTENS LÄN</t>
        </is>
      </c>
      <c r="E726" t="inlineStr">
        <is>
          <t>BODEN</t>
        </is>
      </c>
      <c r="G726" t="n">
        <v>1.3</v>
      </c>
      <c r="H726" t="n">
        <v>0</v>
      </c>
      <c r="I726" t="n">
        <v>0</v>
      </c>
      <c r="J726" t="n">
        <v>0</v>
      </c>
      <c r="K726" t="n">
        <v>0</v>
      </c>
      <c r="L726" t="n">
        <v>0</v>
      </c>
      <c r="M726" t="n">
        <v>0</v>
      </c>
      <c r="N726" t="n">
        <v>0</v>
      </c>
      <c r="O726" t="n">
        <v>0</v>
      </c>
      <c r="P726" t="n">
        <v>0</v>
      </c>
      <c r="Q726" t="n">
        <v>0</v>
      </c>
      <c r="R726" s="2" t="inlineStr"/>
    </row>
    <row r="727" ht="15" customHeight="1">
      <c r="A727" t="inlineStr">
        <is>
          <t>A 8886-2021</t>
        </is>
      </c>
      <c r="B727" s="1" t="n">
        <v>44248</v>
      </c>
      <c r="C727" s="1" t="n">
        <v>45905</v>
      </c>
      <c r="D727" t="inlineStr">
        <is>
          <t>NORRBOTTENS LÄN</t>
        </is>
      </c>
      <c r="E727" t="inlineStr">
        <is>
          <t>BODEN</t>
        </is>
      </c>
      <c r="G727" t="n">
        <v>2.2</v>
      </c>
      <c r="H727" t="n">
        <v>0</v>
      </c>
      <c r="I727" t="n">
        <v>0</v>
      </c>
      <c r="J727" t="n">
        <v>0</v>
      </c>
      <c r="K727" t="n">
        <v>0</v>
      </c>
      <c r="L727" t="n">
        <v>0</v>
      </c>
      <c r="M727" t="n">
        <v>0</v>
      </c>
      <c r="N727" t="n">
        <v>0</v>
      </c>
      <c r="O727" t="n">
        <v>0</v>
      </c>
      <c r="P727" t="n">
        <v>0</v>
      </c>
      <c r="Q727" t="n">
        <v>0</v>
      </c>
      <c r="R727" s="2" t="inlineStr"/>
    </row>
    <row r="728" ht="15" customHeight="1">
      <c r="A728" t="inlineStr">
        <is>
          <t>A 37984-2024</t>
        </is>
      </c>
      <c r="B728" s="1" t="n">
        <v>45544.58453703704</v>
      </c>
      <c r="C728" s="1" t="n">
        <v>45905</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12801-2023</t>
        </is>
      </c>
      <c r="B729" s="1" t="n">
        <v>45001</v>
      </c>
      <c r="C729" s="1" t="n">
        <v>45905</v>
      </c>
      <c r="D729" t="inlineStr">
        <is>
          <t>NORRBOTTENS LÄN</t>
        </is>
      </c>
      <c r="E729" t="inlineStr">
        <is>
          <t>BODEN</t>
        </is>
      </c>
      <c r="G729" t="n">
        <v>3.7</v>
      </c>
      <c r="H729" t="n">
        <v>0</v>
      </c>
      <c r="I729" t="n">
        <v>0</v>
      </c>
      <c r="J729" t="n">
        <v>0</v>
      </c>
      <c r="K729" t="n">
        <v>0</v>
      </c>
      <c r="L729" t="n">
        <v>0</v>
      </c>
      <c r="M729" t="n">
        <v>0</v>
      </c>
      <c r="N729" t="n">
        <v>0</v>
      </c>
      <c r="O729" t="n">
        <v>0</v>
      </c>
      <c r="P729" t="n">
        <v>0</v>
      </c>
      <c r="Q729" t="n">
        <v>0</v>
      </c>
      <c r="R729" s="2" t="inlineStr"/>
    </row>
    <row r="730" ht="15" customHeight="1">
      <c r="A730" t="inlineStr">
        <is>
          <t>A 20038-2025</t>
        </is>
      </c>
      <c r="B730" s="1" t="n">
        <v>45772.3677662037</v>
      </c>
      <c r="C730" s="1" t="n">
        <v>45905</v>
      </c>
      <c r="D730" t="inlineStr">
        <is>
          <t>NORRBOTTENS LÄN</t>
        </is>
      </c>
      <c r="E730" t="inlineStr">
        <is>
          <t>BODEN</t>
        </is>
      </c>
      <c r="G730" t="n">
        <v>4.9</v>
      </c>
      <c r="H730" t="n">
        <v>0</v>
      </c>
      <c r="I730" t="n">
        <v>0</v>
      </c>
      <c r="J730" t="n">
        <v>0</v>
      </c>
      <c r="K730" t="n">
        <v>0</v>
      </c>
      <c r="L730" t="n">
        <v>0</v>
      </c>
      <c r="M730" t="n">
        <v>0</v>
      </c>
      <c r="N730" t="n">
        <v>0</v>
      </c>
      <c r="O730" t="n">
        <v>0</v>
      </c>
      <c r="P730" t="n">
        <v>0</v>
      </c>
      <c r="Q730" t="n">
        <v>0</v>
      </c>
      <c r="R730" s="2" t="inlineStr"/>
    </row>
    <row r="731" ht="15" customHeight="1">
      <c r="A731" t="inlineStr">
        <is>
          <t>A 6244-2023</t>
        </is>
      </c>
      <c r="B731" s="1" t="n">
        <v>44964.94435185185</v>
      </c>
      <c r="C731" s="1" t="n">
        <v>45905</v>
      </c>
      <c r="D731" t="inlineStr">
        <is>
          <t>NORRBOTTENS LÄN</t>
        </is>
      </c>
      <c r="E731" t="inlineStr">
        <is>
          <t>BODEN</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52075-2021</t>
        </is>
      </c>
      <c r="B732" s="1" t="n">
        <v>44463.40267361111</v>
      </c>
      <c r="C732" s="1" t="n">
        <v>45905</v>
      </c>
      <c r="D732" t="inlineStr">
        <is>
          <t>NORRBOTTENS LÄN</t>
        </is>
      </c>
      <c r="E732" t="inlineStr">
        <is>
          <t>BODEN</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8869-2024</t>
        </is>
      </c>
      <c r="B733" s="1" t="n">
        <v>45356.96387731482</v>
      </c>
      <c r="C733" s="1" t="n">
        <v>45905</v>
      </c>
      <c r="D733" t="inlineStr">
        <is>
          <t>NORRBOTTENS LÄN</t>
        </is>
      </c>
      <c r="E733" t="inlineStr">
        <is>
          <t>BODEN</t>
        </is>
      </c>
      <c r="G733" t="n">
        <v>4.3</v>
      </c>
      <c r="H733" t="n">
        <v>0</v>
      </c>
      <c r="I733" t="n">
        <v>0</v>
      </c>
      <c r="J733" t="n">
        <v>0</v>
      </c>
      <c r="K733" t="n">
        <v>0</v>
      </c>
      <c r="L733" t="n">
        <v>0</v>
      </c>
      <c r="M733" t="n">
        <v>0</v>
      </c>
      <c r="N733" t="n">
        <v>0</v>
      </c>
      <c r="O733" t="n">
        <v>0</v>
      </c>
      <c r="P733" t="n">
        <v>0</v>
      </c>
      <c r="Q733" t="n">
        <v>0</v>
      </c>
      <c r="R733" s="2" t="inlineStr"/>
    </row>
    <row r="734" ht="15" customHeight="1">
      <c r="A734" t="inlineStr">
        <is>
          <t>A 23575-2023</t>
        </is>
      </c>
      <c r="B734" s="1" t="n">
        <v>45077</v>
      </c>
      <c r="C734" s="1" t="n">
        <v>45905</v>
      </c>
      <c r="D734" t="inlineStr">
        <is>
          <t>NORRBOTTENS LÄN</t>
        </is>
      </c>
      <c r="E734" t="inlineStr">
        <is>
          <t>BODEN</t>
        </is>
      </c>
      <c r="G734" t="n">
        <v>7.9</v>
      </c>
      <c r="H734" t="n">
        <v>0</v>
      </c>
      <c r="I734" t="n">
        <v>0</v>
      </c>
      <c r="J734" t="n">
        <v>0</v>
      </c>
      <c r="K734" t="n">
        <v>0</v>
      </c>
      <c r="L734" t="n">
        <v>0</v>
      </c>
      <c r="M734" t="n">
        <v>0</v>
      </c>
      <c r="N734" t="n">
        <v>0</v>
      </c>
      <c r="O734" t="n">
        <v>0</v>
      </c>
      <c r="P734" t="n">
        <v>0</v>
      </c>
      <c r="Q734" t="n">
        <v>0</v>
      </c>
      <c r="R734" s="2" t="inlineStr"/>
    </row>
    <row r="735" ht="15" customHeight="1">
      <c r="A735" t="inlineStr">
        <is>
          <t>A 61570-2024</t>
        </is>
      </c>
      <c r="B735" s="1" t="n">
        <v>45646.61649305555</v>
      </c>
      <c r="C735" s="1" t="n">
        <v>45905</v>
      </c>
      <c r="D735" t="inlineStr">
        <is>
          <t>NORRBOTTENS LÄN</t>
        </is>
      </c>
      <c r="E735" t="inlineStr">
        <is>
          <t>BODEN</t>
        </is>
      </c>
      <c r="G735" t="n">
        <v>2.6</v>
      </c>
      <c r="H735" t="n">
        <v>0</v>
      </c>
      <c r="I735" t="n">
        <v>0</v>
      </c>
      <c r="J735" t="n">
        <v>0</v>
      </c>
      <c r="K735" t="n">
        <v>0</v>
      </c>
      <c r="L735" t="n">
        <v>0</v>
      </c>
      <c r="M735" t="n">
        <v>0</v>
      </c>
      <c r="N735" t="n">
        <v>0</v>
      </c>
      <c r="O735" t="n">
        <v>0</v>
      </c>
      <c r="P735" t="n">
        <v>0</v>
      </c>
      <c r="Q735" t="n">
        <v>0</v>
      </c>
      <c r="R735" s="2" t="inlineStr"/>
    </row>
    <row r="736" ht="15" customHeight="1">
      <c r="A736" t="inlineStr">
        <is>
          <t>A 29309-2023</t>
        </is>
      </c>
      <c r="B736" s="1" t="n">
        <v>45105.92532407407</v>
      </c>
      <c r="C736" s="1" t="n">
        <v>45905</v>
      </c>
      <c r="D736" t="inlineStr">
        <is>
          <t>NORRBOTTENS LÄN</t>
        </is>
      </c>
      <c r="E736" t="inlineStr">
        <is>
          <t>BODEN</t>
        </is>
      </c>
      <c r="G736" t="n">
        <v>3.2</v>
      </c>
      <c r="H736" t="n">
        <v>0</v>
      </c>
      <c r="I736" t="n">
        <v>0</v>
      </c>
      <c r="J736" t="n">
        <v>0</v>
      </c>
      <c r="K736" t="n">
        <v>0</v>
      </c>
      <c r="L736" t="n">
        <v>0</v>
      </c>
      <c r="M736" t="n">
        <v>0</v>
      </c>
      <c r="N736" t="n">
        <v>0</v>
      </c>
      <c r="O736" t="n">
        <v>0</v>
      </c>
      <c r="P736" t="n">
        <v>0</v>
      </c>
      <c r="Q736" t="n">
        <v>0</v>
      </c>
      <c r="R736" s="2" t="inlineStr"/>
    </row>
    <row r="737" ht="15" customHeight="1">
      <c r="A737" t="inlineStr">
        <is>
          <t>A 38219-2022</t>
        </is>
      </c>
      <c r="B737" s="1" t="n">
        <v>44812</v>
      </c>
      <c r="C737" s="1" t="n">
        <v>45905</v>
      </c>
      <c r="D737" t="inlineStr">
        <is>
          <t>NORRBOTTENS LÄN</t>
        </is>
      </c>
      <c r="E737" t="inlineStr">
        <is>
          <t>BODEN</t>
        </is>
      </c>
      <c r="G737" t="n">
        <v>2</v>
      </c>
      <c r="H737" t="n">
        <v>0</v>
      </c>
      <c r="I737" t="n">
        <v>0</v>
      </c>
      <c r="J737" t="n">
        <v>0</v>
      </c>
      <c r="K737" t="n">
        <v>0</v>
      </c>
      <c r="L737" t="n">
        <v>0</v>
      </c>
      <c r="M737" t="n">
        <v>0</v>
      </c>
      <c r="N737" t="n">
        <v>0</v>
      </c>
      <c r="O737" t="n">
        <v>0</v>
      </c>
      <c r="P737" t="n">
        <v>0</v>
      </c>
      <c r="Q737" t="n">
        <v>0</v>
      </c>
      <c r="R737" s="2" t="inlineStr"/>
    </row>
    <row r="738" ht="15" customHeight="1">
      <c r="A738" t="inlineStr">
        <is>
          <t>A 25387-2023</t>
        </is>
      </c>
      <c r="B738" s="1" t="n">
        <v>45079</v>
      </c>
      <c r="C738" s="1" t="n">
        <v>45905</v>
      </c>
      <c r="D738" t="inlineStr">
        <is>
          <t>NORRBOTTENS LÄN</t>
        </is>
      </c>
      <c r="E738" t="inlineStr">
        <is>
          <t>BODEN</t>
        </is>
      </c>
      <c r="G738" t="n">
        <v>6.7</v>
      </c>
      <c r="H738" t="n">
        <v>0</v>
      </c>
      <c r="I738" t="n">
        <v>0</v>
      </c>
      <c r="J738" t="n">
        <v>0</v>
      </c>
      <c r="K738" t="n">
        <v>0</v>
      </c>
      <c r="L738" t="n">
        <v>0</v>
      </c>
      <c r="M738" t="n">
        <v>0</v>
      </c>
      <c r="N738" t="n">
        <v>0</v>
      </c>
      <c r="O738" t="n">
        <v>0</v>
      </c>
      <c r="P738" t="n">
        <v>0</v>
      </c>
      <c r="Q738" t="n">
        <v>0</v>
      </c>
      <c r="R738" s="2" t="inlineStr"/>
    </row>
    <row r="739" ht="15" customHeight="1">
      <c r="A739" t="inlineStr">
        <is>
          <t>A 3462-2022</t>
        </is>
      </c>
      <c r="B739" s="1" t="n">
        <v>44585</v>
      </c>
      <c r="C739" s="1" t="n">
        <v>45905</v>
      </c>
      <c r="D739" t="inlineStr">
        <is>
          <t>NORRBOTTENS LÄN</t>
        </is>
      </c>
      <c r="E739" t="inlineStr">
        <is>
          <t>BODEN</t>
        </is>
      </c>
      <c r="G739" t="n">
        <v>3.1</v>
      </c>
      <c r="H739" t="n">
        <v>0</v>
      </c>
      <c r="I739" t="n">
        <v>0</v>
      </c>
      <c r="J739" t="n">
        <v>0</v>
      </c>
      <c r="K739" t="n">
        <v>0</v>
      </c>
      <c r="L739" t="n">
        <v>0</v>
      </c>
      <c r="M739" t="n">
        <v>0</v>
      </c>
      <c r="N739" t="n">
        <v>0</v>
      </c>
      <c r="O739" t="n">
        <v>0</v>
      </c>
      <c r="P739" t="n">
        <v>0</v>
      </c>
      <c r="Q739" t="n">
        <v>0</v>
      </c>
      <c r="R739" s="2" t="inlineStr"/>
    </row>
    <row r="740" ht="15" customHeight="1">
      <c r="A740" t="inlineStr">
        <is>
          <t>A 28444-2023</t>
        </is>
      </c>
      <c r="B740" s="1" t="n">
        <v>45102.92748842593</v>
      </c>
      <c r="C740" s="1" t="n">
        <v>45905</v>
      </c>
      <c r="D740" t="inlineStr">
        <is>
          <t>NORRBOTTENS LÄN</t>
        </is>
      </c>
      <c r="E740" t="inlineStr">
        <is>
          <t>BODEN</t>
        </is>
      </c>
      <c r="G740" t="n">
        <v>1.7</v>
      </c>
      <c r="H740" t="n">
        <v>0</v>
      </c>
      <c r="I740" t="n">
        <v>0</v>
      </c>
      <c r="J740" t="n">
        <v>0</v>
      </c>
      <c r="K740" t="n">
        <v>0</v>
      </c>
      <c r="L740" t="n">
        <v>0</v>
      </c>
      <c r="M740" t="n">
        <v>0</v>
      </c>
      <c r="N740" t="n">
        <v>0</v>
      </c>
      <c r="O740" t="n">
        <v>0</v>
      </c>
      <c r="P740" t="n">
        <v>0</v>
      </c>
      <c r="Q740" t="n">
        <v>0</v>
      </c>
      <c r="R740" s="2" t="inlineStr"/>
    </row>
    <row r="741" ht="15" customHeight="1">
      <c r="A741" t="inlineStr">
        <is>
          <t>A 48592-2024</t>
        </is>
      </c>
      <c r="B741" s="1" t="n">
        <v>45593</v>
      </c>
      <c r="C741" s="1" t="n">
        <v>45905</v>
      </c>
      <c r="D741" t="inlineStr">
        <is>
          <t>NORRBOTTENS LÄN</t>
        </is>
      </c>
      <c r="E741" t="inlineStr">
        <is>
          <t>BODEN</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46564-2022</t>
        </is>
      </c>
      <c r="B742" s="1" t="n">
        <v>44847</v>
      </c>
      <c r="C742" s="1" t="n">
        <v>45905</v>
      </c>
      <c r="D742" t="inlineStr">
        <is>
          <t>NORRBOTTENS LÄN</t>
        </is>
      </c>
      <c r="E742" t="inlineStr">
        <is>
          <t>BODEN</t>
        </is>
      </c>
      <c r="G742" t="n">
        <v>28</v>
      </c>
      <c r="H742" t="n">
        <v>0</v>
      </c>
      <c r="I742" t="n">
        <v>0</v>
      </c>
      <c r="J742" t="n">
        <v>0</v>
      </c>
      <c r="K742" t="n">
        <v>0</v>
      </c>
      <c r="L742" t="n">
        <v>0</v>
      </c>
      <c r="M742" t="n">
        <v>0</v>
      </c>
      <c r="N742" t="n">
        <v>0</v>
      </c>
      <c r="O742" t="n">
        <v>0</v>
      </c>
      <c r="P742" t="n">
        <v>0</v>
      </c>
      <c r="Q742" t="n">
        <v>0</v>
      </c>
      <c r="R742" s="2" t="inlineStr"/>
    </row>
    <row r="743" ht="15" customHeight="1">
      <c r="A743" t="inlineStr">
        <is>
          <t>A 54614-2020</t>
        </is>
      </c>
      <c r="B743" s="1" t="n">
        <v>44127</v>
      </c>
      <c r="C743" s="1" t="n">
        <v>45905</v>
      </c>
      <c r="D743" t="inlineStr">
        <is>
          <t>NORRBOTTENS LÄN</t>
        </is>
      </c>
      <c r="E743" t="inlineStr">
        <is>
          <t>BODEN</t>
        </is>
      </c>
      <c r="G743" t="n">
        <v>46.8</v>
      </c>
      <c r="H743" t="n">
        <v>0</v>
      </c>
      <c r="I743" t="n">
        <v>0</v>
      </c>
      <c r="J743" t="n">
        <v>0</v>
      </c>
      <c r="K743" t="n">
        <v>0</v>
      </c>
      <c r="L743" t="n">
        <v>0</v>
      </c>
      <c r="M743" t="n">
        <v>0</v>
      </c>
      <c r="N743" t="n">
        <v>0</v>
      </c>
      <c r="O743" t="n">
        <v>0</v>
      </c>
      <c r="P743" t="n">
        <v>0</v>
      </c>
      <c r="Q743" t="n">
        <v>0</v>
      </c>
      <c r="R743" s="2" t="inlineStr"/>
    </row>
    <row r="744" ht="15" customHeight="1">
      <c r="A744" t="inlineStr">
        <is>
          <t>A 47927-2024</t>
        </is>
      </c>
      <c r="B744" s="1" t="n">
        <v>45589.34527777778</v>
      </c>
      <c r="C744" s="1" t="n">
        <v>45905</v>
      </c>
      <c r="D744" t="inlineStr">
        <is>
          <t>NORRBOTTENS LÄN</t>
        </is>
      </c>
      <c r="E744" t="inlineStr">
        <is>
          <t>BODEN</t>
        </is>
      </c>
      <c r="F744" t="inlineStr">
        <is>
          <t>Naturvårdsverket</t>
        </is>
      </c>
      <c r="G744" t="n">
        <v>2.2</v>
      </c>
      <c r="H744" t="n">
        <v>0</v>
      </c>
      <c r="I744" t="n">
        <v>0</v>
      </c>
      <c r="J744" t="n">
        <v>0</v>
      </c>
      <c r="K744" t="n">
        <v>0</v>
      </c>
      <c r="L744" t="n">
        <v>0</v>
      </c>
      <c r="M744" t="n">
        <v>0</v>
      </c>
      <c r="N744" t="n">
        <v>0</v>
      </c>
      <c r="O744" t="n">
        <v>0</v>
      </c>
      <c r="P744" t="n">
        <v>0</v>
      </c>
      <c r="Q744" t="n">
        <v>0</v>
      </c>
      <c r="R744" s="2" t="inlineStr"/>
    </row>
    <row r="745" ht="15" customHeight="1">
      <c r="A745" t="inlineStr">
        <is>
          <t>A 6396-2024</t>
        </is>
      </c>
      <c r="B745" s="1" t="n">
        <v>45338</v>
      </c>
      <c r="C745" s="1" t="n">
        <v>45905</v>
      </c>
      <c r="D745" t="inlineStr">
        <is>
          <t>NORRBOTTENS LÄN</t>
        </is>
      </c>
      <c r="E745" t="inlineStr">
        <is>
          <t>BODEN</t>
        </is>
      </c>
      <c r="G745" t="n">
        <v>8</v>
      </c>
      <c r="H745" t="n">
        <v>0</v>
      </c>
      <c r="I745" t="n">
        <v>0</v>
      </c>
      <c r="J745" t="n">
        <v>0</v>
      </c>
      <c r="K745" t="n">
        <v>0</v>
      </c>
      <c r="L745" t="n">
        <v>0</v>
      </c>
      <c r="M745" t="n">
        <v>0</v>
      </c>
      <c r="N745" t="n">
        <v>0</v>
      </c>
      <c r="O745" t="n">
        <v>0</v>
      </c>
      <c r="P745" t="n">
        <v>0</v>
      </c>
      <c r="Q745" t="n">
        <v>0</v>
      </c>
      <c r="R745" s="2" t="inlineStr"/>
    </row>
    <row r="746" ht="15" customHeight="1">
      <c r="A746" t="inlineStr">
        <is>
          <t>A 36138-2021</t>
        </is>
      </c>
      <c r="B746" s="1" t="n">
        <v>44392</v>
      </c>
      <c r="C746" s="1" t="n">
        <v>45905</v>
      </c>
      <c r="D746" t="inlineStr">
        <is>
          <t>NORRBOTTENS LÄN</t>
        </is>
      </c>
      <c r="E746" t="inlineStr">
        <is>
          <t>BODEN</t>
        </is>
      </c>
      <c r="G746" t="n">
        <v>18.5</v>
      </c>
      <c r="H746" t="n">
        <v>0</v>
      </c>
      <c r="I746" t="n">
        <v>0</v>
      </c>
      <c r="J746" t="n">
        <v>0</v>
      </c>
      <c r="K746" t="n">
        <v>0</v>
      </c>
      <c r="L746" t="n">
        <v>0</v>
      </c>
      <c r="M746" t="n">
        <v>0</v>
      </c>
      <c r="N746" t="n">
        <v>0</v>
      </c>
      <c r="O746" t="n">
        <v>0</v>
      </c>
      <c r="P746" t="n">
        <v>0</v>
      </c>
      <c r="Q746" t="n">
        <v>0</v>
      </c>
      <c r="R746" s="2" t="inlineStr"/>
    </row>
    <row r="747" ht="15" customHeight="1">
      <c r="A747" t="inlineStr">
        <is>
          <t>A 61488-2022</t>
        </is>
      </c>
      <c r="B747" s="1" t="n">
        <v>44910</v>
      </c>
      <c r="C747" s="1" t="n">
        <v>45905</v>
      </c>
      <c r="D747" t="inlineStr">
        <is>
          <t>NORRBOTTENS LÄN</t>
        </is>
      </c>
      <c r="E747" t="inlineStr">
        <is>
          <t>BODEN</t>
        </is>
      </c>
      <c r="F747" t="inlineStr">
        <is>
          <t>Sveaskog</t>
        </is>
      </c>
      <c r="G747" t="n">
        <v>18.6</v>
      </c>
      <c r="H747" t="n">
        <v>0</v>
      </c>
      <c r="I747" t="n">
        <v>0</v>
      </c>
      <c r="J747" t="n">
        <v>0</v>
      </c>
      <c r="K747" t="n">
        <v>0</v>
      </c>
      <c r="L747" t="n">
        <v>0</v>
      </c>
      <c r="M747" t="n">
        <v>0</v>
      </c>
      <c r="N747" t="n">
        <v>0</v>
      </c>
      <c r="O747" t="n">
        <v>0</v>
      </c>
      <c r="P747" t="n">
        <v>0</v>
      </c>
      <c r="Q747" t="n">
        <v>0</v>
      </c>
      <c r="R747" s="2" t="inlineStr"/>
    </row>
    <row r="748" ht="15" customHeight="1">
      <c r="A748" t="inlineStr">
        <is>
          <t>A 3146-2024</t>
        </is>
      </c>
      <c r="B748" s="1" t="n">
        <v>45316</v>
      </c>
      <c r="C748" s="1" t="n">
        <v>45905</v>
      </c>
      <c r="D748" t="inlineStr">
        <is>
          <t>NORRBOTTENS LÄN</t>
        </is>
      </c>
      <c r="E748" t="inlineStr">
        <is>
          <t>BODEN</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73910-2021</t>
        </is>
      </c>
      <c r="B749" s="1" t="n">
        <v>44552</v>
      </c>
      <c r="C749" s="1" t="n">
        <v>45905</v>
      </c>
      <c r="D749" t="inlineStr">
        <is>
          <t>NORRBOTTENS LÄN</t>
        </is>
      </c>
      <c r="E749" t="inlineStr">
        <is>
          <t>BODEN</t>
        </is>
      </c>
      <c r="G749" t="n">
        <v>2.8</v>
      </c>
      <c r="H749" t="n">
        <v>0</v>
      </c>
      <c r="I749" t="n">
        <v>0</v>
      </c>
      <c r="J749" t="n">
        <v>0</v>
      </c>
      <c r="K749" t="n">
        <v>0</v>
      </c>
      <c r="L749" t="n">
        <v>0</v>
      </c>
      <c r="M749" t="n">
        <v>0</v>
      </c>
      <c r="N749" t="n">
        <v>0</v>
      </c>
      <c r="O749" t="n">
        <v>0</v>
      </c>
      <c r="P749" t="n">
        <v>0</v>
      </c>
      <c r="Q749" t="n">
        <v>0</v>
      </c>
      <c r="R749" s="2" t="inlineStr"/>
    </row>
    <row r="750" ht="15" customHeight="1">
      <c r="A750" t="inlineStr">
        <is>
          <t>A 8776-2022</t>
        </is>
      </c>
      <c r="B750" s="1" t="n">
        <v>44614.40652777778</v>
      </c>
      <c r="C750" s="1" t="n">
        <v>45905</v>
      </c>
      <c r="D750" t="inlineStr">
        <is>
          <t>NORRBOTTENS LÄN</t>
        </is>
      </c>
      <c r="E750" t="inlineStr">
        <is>
          <t>BODEN</t>
        </is>
      </c>
      <c r="G750" t="n">
        <v>4</v>
      </c>
      <c r="H750" t="n">
        <v>0</v>
      </c>
      <c r="I750" t="n">
        <v>0</v>
      </c>
      <c r="J750" t="n">
        <v>0</v>
      </c>
      <c r="K750" t="n">
        <v>0</v>
      </c>
      <c r="L750" t="n">
        <v>0</v>
      </c>
      <c r="M750" t="n">
        <v>0</v>
      </c>
      <c r="N750" t="n">
        <v>0</v>
      </c>
      <c r="O750" t="n">
        <v>0</v>
      </c>
      <c r="P750" t="n">
        <v>0</v>
      </c>
      <c r="Q750" t="n">
        <v>0</v>
      </c>
      <c r="R750" s="2" t="inlineStr"/>
    </row>
    <row r="751" ht="15" customHeight="1">
      <c r="A751" t="inlineStr">
        <is>
          <t>A 54153-2023</t>
        </is>
      </c>
      <c r="B751" s="1" t="n">
        <v>45232</v>
      </c>
      <c r="C751" s="1" t="n">
        <v>45905</v>
      </c>
      <c r="D751" t="inlineStr">
        <is>
          <t>NORRBOTTENS LÄN</t>
        </is>
      </c>
      <c r="E751" t="inlineStr">
        <is>
          <t>BODEN</t>
        </is>
      </c>
      <c r="F751" t="inlineStr">
        <is>
          <t>Sveaskog</t>
        </is>
      </c>
      <c r="G751" t="n">
        <v>4.6</v>
      </c>
      <c r="H751" t="n">
        <v>0</v>
      </c>
      <c r="I751" t="n">
        <v>0</v>
      </c>
      <c r="J751" t="n">
        <v>0</v>
      </c>
      <c r="K751" t="n">
        <v>0</v>
      </c>
      <c r="L751" t="n">
        <v>0</v>
      </c>
      <c r="M751" t="n">
        <v>0</v>
      </c>
      <c r="N751" t="n">
        <v>0</v>
      </c>
      <c r="O751" t="n">
        <v>0</v>
      </c>
      <c r="P751" t="n">
        <v>0</v>
      </c>
      <c r="Q751" t="n">
        <v>0</v>
      </c>
      <c r="R751" s="2" t="inlineStr"/>
    </row>
    <row r="752" ht="15" customHeight="1">
      <c r="A752" t="inlineStr">
        <is>
          <t>A 26806-2024</t>
        </is>
      </c>
      <c r="B752" s="1" t="n">
        <v>45470</v>
      </c>
      <c r="C752" s="1" t="n">
        <v>45905</v>
      </c>
      <c r="D752" t="inlineStr">
        <is>
          <t>NORRBOTTENS LÄN</t>
        </is>
      </c>
      <c r="E752" t="inlineStr">
        <is>
          <t>BODEN</t>
        </is>
      </c>
      <c r="F752" t="inlineStr">
        <is>
          <t>Övriga Aktiebolag</t>
        </is>
      </c>
      <c r="G752" t="n">
        <v>4.3</v>
      </c>
      <c r="H752" t="n">
        <v>0</v>
      </c>
      <c r="I752" t="n">
        <v>0</v>
      </c>
      <c r="J752" t="n">
        <v>0</v>
      </c>
      <c r="K752" t="n">
        <v>0</v>
      </c>
      <c r="L752" t="n">
        <v>0</v>
      </c>
      <c r="M752" t="n">
        <v>0</v>
      </c>
      <c r="N752" t="n">
        <v>0</v>
      </c>
      <c r="O752" t="n">
        <v>0</v>
      </c>
      <c r="P752" t="n">
        <v>0</v>
      </c>
      <c r="Q752" t="n">
        <v>0</v>
      </c>
      <c r="R752" s="2" t="inlineStr"/>
    </row>
    <row r="753" ht="15" customHeight="1">
      <c r="A753" t="inlineStr">
        <is>
          <t>A 47423-2024</t>
        </is>
      </c>
      <c r="B753" s="1" t="n">
        <v>45587</v>
      </c>
      <c r="C753" s="1" t="n">
        <v>45905</v>
      </c>
      <c r="D753" t="inlineStr">
        <is>
          <t>NORRBOTTENS LÄN</t>
        </is>
      </c>
      <c r="E753" t="inlineStr">
        <is>
          <t>BODEN</t>
        </is>
      </c>
      <c r="G753" t="n">
        <v>17.2</v>
      </c>
      <c r="H753" t="n">
        <v>0</v>
      </c>
      <c r="I753" t="n">
        <v>0</v>
      </c>
      <c r="J753" t="n">
        <v>0</v>
      </c>
      <c r="K753" t="n">
        <v>0</v>
      </c>
      <c r="L753" t="n">
        <v>0</v>
      </c>
      <c r="M753" t="n">
        <v>0</v>
      </c>
      <c r="N753" t="n">
        <v>0</v>
      </c>
      <c r="O753" t="n">
        <v>0</v>
      </c>
      <c r="P753" t="n">
        <v>0</v>
      </c>
      <c r="Q753" t="n">
        <v>0</v>
      </c>
      <c r="R753" s="2" t="inlineStr"/>
    </row>
    <row r="754" ht="15" customHeight="1">
      <c r="A754" t="inlineStr">
        <is>
          <t>A 31226-2023</t>
        </is>
      </c>
      <c r="B754" s="1" t="n">
        <v>45114</v>
      </c>
      <c r="C754" s="1" t="n">
        <v>45905</v>
      </c>
      <c r="D754" t="inlineStr">
        <is>
          <t>NORRBOTTENS LÄN</t>
        </is>
      </c>
      <c r="E754" t="inlineStr">
        <is>
          <t>BODEN</t>
        </is>
      </c>
      <c r="G754" t="n">
        <v>1.4</v>
      </c>
      <c r="H754" t="n">
        <v>0</v>
      </c>
      <c r="I754" t="n">
        <v>0</v>
      </c>
      <c r="J754" t="n">
        <v>0</v>
      </c>
      <c r="K754" t="n">
        <v>0</v>
      </c>
      <c r="L754" t="n">
        <v>0</v>
      </c>
      <c r="M754" t="n">
        <v>0</v>
      </c>
      <c r="N754" t="n">
        <v>0</v>
      </c>
      <c r="O754" t="n">
        <v>0</v>
      </c>
      <c r="P754" t="n">
        <v>0</v>
      </c>
      <c r="Q754" t="n">
        <v>0</v>
      </c>
      <c r="R754" s="2" t="inlineStr"/>
    </row>
    <row r="755" ht="15" customHeight="1">
      <c r="A755" t="inlineStr">
        <is>
          <t>A 19284-2025</t>
        </is>
      </c>
      <c r="B755" s="1" t="n">
        <v>45769</v>
      </c>
      <c r="C755" s="1" t="n">
        <v>45905</v>
      </c>
      <c r="D755" t="inlineStr">
        <is>
          <t>NORRBOTTENS LÄN</t>
        </is>
      </c>
      <c r="E755" t="inlineStr">
        <is>
          <t>BODEN</t>
        </is>
      </c>
      <c r="G755" t="n">
        <v>6.7</v>
      </c>
      <c r="H755" t="n">
        <v>0</v>
      </c>
      <c r="I755" t="n">
        <v>0</v>
      </c>
      <c r="J755" t="n">
        <v>0</v>
      </c>
      <c r="K755" t="n">
        <v>0</v>
      </c>
      <c r="L755" t="n">
        <v>0</v>
      </c>
      <c r="M755" t="n">
        <v>0</v>
      </c>
      <c r="N755" t="n">
        <v>0</v>
      </c>
      <c r="O755" t="n">
        <v>0</v>
      </c>
      <c r="P755" t="n">
        <v>0</v>
      </c>
      <c r="Q755" t="n">
        <v>0</v>
      </c>
      <c r="R755" s="2" t="inlineStr"/>
    </row>
    <row r="756" ht="15" customHeight="1">
      <c r="A756" t="inlineStr">
        <is>
          <t>A 16222-2024</t>
        </is>
      </c>
      <c r="B756" s="1" t="n">
        <v>45406</v>
      </c>
      <c r="C756" s="1" t="n">
        <v>45905</v>
      </c>
      <c r="D756" t="inlineStr">
        <is>
          <t>NORRBOTTENS LÄN</t>
        </is>
      </c>
      <c r="E756" t="inlineStr">
        <is>
          <t>BODEN</t>
        </is>
      </c>
      <c r="G756" t="n">
        <v>5.2</v>
      </c>
      <c r="H756" t="n">
        <v>0</v>
      </c>
      <c r="I756" t="n">
        <v>0</v>
      </c>
      <c r="J756" t="n">
        <v>0</v>
      </c>
      <c r="K756" t="n">
        <v>0</v>
      </c>
      <c r="L756" t="n">
        <v>0</v>
      </c>
      <c r="M756" t="n">
        <v>0</v>
      </c>
      <c r="N756" t="n">
        <v>0</v>
      </c>
      <c r="O756" t="n">
        <v>0</v>
      </c>
      <c r="P756" t="n">
        <v>0</v>
      </c>
      <c r="Q756" t="n">
        <v>0</v>
      </c>
      <c r="R756" s="2" t="inlineStr"/>
    </row>
    <row r="757" ht="15" customHeight="1">
      <c r="A757" t="inlineStr">
        <is>
          <t>A 41789-2024</t>
        </is>
      </c>
      <c r="B757" s="1" t="n">
        <v>45561</v>
      </c>
      <c r="C757" s="1" t="n">
        <v>45905</v>
      </c>
      <c r="D757" t="inlineStr">
        <is>
          <t>NORRBOTTENS LÄN</t>
        </is>
      </c>
      <c r="E757" t="inlineStr">
        <is>
          <t>BODEN</t>
        </is>
      </c>
      <c r="G757" t="n">
        <v>2.2</v>
      </c>
      <c r="H757" t="n">
        <v>0</v>
      </c>
      <c r="I757" t="n">
        <v>0</v>
      </c>
      <c r="J757" t="n">
        <v>0</v>
      </c>
      <c r="K757" t="n">
        <v>0</v>
      </c>
      <c r="L757" t="n">
        <v>0</v>
      </c>
      <c r="M757" t="n">
        <v>0</v>
      </c>
      <c r="N757" t="n">
        <v>0</v>
      </c>
      <c r="O757" t="n">
        <v>0</v>
      </c>
      <c r="P757" t="n">
        <v>0</v>
      </c>
      <c r="Q757" t="n">
        <v>0</v>
      </c>
      <c r="R757" s="2" t="inlineStr"/>
    </row>
    <row r="758" ht="15" customHeight="1">
      <c r="A758" t="inlineStr">
        <is>
          <t>A 708-2022</t>
        </is>
      </c>
      <c r="B758" s="1" t="n">
        <v>44566</v>
      </c>
      <c r="C758" s="1" t="n">
        <v>45905</v>
      </c>
      <c r="D758" t="inlineStr">
        <is>
          <t>NORRBOTTENS LÄN</t>
        </is>
      </c>
      <c r="E758" t="inlineStr">
        <is>
          <t>BODEN</t>
        </is>
      </c>
      <c r="G758" t="n">
        <v>3</v>
      </c>
      <c r="H758" t="n">
        <v>0</v>
      </c>
      <c r="I758" t="n">
        <v>0</v>
      </c>
      <c r="J758" t="n">
        <v>0</v>
      </c>
      <c r="K758" t="n">
        <v>0</v>
      </c>
      <c r="L758" t="n">
        <v>0</v>
      </c>
      <c r="M758" t="n">
        <v>0</v>
      </c>
      <c r="N758" t="n">
        <v>0</v>
      </c>
      <c r="O758" t="n">
        <v>0</v>
      </c>
      <c r="P758" t="n">
        <v>0</v>
      </c>
      <c r="Q758" t="n">
        <v>0</v>
      </c>
      <c r="R758" s="2" t="inlineStr"/>
    </row>
    <row r="759" ht="15" customHeight="1">
      <c r="A759" t="inlineStr">
        <is>
          <t>A 58506-2024</t>
        </is>
      </c>
      <c r="B759" s="1" t="n">
        <v>45635.41770833333</v>
      </c>
      <c r="C759" s="1" t="n">
        <v>45905</v>
      </c>
      <c r="D759" t="inlineStr">
        <is>
          <t>NORRBOTTENS LÄN</t>
        </is>
      </c>
      <c r="E759" t="inlineStr">
        <is>
          <t>BODEN</t>
        </is>
      </c>
      <c r="G759" t="n">
        <v>4.5</v>
      </c>
      <c r="H759" t="n">
        <v>0</v>
      </c>
      <c r="I759" t="n">
        <v>0</v>
      </c>
      <c r="J759" t="n">
        <v>0</v>
      </c>
      <c r="K759" t="n">
        <v>0</v>
      </c>
      <c r="L759" t="n">
        <v>0</v>
      </c>
      <c r="M759" t="n">
        <v>0</v>
      </c>
      <c r="N759" t="n">
        <v>0</v>
      </c>
      <c r="O759" t="n">
        <v>0</v>
      </c>
      <c r="P759" t="n">
        <v>0</v>
      </c>
      <c r="Q759" t="n">
        <v>0</v>
      </c>
      <c r="R759" s="2" t="inlineStr"/>
    </row>
    <row r="760" ht="15" customHeight="1">
      <c r="A760" t="inlineStr">
        <is>
          <t>A 4254-2025</t>
        </is>
      </c>
      <c r="B760" s="1" t="n">
        <v>45685</v>
      </c>
      <c r="C760" s="1" t="n">
        <v>45905</v>
      </c>
      <c r="D760" t="inlineStr">
        <is>
          <t>NORRBOTTENS LÄN</t>
        </is>
      </c>
      <c r="E760" t="inlineStr">
        <is>
          <t>BODEN</t>
        </is>
      </c>
      <c r="G760" t="n">
        <v>0.8</v>
      </c>
      <c r="H760" t="n">
        <v>0</v>
      </c>
      <c r="I760" t="n">
        <v>0</v>
      </c>
      <c r="J760" t="n">
        <v>0</v>
      </c>
      <c r="K760" t="n">
        <v>0</v>
      </c>
      <c r="L760" t="n">
        <v>0</v>
      </c>
      <c r="M760" t="n">
        <v>0</v>
      </c>
      <c r="N760" t="n">
        <v>0</v>
      </c>
      <c r="O760" t="n">
        <v>0</v>
      </c>
      <c r="P760" t="n">
        <v>0</v>
      </c>
      <c r="Q760" t="n">
        <v>0</v>
      </c>
      <c r="R760" s="2" t="inlineStr"/>
    </row>
    <row r="761" ht="15" customHeight="1">
      <c r="A761" t="inlineStr">
        <is>
          <t>A 37791-2024</t>
        </is>
      </c>
      <c r="B761" s="1" t="n">
        <v>45543.34873842593</v>
      </c>
      <c r="C761" s="1" t="n">
        <v>45905</v>
      </c>
      <c r="D761" t="inlineStr">
        <is>
          <t>NORRBOTTENS LÄN</t>
        </is>
      </c>
      <c r="E761" t="inlineStr">
        <is>
          <t>BODEN</t>
        </is>
      </c>
      <c r="G761" t="n">
        <v>9.1</v>
      </c>
      <c r="H761" t="n">
        <v>0</v>
      </c>
      <c r="I761" t="n">
        <v>0</v>
      </c>
      <c r="J761" t="n">
        <v>0</v>
      </c>
      <c r="K761" t="n">
        <v>0</v>
      </c>
      <c r="L761" t="n">
        <v>0</v>
      </c>
      <c r="M761" t="n">
        <v>0</v>
      </c>
      <c r="N761" t="n">
        <v>0</v>
      </c>
      <c r="O761" t="n">
        <v>0</v>
      </c>
      <c r="P761" t="n">
        <v>0</v>
      </c>
      <c r="Q761" t="n">
        <v>0</v>
      </c>
      <c r="R761" s="2" t="inlineStr"/>
    </row>
    <row r="762" ht="15" customHeight="1">
      <c r="A762" t="inlineStr">
        <is>
          <t>A 61911-2024</t>
        </is>
      </c>
      <c r="B762" s="1" t="n">
        <v>45653.3677662037</v>
      </c>
      <c r="C762" s="1" t="n">
        <v>45905</v>
      </c>
      <c r="D762" t="inlineStr">
        <is>
          <t>NORRBOTTENS LÄN</t>
        </is>
      </c>
      <c r="E762" t="inlineStr">
        <is>
          <t>BODEN</t>
        </is>
      </c>
      <c r="G762" t="n">
        <v>3</v>
      </c>
      <c r="H762" t="n">
        <v>0</v>
      </c>
      <c r="I762" t="n">
        <v>0</v>
      </c>
      <c r="J762" t="n">
        <v>0</v>
      </c>
      <c r="K762" t="n">
        <v>0</v>
      </c>
      <c r="L762" t="n">
        <v>0</v>
      </c>
      <c r="M762" t="n">
        <v>0</v>
      </c>
      <c r="N762" t="n">
        <v>0</v>
      </c>
      <c r="O762" t="n">
        <v>0</v>
      </c>
      <c r="P762" t="n">
        <v>0</v>
      </c>
      <c r="Q762" t="n">
        <v>0</v>
      </c>
      <c r="R762" s="2" t="inlineStr"/>
    </row>
    <row r="763" ht="15" customHeight="1">
      <c r="A763" t="inlineStr">
        <is>
          <t>A 57563-2023</t>
        </is>
      </c>
      <c r="B763" s="1" t="n">
        <v>45246</v>
      </c>
      <c r="C763" s="1" t="n">
        <v>45905</v>
      </c>
      <c r="D763" t="inlineStr">
        <is>
          <t>NORRBOTTENS LÄN</t>
        </is>
      </c>
      <c r="E763" t="inlineStr">
        <is>
          <t>BODEN</t>
        </is>
      </c>
      <c r="G763" t="n">
        <v>1.2</v>
      </c>
      <c r="H763" t="n">
        <v>0</v>
      </c>
      <c r="I763" t="n">
        <v>0</v>
      </c>
      <c r="J763" t="n">
        <v>0</v>
      </c>
      <c r="K763" t="n">
        <v>0</v>
      </c>
      <c r="L763" t="n">
        <v>0</v>
      </c>
      <c r="M763" t="n">
        <v>0</v>
      </c>
      <c r="N763" t="n">
        <v>0</v>
      </c>
      <c r="O763" t="n">
        <v>0</v>
      </c>
      <c r="P763" t="n">
        <v>0</v>
      </c>
      <c r="Q763" t="n">
        <v>0</v>
      </c>
      <c r="R763" s="2" t="inlineStr"/>
    </row>
    <row r="764" ht="15" customHeight="1">
      <c r="A764" t="inlineStr">
        <is>
          <t>A 45035-2022</t>
        </is>
      </c>
      <c r="B764" s="1" t="n">
        <v>44841.66430555555</v>
      </c>
      <c r="C764" s="1" t="n">
        <v>45905</v>
      </c>
      <c r="D764" t="inlineStr">
        <is>
          <t>NORRBOTTENS LÄN</t>
        </is>
      </c>
      <c r="E764" t="inlineStr">
        <is>
          <t>BODEN</t>
        </is>
      </c>
      <c r="F764" t="inlineStr">
        <is>
          <t>Sveaskog</t>
        </is>
      </c>
      <c r="G764" t="n">
        <v>2</v>
      </c>
      <c r="H764" t="n">
        <v>0</v>
      </c>
      <c r="I764" t="n">
        <v>0</v>
      </c>
      <c r="J764" t="n">
        <v>0</v>
      </c>
      <c r="K764" t="n">
        <v>0</v>
      </c>
      <c r="L764" t="n">
        <v>0</v>
      </c>
      <c r="M764" t="n">
        <v>0</v>
      </c>
      <c r="N764" t="n">
        <v>0</v>
      </c>
      <c r="O764" t="n">
        <v>0</v>
      </c>
      <c r="P764" t="n">
        <v>0</v>
      </c>
      <c r="Q764" t="n">
        <v>0</v>
      </c>
      <c r="R764" s="2" t="inlineStr"/>
    </row>
    <row r="765" ht="15" customHeight="1">
      <c r="A765" t="inlineStr">
        <is>
          <t>A 18436-2025</t>
        </is>
      </c>
      <c r="B765" s="1" t="n">
        <v>45762</v>
      </c>
      <c r="C765" s="1" t="n">
        <v>45905</v>
      </c>
      <c r="D765" t="inlineStr">
        <is>
          <t>NORRBOTTENS LÄN</t>
        </is>
      </c>
      <c r="E765" t="inlineStr">
        <is>
          <t>BODEN</t>
        </is>
      </c>
      <c r="G765" t="n">
        <v>2.2</v>
      </c>
      <c r="H765" t="n">
        <v>0</v>
      </c>
      <c r="I765" t="n">
        <v>0</v>
      </c>
      <c r="J765" t="n">
        <v>0</v>
      </c>
      <c r="K765" t="n">
        <v>0</v>
      </c>
      <c r="L765" t="n">
        <v>0</v>
      </c>
      <c r="M765" t="n">
        <v>0</v>
      </c>
      <c r="N765" t="n">
        <v>0</v>
      </c>
      <c r="O765" t="n">
        <v>0</v>
      </c>
      <c r="P765" t="n">
        <v>0</v>
      </c>
      <c r="Q765" t="n">
        <v>0</v>
      </c>
      <c r="R765" s="2" t="inlineStr"/>
    </row>
    <row r="766" ht="15" customHeight="1">
      <c r="A766" t="inlineStr">
        <is>
          <t>A 28074-2024</t>
        </is>
      </c>
      <c r="B766" s="1" t="n">
        <v>45476.58195601852</v>
      </c>
      <c r="C766" s="1" t="n">
        <v>45905</v>
      </c>
      <c r="D766" t="inlineStr">
        <is>
          <t>NORRBOTTENS LÄN</t>
        </is>
      </c>
      <c r="E766" t="inlineStr">
        <is>
          <t>BODEN</t>
        </is>
      </c>
      <c r="G766" t="n">
        <v>5.6</v>
      </c>
      <c r="H766" t="n">
        <v>0</v>
      </c>
      <c r="I766" t="n">
        <v>0</v>
      </c>
      <c r="J766" t="n">
        <v>0</v>
      </c>
      <c r="K766" t="n">
        <v>0</v>
      </c>
      <c r="L766" t="n">
        <v>0</v>
      </c>
      <c r="M766" t="n">
        <v>0</v>
      </c>
      <c r="N766" t="n">
        <v>0</v>
      </c>
      <c r="O766" t="n">
        <v>0</v>
      </c>
      <c r="P766" t="n">
        <v>0</v>
      </c>
      <c r="Q766" t="n">
        <v>0</v>
      </c>
      <c r="R766" s="2" t="inlineStr"/>
    </row>
    <row r="767" ht="15" customHeight="1">
      <c r="A767" t="inlineStr">
        <is>
          <t>A 23232-2024</t>
        </is>
      </c>
      <c r="B767" s="1" t="n">
        <v>45453</v>
      </c>
      <c r="C767" s="1" t="n">
        <v>45905</v>
      </c>
      <c r="D767" t="inlineStr">
        <is>
          <t>NORRBOTTENS LÄN</t>
        </is>
      </c>
      <c r="E767" t="inlineStr">
        <is>
          <t>BODEN</t>
        </is>
      </c>
      <c r="G767" t="n">
        <v>1.2</v>
      </c>
      <c r="H767" t="n">
        <v>0</v>
      </c>
      <c r="I767" t="n">
        <v>0</v>
      </c>
      <c r="J767" t="n">
        <v>0</v>
      </c>
      <c r="K767" t="n">
        <v>0</v>
      </c>
      <c r="L767" t="n">
        <v>0</v>
      </c>
      <c r="M767" t="n">
        <v>0</v>
      </c>
      <c r="N767" t="n">
        <v>0</v>
      </c>
      <c r="O767" t="n">
        <v>0</v>
      </c>
      <c r="P767" t="n">
        <v>0</v>
      </c>
      <c r="Q767" t="n">
        <v>0</v>
      </c>
      <c r="R767" s="2" t="inlineStr"/>
    </row>
    <row r="768" ht="15" customHeight="1">
      <c r="A768" t="inlineStr">
        <is>
          <t>A 60085-2024</t>
        </is>
      </c>
      <c r="B768" s="1" t="n">
        <v>45639</v>
      </c>
      <c r="C768" s="1" t="n">
        <v>45905</v>
      </c>
      <c r="D768" t="inlineStr">
        <is>
          <t>NORRBOTTENS LÄN</t>
        </is>
      </c>
      <c r="E768" t="inlineStr">
        <is>
          <t>BODEN</t>
        </is>
      </c>
      <c r="G768" t="n">
        <v>9.5</v>
      </c>
      <c r="H768" t="n">
        <v>0</v>
      </c>
      <c r="I768" t="n">
        <v>0</v>
      </c>
      <c r="J768" t="n">
        <v>0</v>
      </c>
      <c r="K768" t="n">
        <v>0</v>
      </c>
      <c r="L768" t="n">
        <v>0</v>
      </c>
      <c r="M768" t="n">
        <v>0</v>
      </c>
      <c r="N768" t="n">
        <v>0</v>
      </c>
      <c r="O768" t="n">
        <v>0</v>
      </c>
      <c r="P768" t="n">
        <v>0</v>
      </c>
      <c r="Q768" t="n">
        <v>0</v>
      </c>
      <c r="R768" s="2" t="inlineStr"/>
    </row>
    <row r="769" ht="15" customHeight="1">
      <c r="A769" t="inlineStr">
        <is>
          <t>A 5129-2025</t>
        </is>
      </c>
      <c r="B769" s="1" t="n">
        <v>45691.56939814815</v>
      </c>
      <c r="C769" s="1" t="n">
        <v>45905</v>
      </c>
      <c r="D769" t="inlineStr">
        <is>
          <t>NORRBOTTENS LÄN</t>
        </is>
      </c>
      <c r="E769" t="inlineStr">
        <is>
          <t>BODEN</t>
        </is>
      </c>
      <c r="G769" t="n">
        <v>2.8</v>
      </c>
      <c r="H769" t="n">
        <v>0</v>
      </c>
      <c r="I769" t="n">
        <v>0</v>
      </c>
      <c r="J769" t="n">
        <v>0</v>
      </c>
      <c r="K769" t="n">
        <v>0</v>
      </c>
      <c r="L769" t="n">
        <v>0</v>
      </c>
      <c r="M769" t="n">
        <v>0</v>
      </c>
      <c r="N769" t="n">
        <v>0</v>
      </c>
      <c r="O769" t="n">
        <v>0</v>
      </c>
      <c r="P769" t="n">
        <v>0</v>
      </c>
      <c r="Q769" t="n">
        <v>0</v>
      </c>
      <c r="R769" s="2" t="inlineStr"/>
    </row>
    <row r="770" ht="15" customHeight="1">
      <c r="A770" t="inlineStr">
        <is>
          <t>A 30105-2023</t>
        </is>
      </c>
      <c r="B770" s="1" t="n">
        <v>45099</v>
      </c>
      <c r="C770" s="1" t="n">
        <v>45905</v>
      </c>
      <c r="D770" t="inlineStr">
        <is>
          <t>NORRBOTTENS LÄN</t>
        </is>
      </c>
      <c r="E770" t="inlineStr">
        <is>
          <t>BODEN</t>
        </is>
      </c>
      <c r="G770" t="n">
        <v>2.9</v>
      </c>
      <c r="H770" t="n">
        <v>0</v>
      </c>
      <c r="I770" t="n">
        <v>0</v>
      </c>
      <c r="J770" t="n">
        <v>0</v>
      </c>
      <c r="K770" t="n">
        <v>0</v>
      </c>
      <c r="L770" t="n">
        <v>0</v>
      </c>
      <c r="M770" t="n">
        <v>0</v>
      </c>
      <c r="N770" t="n">
        <v>0</v>
      </c>
      <c r="O770" t="n">
        <v>0</v>
      </c>
      <c r="P770" t="n">
        <v>0</v>
      </c>
      <c r="Q770" t="n">
        <v>0</v>
      </c>
      <c r="R770" s="2" t="inlineStr"/>
    </row>
    <row r="771" ht="15" customHeight="1">
      <c r="A771" t="inlineStr">
        <is>
          <t>A 61588-2024</t>
        </is>
      </c>
      <c r="B771" s="1" t="n">
        <v>45646.6295949074</v>
      </c>
      <c r="C771" s="1" t="n">
        <v>45905</v>
      </c>
      <c r="D771" t="inlineStr">
        <is>
          <t>NORRBOTTENS LÄN</t>
        </is>
      </c>
      <c r="E771" t="inlineStr">
        <is>
          <t>BODEN</t>
        </is>
      </c>
      <c r="G771" t="n">
        <v>1.1</v>
      </c>
      <c r="H771" t="n">
        <v>0</v>
      </c>
      <c r="I771" t="n">
        <v>0</v>
      </c>
      <c r="J771" t="n">
        <v>0</v>
      </c>
      <c r="K771" t="n">
        <v>0</v>
      </c>
      <c r="L771" t="n">
        <v>0</v>
      </c>
      <c r="M771" t="n">
        <v>0</v>
      </c>
      <c r="N771" t="n">
        <v>0</v>
      </c>
      <c r="O771" t="n">
        <v>0</v>
      </c>
      <c r="P771" t="n">
        <v>0</v>
      </c>
      <c r="Q771" t="n">
        <v>0</v>
      </c>
      <c r="R771" s="2" t="inlineStr"/>
    </row>
    <row r="772" ht="15" customHeight="1">
      <c r="A772" t="inlineStr">
        <is>
          <t>A 15157-2025</t>
        </is>
      </c>
      <c r="B772" s="1" t="n">
        <v>45744.46895833333</v>
      </c>
      <c r="C772" s="1" t="n">
        <v>45905</v>
      </c>
      <c r="D772" t="inlineStr">
        <is>
          <t>NORRBOTTENS LÄN</t>
        </is>
      </c>
      <c r="E772" t="inlineStr">
        <is>
          <t>BODEN</t>
        </is>
      </c>
      <c r="G772" t="n">
        <v>1.3</v>
      </c>
      <c r="H772" t="n">
        <v>0</v>
      </c>
      <c r="I772" t="n">
        <v>0</v>
      </c>
      <c r="J772" t="n">
        <v>0</v>
      </c>
      <c r="K772" t="n">
        <v>0</v>
      </c>
      <c r="L772" t="n">
        <v>0</v>
      </c>
      <c r="M772" t="n">
        <v>0</v>
      </c>
      <c r="N772" t="n">
        <v>0</v>
      </c>
      <c r="O772" t="n">
        <v>0</v>
      </c>
      <c r="P772" t="n">
        <v>0</v>
      </c>
      <c r="Q772" t="n">
        <v>0</v>
      </c>
      <c r="R772" s="2" t="inlineStr"/>
    </row>
    <row r="773" ht="15" customHeight="1">
      <c r="A773" t="inlineStr">
        <is>
          <t>A 19757-2025</t>
        </is>
      </c>
      <c r="B773" s="1" t="n">
        <v>45770</v>
      </c>
      <c r="C773" s="1" t="n">
        <v>45905</v>
      </c>
      <c r="D773" t="inlineStr">
        <is>
          <t>NORRBOTTENS LÄN</t>
        </is>
      </c>
      <c r="E773" t="inlineStr">
        <is>
          <t>BODEN</t>
        </is>
      </c>
      <c r="G773" t="n">
        <v>0.4</v>
      </c>
      <c r="H773" t="n">
        <v>0</v>
      </c>
      <c r="I773" t="n">
        <v>0</v>
      </c>
      <c r="J773" t="n">
        <v>0</v>
      </c>
      <c r="K773" t="n">
        <v>0</v>
      </c>
      <c r="L773" t="n">
        <v>0</v>
      </c>
      <c r="M773" t="n">
        <v>0</v>
      </c>
      <c r="N773" t="n">
        <v>0</v>
      </c>
      <c r="O773" t="n">
        <v>0</v>
      </c>
      <c r="P773" t="n">
        <v>0</v>
      </c>
      <c r="Q773" t="n">
        <v>0</v>
      </c>
      <c r="R773" s="2" t="inlineStr"/>
    </row>
    <row r="774" ht="15" customHeight="1">
      <c r="A774" t="inlineStr">
        <is>
          <t>A 23706-2024</t>
        </is>
      </c>
      <c r="B774" s="1" t="n">
        <v>45454</v>
      </c>
      <c r="C774" s="1" t="n">
        <v>45905</v>
      </c>
      <c r="D774" t="inlineStr">
        <is>
          <t>NORRBOTTENS LÄN</t>
        </is>
      </c>
      <c r="E774" t="inlineStr">
        <is>
          <t>BODEN</t>
        </is>
      </c>
      <c r="G774" t="n">
        <v>10.9</v>
      </c>
      <c r="H774" t="n">
        <v>0</v>
      </c>
      <c r="I774" t="n">
        <v>0</v>
      </c>
      <c r="J774" t="n">
        <v>0</v>
      </c>
      <c r="K774" t="n">
        <v>0</v>
      </c>
      <c r="L774" t="n">
        <v>0</v>
      </c>
      <c r="M774" t="n">
        <v>0</v>
      </c>
      <c r="N774" t="n">
        <v>0</v>
      </c>
      <c r="O774" t="n">
        <v>0</v>
      </c>
      <c r="P774" t="n">
        <v>0</v>
      </c>
      <c r="Q774" t="n">
        <v>0</v>
      </c>
      <c r="R774" s="2" t="inlineStr"/>
    </row>
    <row r="775" ht="15" customHeight="1">
      <c r="A775" t="inlineStr">
        <is>
          <t>A 19582-2025</t>
        </is>
      </c>
      <c r="B775" s="1" t="n">
        <v>45770.56481481482</v>
      </c>
      <c r="C775" s="1" t="n">
        <v>45905</v>
      </c>
      <c r="D775" t="inlineStr">
        <is>
          <t>NORRBOTTENS LÄN</t>
        </is>
      </c>
      <c r="E775" t="inlineStr">
        <is>
          <t>BODEN</t>
        </is>
      </c>
      <c r="G775" t="n">
        <v>1.2</v>
      </c>
      <c r="H775" t="n">
        <v>0</v>
      </c>
      <c r="I775" t="n">
        <v>0</v>
      </c>
      <c r="J775" t="n">
        <v>0</v>
      </c>
      <c r="K775" t="n">
        <v>0</v>
      </c>
      <c r="L775" t="n">
        <v>0</v>
      </c>
      <c r="M775" t="n">
        <v>0</v>
      </c>
      <c r="N775" t="n">
        <v>0</v>
      </c>
      <c r="O775" t="n">
        <v>0</v>
      </c>
      <c r="P775" t="n">
        <v>0</v>
      </c>
      <c r="Q775" t="n">
        <v>0</v>
      </c>
      <c r="R775" s="2" t="inlineStr"/>
    </row>
    <row r="776" ht="15" customHeight="1">
      <c r="A776" t="inlineStr">
        <is>
          <t>A 2732-2025</t>
        </is>
      </c>
      <c r="B776" s="1" t="n">
        <v>45677.44833333333</v>
      </c>
      <c r="C776" s="1" t="n">
        <v>45905</v>
      </c>
      <c r="D776" t="inlineStr">
        <is>
          <t>NORRBOTTENS LÄN</t>
        </is>
      </c>
      <c r="E776" t="inlineStr">
        <is>
          <t>BODEN</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18569-2024</t>
        </is>
      </c>
      <c r="B777" s="1" t="n">
        <v>45425</v>
      </c>
      <c r="C777" s="1" t="n">
        <v>45905</v>
      </c>
      <c r="D777" t="inlineStr">
        <is>
          <t>NORRBOTTENS LÄN</t>
        </is>
      </c>
      <c r="E777" t="inlineStr">
        <is>
          <t>BODEN</t>
        </is>
      </c>
      <c r="G777" t="n">
        <v>6</v>
      </c>
      <c r="H777" t="n">
        <v>0</v>
      </c>
      <c r="I777" t="n">
        <v>0</v>
      </c>
      <c r="J777" t="n">
        <v>0</v>
      </c>
      <c r="K777" t="n">
        <v>0</v>
      </c>
      <c r="L777" t="n">
        <v>0</v>
      </c>
      <c r="M777" t="n">
        <v>0</v>
      </c>
      <c r="N777" t="n">
        <v>0</v>
      </c>
      <c r="O777" t="n">
        <v>0</v>
      </c>
      <c r="P777" t="n">
        <v>0</v>
      </c>
      <c r="Q777" t="n">
        <v>0</v>
      </c>
      <c r="R777" s="2" t="inlineStr"/>
    </row>
    <row r="778" ht="15" customHeight="1">
      <c r="A778" t="inlineStr">
        <is>
          <t>A 19968-2025</t>
        </is>
      </c>
      <c r="B778" s="1" t="n">
        <v>45771.68158564815</v>
      </c>
      <c r="C778" s="1" t="n">
        <v>45905</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33034-2023</t>
        </is>
      </c>
      <c r="B779" s="1" t="n">
        <v>45125.95043981481</v>
      </c>
      <c r="C779" s="1" t="n">
        <v>45905</v>
      </c>
      <c r="D779" t="inlineStr">
        <is>
          <t>NORRBOTTENS LÄN</t>
        </is>
      </c>
      <c r="E779" t="inlineStr">
        <is>
          <t>BODEN</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56581-2024</t>
        </is>
      </c>
      <c r="B780" s="1" t="n">
        <v>45625</v>
      </c>
      <c r="C780" s="1" t="n">
        <v>45905</v>
      </c>
      <c r="D780" t="inlineStr">
        <is>
          <t>NORRBOTTENS LÄN</t>
        </is>
      </c>
      <c r="E780" t="inlineStr">
        <is>
          <t>BODEN</t>
        </is>
      </c>
      <c r="G780" t="n">
        <v>10.7</v>
      </c>
      <c r="H780" t="n">
        <v>0</v>
      </c>
      <c r="I780" t="n">
        <v>0</v>
      </c>
      <c r="J780" t="n">
        <v>0</v>
      </c>
      <c r="K780" t="n">
        <v>0</v>
      </c>
      <c r="L780" t="n">
        <v>0</v>
      </c>
      <c r="M780" t="n">
        <v>0</v>
      </c>
      <c r="N780" t="n">
        <v>0</v>
      </c>
      <c r="O780" t="n">
        <v>0</v>
      </c>
      <c r="P780" t="n">
        <v>0</v>
      </c>
      <c r="Q780" t="n">
        <v>0</v>
      </c>
      <c r="R780" s="2" t="inlineStr"/>
    </row>
    <row r="781" ht="15" customHeight="1">
      <c r="A781" t="inlineStr">
        <is>
          <t>A 62140-2024</t>
        </is>
      </c>
      <c r="B781" s="1" t="n">
        <v>45646</v>
      </c>
      <c r="C781" s="1" t="n">
        <v>45905</v>
      </c>
      <c r="D781" t="inlineStr">
        <is>
          <t>NORRBOTTENS LÄN</t>
        </is>
      </c>
      <c r="E781" t="inlineStr">
        <is>
          <t>BODEN</t>
        </is>
      </c>
      <c r="G781" t="n">
        <v>0.4</v>
      </c>
      <c r="H781" t="n">
        <v>0</v>
      </c>
      <c r="I781" t="n">
        <v>0</v>
      </c>
      <c r="J781" t="n">
        <v>0</v>
      </c>
      <c r="K781" t="n">
        <v>0</v>
      </c>
      <c r="L781" t="n">
        <v>0</v>
      </c>
      <c r="M781" t="n">
        <v>0</v>
      </c>
      <c r="N781" t="n">
        <v>0</v>
      </c>
      <c r="O781" t="n">
        <v>0</v>
      </c>
      <c r="P781" t="n">
        <v>0</v>
      </c>
      <c r="Q781" t="n">
        <v>0</v>
      </c>
      <c r="R781" s="2" t="inlineStr"/>
    </row>
    <row r="782" ht="15" customHeight="1">
      <c r="A782" t="inlineStr">
        <is>
          <t>A 19082-2025</t>
        </is>
      </c>
      <c r="B782" s="1" t="n">
        <v>45766</v>
      </c>
      <c r="C782" s="1" t="n">
        <v>45905</v>
      </c>
      <c r="D782" t="inlineStr">
        <is>
          <t>NORRBOTTENS LÄN</t>
        </is>
      </c>
      <c r="E782" t="inlineStr">
        <is>
          <t>BODEN</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61756-2024</t>
        </is>
      </c>
      <c r="B783" s="1" t="n">
        <v>45649.40401620371</v>
      </c>
      <c r="C783" s="1" t="n">
        <v>45905</v>
      </c>
      <c r="D783" t="inlineStr">
        <is>
          <t>NORRBOTTENS LÄN</t>
        </is>
      </c>
      <c r="E783" t="inlineStr">
        <is>
          <t>BODEN</t>
        </is>
      </c>
      <c r="G783" t="n">
        <v>2</v>
      </c>
      <c r="H783" t="n">
        <v>0</v>
      </c>
      <c r="I783" t="n">
        <v>0</v>
      </c>
      <c r="J783" t="n">
        <v>0</v>
      </c>
      <c r="K783" t="n">
        <v>0</v>
      </c>
      <c r="L783" t="n">
        <v>0</v>
      </c>
      <c r="M783" t="n">
        <v>0</v>
      </c>
      <c r="N783" t="n">
        <v>0</v>
      </c>
      <c r="O783" t="n">
        <v>0</v>
      </c>
      <c r="P783" t="n">
        <v>0</v>
      </c>
      <c r="Q783" t="n">
        <v>0</v>
      </c>
      <c r="R783" s="2" t="inlineStr"/>
    </row>
    <row r="784" ht="15" customHeight="1">
      <c r="A784" t="inlineStr">
        <is>
          <t>A 61771-2024</t>
        </is>
      </c>
      <c r="B784" s="1" t="n">
        <v>45649.45635416666</v>
      </c>
      <c r="C784" s="1" t="n">
        <v>45905</v>
      </c>
      <c r="D784" t="inlineStr">
        <is>
          <t>NORRBOTTENS LÄN</t>
        </is>
      </c>
      <c r="E784" t="inlineStr">
        <is>
          <t>BODEN</t>
        </is>
      </c>
      <c r="G784" t="n">
        <v>1.8</v>
      </c>
      <c r="H784" t="n">
        <v>0</v>
      </c>
      <c r="I784" t="n">
        <v>0</v>
      </c>
      <c r="J784" t="n">
        <v>0</v>
      </c>
      <c r="K784" t="n">
        <v>0</v>
      </c>
      <c r="L784" t="n">
        <v>0</v>
      </c>
      <c r="M784" t="n">
        <v>0</v>
      </c>
      <c r="N784" t="n">
        <v>0</v>
      </c>
      <c r="O784" t="n">
        <v>0</v>
      </c>
      <c r="P784" t="n">
        <v>0</v>
      </c>
      <c r="Q784" t="n">
        <v>0</v>
      </c>
      <c r="R784" s="2" t="inlineStr"/>
    </row>
    <row r="785" ht="15" customHeight="1">
      <c r="A785" t="inlineStr">
        <is>
          <t>A 61772-2024</t>
        </is>
      </c>
      <c r="B785" s="1" t="n">
        <v>45649</v>
      </c>
      <c r="C785" s="1" t="n">
        <v>45905</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5451-2025</t>
        </is>
      </c>
      <c r="B786" s="1" t="n">
        <v>45692.91950231481</v>
      </c>
      <c r="C786" s="1" t="n">
        <v>45905</v>
      </c>
      <c r="D786" t="inlineStr">
        <is>
          <t>NORRBOTTENS LÄN</t>
        </is>
      </c>
      <c r="E786" t="inlineStr">
        <is>
          <t>BODEN</t>
        </is>
      </c>
      <c r="G786" t="n">
        <v>4.1</v>
      </c>
      <c r="H786" t="n">
        <v>0</v>
      </c>
      <c r="I786" t="n">
        <v>0</v>
      </c>
      <c r="J786" t="n">
        <v>0</v>
      </c>
      <c r="K786" t="n">
        <v>0</v>
      </c>
      <c r="L786" t="n">
        <v>0</v>
      </c>
      <c r="M786" t="n">
        <v>0</v>
      </c>
      <c r="N786" t="n">
        <v>0</v>
      </c>
      <c r="O786" t="n">
        <v>0</v>
      </c>
      <c r="P786" t="n">
        <v>0</v>
      </c>
      <c r="Q786" t="n">
        <v>0</v>
      </c>
      <c r="R786" s="2" t="inlineStr"/>
    </row>
    <row r="787" ht="15" customHeight="1">
      <c r="A787" t="inlineStr">
        <is>
          <t>A 58504-2024</t>
        </is>
      </c>
      <c r="B787" s="1" t="n">
        <v>45635.41479166667</v>
      </c>
      <c r="C787" s="1" t="n">
        <v>45905</v>
      </c>
      <c r="D787" t="inlineStr">
        <is>
          <t>NORRBOTTENS LÄN</t>
        </is>
      </c>
      <c r="E787" t="inlineStr">
        <is>
          <t>BODEN</t>
        </is>
      </c>
      <c r="G787" t="n">
        <v>2.8</v>
      </c>
      <c r="H787" t="n">
        <v>0</v>
      </c>
      <c r="I787" t="n">
        <v>0</v>
      </c>
      <c r="J787" t="n">
        <v>0</v>
      </c>
      <c r="K787" t="n">
        <v>0</v>
      </c>
      <c r="L787" t="n">
        <v>0</v>
      </c>
      <c r="M787" t="n">
        <v>0</v>
      </c>
      <c r="N787" t="n">
        <v>0</v>
      </c>
      <c r="O787" t="n">
        <v>0</v>
      </c>
      <c r="P787" t="n">
        <v>0</v>
      </c>
      <c r="Q787" t="n">
        <v>0</v>
      </c>
      <c r="R787" s="2" t="inlineStr"/>
    </row>
    <row r="788" ht="15" customHeight="1">
      <c r="A788" t="inlineStr">
        <is>
          <t>A 68514-2021</t>
        </is>
      </c>
      <c r="B788" s="1" t="n">
        <v>44529</v>
      </c>
      <c r="C788" s="1" t="n">
        <v>45905</v>
      </c>
      <c r="D788" t="inlineStr">
        <is>
          <t>NORRBOTTENS LÄN</t>
        </is>
      </c>
      <c r="E788" t="inlineStr">
        <is>
          <t>BODEN</t>
        </is>
      </c>
      <c r="G788" t="n">
        <v>6.2</v>
      </c>
      <c r="H788" t="n">
        <v>0</v>
      </c>
      <c r="I788" t="n">
        <v>0</v>
      </c>
      <c r="J788" t="n">
        <v>0</v>
      </c>
      <c r="K788" t="n">
        <v>0</v>
      </c>
      <c r="L788" t="n">
        <v>0</v>
      </c>
      <c r="M788" t="n">
        <v>0</v>
      </c>
      <c r="N788" t="n">
        <v>0</v>
      </c>
      <c r="O788" t="n">
        <v>0</v>
      </c>
      <c r="P788" t="n">
        <v>0</v>
      </c>
      <c r="Q788" t="n">
        <v>0</v>
      </c>
      <c r="R788" s="2" t="inlineStr"/>
    </row>
    <row r="789" ht="15" customHeight="1">
      <c r="A789" t="inlineStr">
        <is>
          <t>A 28357-2023</t>
        </is>
      </c>
      <c r="B789" s="1" t="n">
        <v>45099.9296412037</v>
      </c>
      <c r="C789" s="1" t="n">
        <v>45905</v>
      </c>
      <c r="D789" t="inlineStr">
        <is>
          <t>NORRBOTTENS LÄN</t>
        </is>
      </c>
      <c r="E789" t="inlineStr">
        <is>
          <t>BODEN</t>
        </is>
      </c>
      <c r="G789" t="n">
        <v>4.5</v>
      </c>
      <c r="H789" t="n">
        <v>0</v>
      </c>
      <c r="I789" t="n">
        <v>0</v>
      </c>
      <c r="J789" t="n">
        <v>0</v>
      </c>
      <c r="K789" t="n">
        <v>0</v>
      </c>
      <c r="L789" t="n">
        <v>0</v>
      </c>
      <c r="M789" t="n">
        <v>0</v>
      </c>
      <c r="N789" t="n">
        <v>0</v>
      </c>
      <c r="O789" t="n">
        <v>0</v>
      </c>
      <c r="P789" t="n">
        <v>0</v>
      </c>
      <c r="Q789" t="n">
        <v>0</v>
      </c>
      <c r="R789" s="2" t="inlineStr"/>
    </row>
    <row r="790" ht="15" customHeight="1">
      <c r="A790" t="inlineStr">
        <is>
          <t>A 15017-2022</t>
        </is>
      </c>
      <c r="B790" s="1" t="n">
        <v>44657</v>
      </c>
      <c r="C790" s="1" t="n">
        <v>45905</v>
      </c>
      <c r="D790" t="inlineStr">
        <is>
          <t>NORRBOTTENS LÄN</t>
        </is>
      </c>
      <c r="E790" t="inlineStr">
        <is>
          <t>BODEN</t>
        </is>
      </c>
      <c r="G790" t="n">
        <v>3.7</v>
      </c>
      <c r="H790" t="n">
        <v>0</v>
      </c>
      <c r="I790" t="n">
        <v>0</v>
      </c>
      <c r="J790" t="n">
        <v>0</v>
      </c>
      <c r="K790" t="n">
        <v>0</v>
      </c>
      <c r="L790" t="n">
        <v>0</v>
      </c>
      <c r="M790" t="n">
        <v>0</v>
      </c>
      <c r="N790" t="n">
        <v>0</v>
      </c>
      <c r="O790" t="n">
        <v>0</v>
      </c>
      <c r="P790" t="n">
        <v>0</v>
      </c>
      <c r="Q790" t="n">
        <v>0</v>
      </c>
      <c r="R790" s="2" t="inlineStr"/>
    </row>
    <row r="791" ht="15" customHeight="1">
      <c r="A791" t="inlineStr">
        <is>
          <t>A 61487-2023</t>
        </is>
      </c>
      <c r="B791" s="1" t="n">
        <v>45264</v>
      </c>
      <c r="C791" s="1" t="n">
        <v>45905</v>
      </c>
      <c r="D791" t="inlineStr">
        <is>
          <t>NORRBOTTENS LÄN</t>
        </is>
      </c>
      <c r="E791" t="inlineStr">
        <is>
          <t>BODEN</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23131-2021</t>
        </is>
      </c>
      <c r="B792" s="1" t="n">
        <v>44330</v>
      </c>
      <c r="C792" s="1" t="n">
        <v>45905</v>
      </c>
      <c r="D792" t="inlineStr">
        <is>
          <t>NORRBOTTENS LÄN</t>
        </is>
      </c>
      <c r="E792" t="inlineStr">
        <is>
          <t>BODEN</t>
        </is>
      </c>
      <c r="G792" t="n">
        <v>15.8</v>
      </c>
      <c r="H792" t="n">
        <v>0</v>
      </c>
      <c r="I792" t="n">
        <v>0</v>
      </c>
      <c r="J792" t="n">
        <v>0</v>
      </c>
      <c r="K792" t="n">
        <v>0</v>
      </c>
      <c r="L792" t="n">
        <v>0</v>
      </c>
      <c r="M792" t="n">
        <v>0</v>
      </c>
      <c r="N792" t="n">
        <v>0</v>
      </c>
      <c r="O792" t="n">
        <v>0</v>
      </c>
      <c r="P792" t="n">
        <v>0</v>
      </c>
      <c r="Q792" t="n">
        <v>0</v>
      </c>
      <c r="R792" s="2" t="inlineStr"/>
    </row>
    <row r="793" ht="15" customHeight="1">
      <c r="A793" t="inlineStr">
        <is>
          <t>A 8028-2024</t>
        </is>
      </c>
      <c r="B793" s="1" t="n">
        <v>45350</v>
      </c>
      <c r="C793" s="1" t="n">
        <v>45905</v>
      </c>
      <c r="D793" t="inlineStr">
        <is>
          <t>NORRBOTTENS LÄN</t>
        </is>
      </c>
      <c r="E793" t="inlineStr">
        <is>
          <t>BODEN</t>
        </is>
      </c>
      <c r="G793" t="n">
        <v>1.3</v>
      </c>
      <c r="H793" t="n">
        <v>0</v>
      </c>
      <c r="I793" t="n">
        <v>0</v>
      </c>
      <c r="J793" t="n">
        <v>0</v>
      </c>
      <c r="K793" t="n">
        <v>0</v>
      </c>
      <c r="L793" t="n">
        <v>0</v>
      </c>
      <c r="M793" t="n">
        <v>0</v>
      </c>
      <c r="N793" t="n">
        <v>0</v>
      </c>
      <c r="O793" t="n">
        <v>0</v>
      </c>
      <c r="P793" t="n">
        <v>0</v>
      </c>
      <c r="Q793" t="n">
        <v>0</v>
      </c>
      <c r="R793" s="2" t="inlineStr"/>
    </row>
    <row r="794" ht="15" customHeight="1">
      <c r="A794" t="inlineStr">
        <is>
          <t>A 8016-2025</t>
        </is>
      </c>
      <c r="B794" s="1" t="n">
        <v>45707.5637037037</v>
      </c>
      <c r="C794" s="1" t="n">
        <v>45905</v>
      </c>
      <c r="D794" t="inlineStr">
        <is>
          <t>NORRBOTTENS LÄN</t>
        </is>
      </c>
      <c r="E794" t="inlineStr">
        <is>
          <t>BODEN</t>
        </is>
      </c>
      <c r="G794" t="n">
        <v>6.2</v>
      </c>
      <c r="H794" t="n">
        <v>0</v>
      </c>
      <c r="I794" t="n">
        <v>0</v>
      </c>
      <c r="J794" t="n">
        <v>0</v>
      </c>
      <c r="K794" t="n">
        <v>0</v>
      </c>
      <c r="L794" t="n">
        <v>0</v>
      </c>
      <c r="M794" t="n">
        <v>0</v>
      </c>
      <c r="N794" t="n">
        <v>0</v>
      </c>
      <c r="O794" t="n">
        <v>0</v>
      </c>
      <c r="P794" t="n">
        <v>0</v>
      </c>
      <c r="Q794" t="n">
        <v>0</v>
      </c>
      <c r="R794" s="2" t="inlineStr"/>
    </row>
    <row r="795" ht="15" customHeight="1">
      <c r="A795" t="inlineStr">
        <is>
          <t>A 12562-2024</t>
        </is>
      </c>
      <c r="B795" s="1" t="n">
        <v>45379</v>
      </c>
      <c r="C795" s="1" t="n">
        <v>45905</v>
      </c>
      <c r="D795" t="inlineStr">
        <is>
          <t>NORRBOTTENS LÄN</t>
        </is>
      </c>
      <c r="E795" t="inlineStr">
        <is>
          <t>BODEN</t>
        </is>
      </c>
      <c r="G795" t="n">
        <v>3.4</v>
      </c>
      <c r="H795" t="n">
        <v>0</v>
      </c>
      <c r="I795" t="n">
        <v>0</v>
      </c>
      <c r="J795" t="n">
        <v>0</v>
      </c>
      <c r="K795" t="n">
        <v>0</v>
      </c>
      <c r="L795" t="n">
        <v>0</v>
      </c>
      <c r="M795" t="n">
        <v>0</v>
      </c>
      <c r="N795" t="n">
        <v>0</v>
      </c>
      <c r="O795" t="n">
        <v>0</v>
      </c>
      <c r="P795" t="n">
        <v>0</v>
      </c>
      <c r="Q795" t="n">
        <v>0</v>
      </c>
      <c r="R795" s="2" t="inlineStr"/>
    </row>
    <row r="796" ht="15" customHeight="1">
      <c r="A796" t="inlineStr">
        <is>
          <t>A 57873-2021</t>
        </is>
      </c>
      <c r="B796" s="1" t="n">
        <v>44484</v>
      </c>
      <c r="C796" s="1" t="n">
        <v>45905</v>
      </c>
      <c r="D796" t="inlineStr">
        <is>
          <t>NORRBOTTENS LÄN</t>
        </is>
      </c>
      <c r="E796" t="inlineStr">
        <is>
          <t>BODEN</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57895-2021</t>
        </is>
      </c>
      <c r="B797" s="1" t="n">
        <v>44486.60745370371</v>
      </c>
      <c r="C797" s="1" t="n">
        <v>45905</v>
      </c>
      <c r="D797" t="inlineStr">
        <is>
          <t>NORRBOTTENS LÄN</t>
        </is>
      </c>
      <c r="E797" t="inlineStr">
        <is>
          <t>BODEN</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61770-2024</t>
        </is>
      </c>
      <c r="B798" s="1" t="n">
        <v>45649.45567129629</v>
      </c>
      <c r="C798" s="1" t="n">
        <v>45905</v>
      </c>
      <c r="D798" t="inlineStr">
        <is>
          <t>NORRBOTTENS LÄN</t>
        </is>
      </c>
      <c r="E798" t="inlineStr">
        <is>
          <t>BODEN</t>
        </is>
      </c>
      <c r="G798" t="n">
        <v>1</v>
      </c>
      <c r="H798" t="n">
        <v>0</v>
      </c>
      <c r="I798" t="n">
        <v>0</v>
      </c>
      <c r="J798" t="n">
        <v>0</v>
      </c>
      <c r="K798" t="n">
        <v>0</v>
      </c>
      <c r="L798" t="n">
        <v>0</v>
      </c>
      <c r="M798" t="n">
        <v>0</v>
      </c>
      <c r="N798" t="n">
        <v>0</v>
      </c>
      <c r="O798" t="n">
        <v>0</v>
      </c>
      <c r="P798" t="n">
        <v>0</v>
      </c>
      <c r="Q798" t="n">
        <v>0</v>
      </c>
      <c r="R798" s="2" t="inlineStr"/>
    </row>
    <row r="799" ht="15" customHeight="1">
      <c r="A799" t="inlineStr">
        <is>
          <t>A 48129-2023</t>
        </is>
      </c>
      <c r="B799" s="1" t="n">
        <v>45205.37278935185</v>
      </c>
      <c r="C799" s="1" t="n">
        <v>45905</v>
      </c>
      <c r="D799" t="inlineStr">
        <is>
          <t>NORRBOTTENS LÄN</t>
        </is>
      </c>
      <c r="E799" t="inlineStr">
        <is>
          <t>BODEN</t>
        </is>
      </c>
      <c r="G799" t="n">
        <v>7.1</v>
      </c>
      <c r="H799" t="n">
        <v>0</v>
      </c>
      <c r="I799" t="n">
        <v>0</v>
      </c>
      <c r="J799" t="n">
        <v>0</v>
      </c>
      <c r="K799" t="n">
        <v>0</v>
      </c>
      <c r="L799" t="n">
        <v>0</v>
      </c>
      <c r="M799" t="n">
        <v>0</v>
      </c>
      <c r="N799" t="n">
        <v>0</v>
      </c>
      <c r="O799" t="n">
        <v>0</v>
      </c>
      <c r="P799" t="n">
        <v>0</v>
      </c>
      <c r="Q799" t="n">
        <v>0</v>
      </c>
      <c r="R799" s="2" t="inlineStr"/>
    </row>
    <row r="800" ht="15" customHeight="1">
      <c r="A800" t="inlineStr">
        <is>
          <t>A 49729-2024</t>
        </is>
      </c>
      <c r="B800" s="1" t="n">
        <v>45596</v>
      </c>
      <c r="C800" s="1" t="n">
        <v>45905</v>
      </c>
      <c r="D800" t="inlineStr">
        <is>
          <t>NORRBOTTENS LÄN</t>
        </is>
      </c>
      <c r="E800" t="inlineStr">
        <is>
          <t>BODEN</t>
        </is>
      </c>
      <c r="G800" t="n">
        <v>2.7</v>
      </c>
      <c r="H800" t="n">
        <v>0</v>
      </c>
      <c r="I800" t="n">
        <v>0</v>
      </c>
      <c r="J800" t="n">
        <v>0</v>
      </c>
      <c r="K800" t="n">
        <v>0</v>
      </c>
      <c r="L800" t="n">
        <v>0</v>
      </c>
      <c r="M800" t="n">
        <v>0</v>
      </c>
      <c r="N800" t="n">
        <v>0</v>
      </c>
      <c r="O800" t="n">
        <v>0</v>
      </c>
      <c r="P800" t="n">
        <v>0</v>
      </c>
      <c r="Q800" t="n">
        <v>0</v>
      </c>
      <c r="R800" s="2" t="inlineStr"/>
    </row>
    <row r="801" ht="15" customHeight="1">
      <c r="A801" t="inlineStr">
        <is>
          <t>A 11158-2025</t>
        </is>
      </c>
      <c r="B801" s="1" t="n">
        <v>45723</v>
      </c>
      <c r="C801" s="1" t="n">
        <v>45905</v>
      </c>
      <c r="D801" t="inlineStr">
        <is>
          <t>NORRBOTTENS LÄN</t>
        </is>
      </c>
      <c r="E801" t="inlineStr">
        <is>
          <t>BODEN</t>
        </is>
      </c>
      <c r="G801" t="n">
        <v>4.5</v>
      </c>
      <c r="H801" t="n">
        <v>0</v>
      </c>
      <c r="I801" t="n">
        <v>0</v>
      </c>
      <c r="J801" t="n">
        <v>0</v>
      </c>
      <c r="K801" t="n">
        <v>0</v>
      </c>
      <c r="L801" t="n">
        <v>0</v>
      </c>
      <c r="M801" t="n">
        <v>0</v>
      </c>
      <c r="N801" t="n">
        <v>0</v>
      </c>
      <c r="O801" t="n">
        <v>0</v>
      </c>
      <c r="P801" t="n">
        <v>0</v>
      </c>
      <c r="Q801" t="n">
        <v>0</v>
      </c>
      <c r="R801" s="2" t="inlineStr"/>
    </row>
    <row r="802" ht="15" customHeight="1">
      <c r="A802" t="inlineStr">
        <is>
          <t>A 11159-2025</t>
        </is>
      </c>
      <c r="B802" s="1" t="n">
        <v>45723</v>
      </c>
      <c r="C802" s="1" t="n">
        <v>45905</v>
      </c>
      <c r="D802" t="inlineStr">
        <is>
          <t>NORRBOTTENS LÄN</t>
        </is>
      </c>
      <c r="E802" t="inlineStr">
        <is>
          <t>BODEN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16189-2025</t>
        </is>
      </c>
      <c r="B803" s="1" t="n">
        <v>45749</v>
      </c>
      <c r="C803" s="1" t="n">
        <v>45905</v>
      </c>
      <c r="D803" t="inlineStr">
        <is>
          <t>NORRBOTTENS LÄN</t>
        </is>
      </c>
      <c r="E803" t="inlineStr">
        <is>
          <t>BODEN</t>
        </is>
      </c>
      <c r="G803" t="n">
        <v>8.1</v>
      </c>
      <c r="H803" t="n">
        <v>0</v>
      </c>
      <c r="I803" t="n">
        <v>0</v>
      </c>
      <c r="J803" t="n">
        <v>0</v>
      </c>
      <c r="K803" t="n">
        <v>0</v>
      </c>
      <c r="L803" t="n">
        <v>0</v>
      </c>
      <c r="M803" t="n">
        <v>0</v>
      </c>
      <c r="N803" t="n">
        <v>0</v>
      </c>
      <c r="O803" t="n">
        <v>0</v>
      </c>
      <c r="P803" t="n">
        <v>0</v>
      </c>
      <c r="Q803" t="n">
        <v>0</v>
      </c>
      <c r="R803" s="2" t="inlineStr"/>
    </row>
    <row r="804" ht="15" customHeight="1">
      <c r="A804" t="inlineStr">
        <is>
          <t>A 17417-2023</t>
        </is>
      </c>
      <c r="B804" s="1" t="n">
        <v>45035</v>
      </c>
      <c r="C804" s="1" t="n">
        <v>45905</v>
      </c>
      <c r="D804" t="inlineStr">
        <is>
          <t>NORRBOTTENS LÄN</t>
        </is>
      </c>
      <c r="E804" t="inlineStr">
        <is>
          <t>BODEN</t>
        </is>
      </c>
      <c r="G804" t="n">
        <v>3.8</v>
      </c>
      <c r="H804" t="n">
        <v>0</v>
      </c>
      <c r="I804" t="n">
        <v>0</v>
      </c>
      <c r="J804" t="n">
        <v>0</v>
      </c>
      <c r="K804" t="n">
        <v>0</v>
      </c>
      <c r="L804" t="n">
        <v>0</v>
      </c>
      <c r="M804" t="n">
        <v>0</v>
      </c>
      <c r="N804" t="n">
        <v>0</v>
      </c>
      <c r="O804" t="n">
        <v>0</v>
      </c>
      <c r="P804" t="n">
        <v>0</v>
      </c>
      <c r="Q804" t="n">
        <v>0</v>
      </c>
      <c r="R804" s="2" t="inlineStr"/>
    </row>
    <row r="805" ht="15" customHeight="1">
      <c r="A805" t="inlineStr">
        <is>
          <t>A 6638-2024</t>
        </is>
      </c>
      <c r="B805" s="1" t="n">
        <v>45341</v>
      </c>
      <c r="C805" s="1" t="n">
        <v>45905</v>
      </c>
      <c r="D805" t="inlineStr">
        <is>
          <t>NORRBOTTENS LÄN</t>
        </is>
      </c>
      <c r="E805" t="inlineStr">
        <is>
          <t>BODEN</t>
        </is>
      </c>
      <c r="F805" t="inlineStr">
        <is>
          <t>Övriga statliga verk och myndigheter</t>
        </is>
      </c>
      <c r="G805" t="n">
        <v>12</v>
      </c>
      <c r="H805" t="n">
        <v>0</v>
      </c>
      <c r="I805" t="n">
        <v>0</v>
      </c>
      <c r="J805" t="n">
        <v>0</v>
      </c>
      <c r="K805" t="n">
        <v>0</v>
      </c>
      <c r="L805" t="n">
        <v>0</v>
      </c>
      <c r="M805" t="n">
        <v>0</v>
      </c>
      <c r="N805" t="n">
        <v>0</v>
      </c>
      <c r="O805" t="n">
        <v>0</v>
      </c>
      <c r="P805" t="n">
        <v>0</v>
      </c>
      <c r="Q805" t="n">
        <v>0</v>
      </c>
      <c r="R805" s="2" t="inlineStr"/>
    </row>
    <row r="806" ht="15" customHeight="1">
      <c r="A806" t="inlineStr">
        <is>
          <t>A 38411-2024</t>
        </is>
      </c>
      <c r="B806" s="1" t="n">
        <v>45546.34584490741</v>
      </c>
      <c r="C806" s="1" t="n">
        <v>45905</v>
      </c>
      <c r="D806" t="inlineStr">
        <is>
          <t>NORRBOTTENS LÄN</t>
        </is>
      </c>
      <c r="E806" t="inlineStr">
        <is>
          <t>BODEN</t>
        </is>
      </c>
      <c r="F806" t="inlineStr">
        <is>
          <t>SCA</t>
        </is>
      </c>
      <c r="G806" t="n">
        <v>7.6</v>
      </c>
      <c r="H806" t="n">
        <v>0</v>
      </c>
      <c r="I806" t="n">
        <v>0</v>
      </c>
      <c r="J806" t="n">
        <v>0</v>
      </c>
      <c r="K806" t="n">
        <v>0</v>
      </c>
      <c r="L806" t="n">
        <v>0</v>
      </c>
      <c r="M806" t="n">
        <v>0</v>
      </c>
      <c r="N806" t="n">
        <v>0</v>
      </c>
      <c r="O806" t="n">
        <v>0</v>
      </c>
      <c r="P806" t="n">
        <v>0</v>
      </c>
      <c r="Q806" t="n">
        <v>0</v>
      </c>
      <c r="R806" s="2" t="inlineStr"/>
    </row>
    <row r="807" ht="15" customHeight="1">
      <c r="A807" t="inlineStr">
        <is>
          <t>A 37872-2024</t>
        </is>
      </c>
      <c r="B807" s="1" t="n">
        <v>45544.4128125</v>
      </c>
      <c r="C807" s="1" t="n">
        <v>45905</v>
      </c>
      <c r="D807" t="inlineStr">
        <is>
          <t>NORRBOTTENS LÄN</t>
        </is>
      </c>
      <c r="E807" t="inlineStr">
        <is>
          <t>BODEN</t>
        </is>
      </c>
      <c r="G807" t="n">
        <v>1.4</v>
      </c>
      <c r="H807" t="n">
        <v>0</v>
      </c>
      <c r="I807" t="n">
        <v>0</v>
      </c>
      <c r="J807" t="n">
        <v>0</v>
      </c>
      <c r="K807" t="n">
        <v>0</v>
      </c>
      <c r="L807" t="n">
        <v>0</v>
      </c>
      <c r="M807" t="n">
        <v>0</v>
      </c>
      <c r="N807" t="n">
        <v>0</v>
      </c>
      <c r="O807" t="n">
        <v>0</v>
      </c>
      <c r="P807" t="n">
        <v>0</v>
      </c>
      <c r="Q807" t="n">
        <v>0</v>
      </c>
      <c r="R807" s="2" t="inlineStr"/>
    </row>
    <row r="808" ht="15" customHeight="1">
      <c r="A808" t="inlineStr">
        <is>
          <t>A 61932-2024</t>
        </is>
      </c>
      <c r="B808" s="1" t="n">
        <v>45653.46015046296</v>
      </c>
      <c r="C808" s="1" t="n">
        <v>45905</v>
      </c>
      <c r="D808" t="inlineStr">
        <is>
          <t>NORRBOTTENS LÄN</t>
        </is>
      </c>
      <c r="E808" t="inlineStr">
        <is>
          <t>BODEN</t>
        </is>
      </c>
      <c r="G808" t="n">
        <v>0.8</v>
      </c>
      <c r="H808" t="n">
        <v>0</v>
      </c>
      <c r="I808" t="n">
        <v>0</v>
      </c>
      <c r="J808" t="n">
        <v>0</v>
      </c>
      <c r="K808" t="n">
        <v>0</v>
      </c>
      <c r="L808" t="n">
        <v>0</v>
      </c>
      <c r="M808" t="n">
        <v>0</v>
      </c>
      <c r="N808" t="n">
        <v>0</v>
      </c>
      <c r="O808" t="n">
        <v>0</v>
      </c>
      <c r="P808" t="n">
        <v>0</v>
      </c>
      <c r="Q808" t="n">
        <v>0</v>
      </c>
      <c r="R808" s="2" t="inlineStr"/>
    </row>
    <row r="809" ht="15" customHeight="1">
      <c r="A809" t="inlineStr">
        <is>
          <t>A 61955-2024</t>
        </is>
      </c>
      <c r="B809" s="1" t="n">
        <v>45653.51605324074</v>
      </c>
      <c r="C809" s="1" t="n">
        <v>45905</v>
      </c>
      <c r="D809" t="inlineStr">
        <is>
          <t>NORRBOTTENS LÄN</t>
        </is>
      </c>
      <c r="E809" t="inlineStr">
        <is>
          <t>BODEN</t>
        </is>
      </c>
      <c r="G809" t="n">
        <v>16.8</v>
      </c>
      <c r="H809" t="n">
        <v>0</v>
      </c>
      <c r="I809" t="n">
        <v>0</v>
      </c>
      <c r="J809" t="n">
        <v>0</v>
      </c>
      <c r="K809" t="n">
        <v>0</v>
      </c>
      <c r="L809" t="n">
        <v>0</v>
      </c>
      <c r="M809" t="n">
        <v>0</v>
      </c>
      <c r="N809" t="n">
        <v>0</v>
      </c>
      <c r="O809" t="n">
        <v>0</v>
      </c>
      <c r="P809" t="n">
        <v>0</v>
      </c>
      <c r="Q809" t="n">
        <v>0</v>
      </c>
      <c r="R809" s="2" t="inlineStr"/>
    </row>
    <row r="810" ht="15" customHeight="1">
      <c r="A810" t="inlineStr">
        <is>
          <t>A 41212-2023</t>
        </is>
      </c>
      <c r="B810" s="1" t="n">
        <v>45174.4406712963</v>
      </c>
      <c r="C810" s="1" t="n">
        <v>45905</v>
      </c>
      <c r="D810" t="inlineStr">
        <is>
          <t>NORRBOTTENS LÄN</t>
        </is>
      </c>
      <c r="E810" t="inlineStr">
        <is>
          <t>BODEN</t>
        </is>
      </c>
      <c r="G810" t="n">
        <v>2.4</v>
      </c>
      <c r="H810" t="n">
        <v>0</v>
      </c>
      <c r="I810" t="n">
        <v>0</v>
      </c>
      <c r="J810" t="n">
        <v>0</v>
      </c>
      <c r="K810" t="n">
        <v>0</v>
      </c>
      <c r="L810" t="n">
        <v>0</v>
      </c>
      <c r="M810" t="n">
        <v>0</v>
      </c>
      <c r="N810" t="n">
        <v>0</v>
      </c>
      <c r="O810" t="n">
        <v>0</v>
      </c>
      <c r="P810" t="n">
        <v>0</v>
      </c>
      <c r="Q810" t="n">
        <v>0</v>
      </c>
      <c r="R810" s="2" t="inlineStr"/>
    </row>
    <row r="811" ht="15" customHeight="1">
      <c r="A811" t="inlineStr">
        <is>
          <t>A 42995-2022</t>
        </is>
      </c>
      <c r="B811" s="1" t="n">
        <v>44833</v>
      </c>
      <c r="C811" s="1" t="n">
        <v>45905</v>
      </c>
      <c r="D811" t="inlineStr">
        <is>
          <t>NORRBOTTENS LÄN</t>
        </is>
      </c>
      <c r="E811" t="inlineStr">
        <is>
          <t>BODEN</t>
        </is>
      </c>
      <c r="G811" t="n">
        <v>4.2</v>
      </c>
      <c r="H811" t="n">
        <v>0</v>
      </c>
      <c r="I811" t="n">
        <v>0</v>
      </c>
      <c r="J811" t="n">
        <v>0</v>
      </c>
      <c r="K811" t="n">
        <v>0</v>
      </c>
      <c r="L811" t="n">
        <v>0</v>
      </c>
      <c r="M811" t="n">
        <v>0</v>
      </c>
      <c r="N811" t="n">
        <v>0</v>
      </c>
      <c r="O811" t="n">
        <v>0</v>
      </c>
      <c r="P811" t="n">
        <v>0</v>
      </c>
      <c r="Q811" t="n">
        <v>0</v>
      </c>
      <c r="R811" s="2" t="inlineStr"/>
    </row>
    <row r="812" ht="15" customHeight="1">
      <c r="A812" t="inlineStr">
        <is>
          <t>A 36618-2023</t>
        </is>
      </c>
      <c r="B812" s="1" t="n">
        <v>45152</v>
      </c>
      <c r="C812" s="1" t="n">
        <v>45905</v>
      </c>
      <c r="D812" t="inlineStr">
        <is>
          <t>NORRBOTTENS LÄN</t>
        </is>
      </c>
      <c r="E812" t="inlineStr">
        <is>
          <t>BODEN</t>
        </is>
      </c>
      <c r="G812" t="n">
        <v>7.1</v>
      </c>
      <c r="H812" t="n">
        <v>0</v>
      </c>
      <c r="I812" t="n">
        <v>0</v>
      </c>
      <c r="J812" t="n">
        <v>0</v>
      </c>
      <c r="K812" t="n">
        <v>0</v>
      </c>
      <c r="L812" t="n">
        <v>0</v>
      </c>
      <c r="M812" t="n">
        <v>0</v>
      </c>
      <c r="N812" t="n">
        <v>0</v>
      </c>
      <c r="O812" t="n">
        <v>0</v>
      </c>
      <c r="P812" t="n">
        <v>0</v>
      </c>
      <c r="Q812" t="n">
        <v>0</v>
      </c>
      <c r="R812" s="2" t="inlineStr"/>
    </row>
    <row r="813" ht="15" customHeight="1">
      <c r="A813" t="inlineStr">
        <is>
          <t>A 59893-2023</t>
        </is>
      </c>
      <c r="B813" s="1" t="n">
        <v>45254</v>
      </c>
      <c r="C813" s="1" t="n">
        <v>45905</v>
      </c>
      <c r="D813" t="inlineStr">
        <is>
          <t>NORRBOTTENS LÄN</t>
        </is>
      </c>
      <c r="E813" t="inlineStr">
        <is>
          <t>BODEN</t>
        </is>
      </c>
      <c r="G813" t="n">
        <v>1.6</v>
      </c>
      <c r="H813" t="n">
        <v>0</v>
      </c>
      <c r="I813" t="n">
        <v>0</v>
      </c>
      <c r="J813" t="n">
        <v>0</v>
      </c>
      <c r="K813" t="n">
        <v>0</v>
      </c>
      <c r="L813" t="n">
        <v>0</v>
      </c>
      <c r="M813" t="n">
        <v>0</v>
      </c>
      <c r="N813" t="n">
        <v>0</v>
      </c>
      <c r="O813" t="n">
        <v>0</v>
      </c>
      <c r="P813" t="n">
        <v>0</v>
      </c>
      <c r="Q813" t="n">
        <v>0</v>
      </c>
      <c r="R813" s="2" t="inlineStr"/>
    </row>
    <row r="814" ht="15" customHeight="1">
      <c r="A814" t="inlineStr">
        <is>
          <t>A 61632-2024</t>
        </is>
      </c>
      <c r="B814" s="1" t="n">
        <v>45646.6669212963</v>
      </c>
      <c r="C814" s="1" t="n">
        <v>45905</v>
      </c>
      <c r="D814" t="inlineStr">
        <is>
          <t>NORRBOTTENS LÄN</t>
        </is>
      </c>
      <c r="E814" t="inlineStr">
        <is>
          <t>BODEN</t>
        </is>
      </c>
      <c r="G814" t="n">
        <v>3</v>
      </c>
      <c r="H814" t="n">
        <v>0</v>
      </c>
      <c r="I814" t="n">
        <v>0</v>
      </c>
      <c r="J814" t="n">
        <v>0</v>
      </c>
      <c r="K814" t="n">
        <v>0</v>
      </c>
      <c r="L814" t="n">
        <v>0</v>
      </c>
      <c r="M814" t="n">
        <v>0</v>
      </c>
      <c r="N814" t="n">
        <v>0</v>
      </c>
      <c r="O814" t="n">
        <v>0</v>
      </c>
      <c r="P814" t="n">
        <v>0</v>
      </c>
      <c r="Q814" t="n">
        <v>0</v>
      </c>
      <c r="R814" s="2" t="inlineStr"/>
    </row>
    <row r="815" ht="15" customHeight="1">
      <c r="A815" t="inlineStr">
        <is>
          <t>A 1017-2023</t>
        </is>
      </c>
      <c r="B815" s="1" t="n">
        <v>44935</v>
      </c>
      <c r="C815" s="1" t="n">
        <v>45905</v>
      </c>
      <c r="D815" t="inlineStr">
        <is>
          <t>NORRBOTTENS LÄN</t>
        </is>
      </c>
      <c r="E815" t="inlineStr">
        <is>
          <t>BODEN</t>
        </is>
      </c>
      <c r="G815" t="n">
        <v>4.4</v>
      </c>
      <c r="H815" t="n">
        <v>0</v>
      </c>
      <c r="I815" t="n">
        <v>0</v>
      </c>
      <c r="J815" t="n">
        <v>0</v>
      </c>
      <c r="K815" t="n">
        <v>0</v>
      </c>
      <c r="L815" t="n">
        <v>0</v>
      </c>
      <c r="M815" t="n">
        <v>0</v>
      </c>
      <c r="N815" t="n">
        <v>0</v>
      </c>
      <c r="O815" t="n">
        <v>0</v>
      </c>
      <c r="P815" t="n">
        <v>0</v>
      </c>
      <c r="Q815" t="n">
        <v>0</v>
      </c>
      <c r="R815" s="2" t="inlineStr"/>
    </row>
    <row r="816" ht="15" customHeight="1">
      <c r="A816" t="inlineStr">
        <is>
          <t>A 10730-2024</t>
        </is>
      </c>
      <c r="B816" s="1" t="n">
        <v>45369.48284722222</v>
      </c>
      <c r="C816" s="1" t="n">
        <v>45905</v>
      </c>
      <c r="D816" t="inlineStr">
        <is>
          <t>NORRBOTTENS LÄN</t>
        </is>
      </c>
      <c r="E816" t="inlineStr">
        <is>
          <t>BODEN</t>
        </is>
      </c>
      <c r="G816" t="n">
        <v>3.4</v>
      </c>
      <c r="H816" t="n">
        <v>0</v>
      </c>
      <c r="I816" t="n">
        <v>0</v>
      </c>
      <c r="J816" t="n">
        <v>0</v>
      </c>
      <c r="K816" t="n">
        <v>0</v>
      </c>
      <c r="L816" t="n">
        <v>0</v>
      </c>
      <c r="M816" t="n">
        <v>0</v>
      </c>
      <c r="N816" t="n">
        <v>0</v>
      </c>
      <c r="O816" t="n">
        <v>0</v>
      </c>
      <c r="P816" t="n">
        <v>0</v>
      </c>
      <c r="Q816" t="n">
        <v>0</v>
      </c>
      <c r="R816" s="2" t="inlineStr"/>
    </row>
    <row r="817" ht="15" customHeight="1">
      <c r="A817" t="inlineStr">
        <is>
          <t>A 56837-2023</t>
        </is>
      </c>
      <c r="B817" s="1" t="n">
        <v>45244</v>
      </c>
      <c r="C817" s="1" t="n">
        <v>45905</v>
      </c>
      <c r="D817" t="inlineStr">
        <is>
          <t>NORRBOTTENS LÄN</t>
        </is>
      </c>
      <c r="E817" t="inlineStr">
        <is>
          <t>BODEN</t>
        </is>
      </c>
      <c r="F817" t="inlineStr">
        <is>
          <t>Övriga statliga verk och myndigheter</t>
        </is>
      </c>
      <c r="G817" t="n">
        <v>5.4</v>
      </c>
      <c r="H817" t="n">
        <v>0</v>
      </c>
      <c r="I817" t="n">
        <v>0</v>
      </c>
      <c r="J817" t="n">
        <v>0</v>
      </c>
      <c r="K817" t="n">
        <v>0</v>
      </c>
      <c r="L817" t="n">
        <v>0</v>
      </c>
      <c r="M817" t="n">
        <v>0</v>
      </c>
      <c r="N817" t="n">
        <v>0</v>
      </c>
      <c r="O817" t="n">
        <v>0</v>
      </c>
      <c r="P817" t="n">
        <v>0</v>
      </c>
      <c r="Q817" t="n">
        <v>0</v>
      </c>
      <c r="R817" s="2" t="inlineStr"/>
    </row>
    <row r="818" ht="15" customHeight="1">
      <c r="A818" t="inlineStr">
        <is>
          <t>A 58500-2024</t>
        </is>
      </c>
      <c r="B818" s="1" t="n">
        <v>45635.41246527778</v>
      </c>
      <c r="C818" s="1" t="n">
        <v>45905</v>
      </c>
      <c r="D818" t="inlineStr">
        <is>
          <t>NORRBOTTENS LÄN</t>
        </is>
      </c>
      <c r="E818" t="inlineStr">
        <is>
          <t>BODEN</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61969-2024</t>
        </is>
      </c>
      <c r="B819" s="1" t="n">
        <v>45653.59047453704</v>
      </c>
      <c r="C819" s="1" t="n">
        <v>45905</v>
      </c>
      <c r="D819" t="inlineStr">
        <is>
          <t>NORRBOTTENS LÄN</t>
        </is>
      </c>
      <c r="E819" t="inlineStr">
        <is>
          <t>BODEN</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8232-2024</t>
        </is>
      </c>
      <c r="B820" s="1" t="n">
        <v>45351</v>
      </c>
      <c r="C820" s="1" t="n">
        <v>45905</v>
      </c>
      <c r="D820" t="inlineStr">
        <is>
          <t>NORRBOTTENS LÄN</t>
        </is>
      </c>
      <c r="E820" t="inlineStr">
        <is>
          <t>BODEN</t>
        </is>
      </c>
      <c r="G820" t="n">
        <v>16.8</v>
      </c>
      <c r="H820" t="n">
        <v>0</v>
      </c>
      <c r="I820" t="n">
        <v>0</v>
      </c>
      <c r="J820" t="n">
        <v>0</v>
      </c>
      <c r="K820" t="n">
        <v>0</v>
      </c>
      <c r="L820" t="n">
        <v>0</v>
      </c>
      <c r="M820" t="n">
        <v>0</v>
      </c>
      <c r="N820" t="n">
        <v>0</v>
      </c>
      <c r="O820" t="n">
        <v>0</v>
      </c>
      <c r="P820" t="n">
        <v>0</v>
      </c>
      <c r="Q820" t="n">
        <v>0</v>
      </c>
      <c r="R820" s="2" t="inlineStr"/>
    </row>
    <row r="821">
      <c r="A821" t="inlineStr">
        <is>
          <t>A 12612-2025</t>
        </is>
      </c>
      <c r="B821" s="1" t="n">
        <v>45732</v>
      </c>
      <c r="C821" s="1" t="n">
        <v>45905</v>
      </c>
      <c r="D821" t="inlineStr">
        <is>
          <t>NORRBOTTENS LÄN</t>
        </is>
      </c>
      <c r="E821" t="inlineStr">
        <is>
          <t>BODEN</t>
        </is>
      </c>
      <c r="G821" t="n">
        <v>4.3</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2025-09-05T08:51:00Z</dcterms:created>
  <dcterms:modified xmlns:dcterms="http://purl.org/dc/terms/" xmlns:xsi="http://www.w3.org/2001/XMLSchema-instance" xsi:type="dcterms:W3CDTF">2025-09-05T08:51:01Z</dcterms:modified>
</cp:coreProperties>
</file>