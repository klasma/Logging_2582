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46252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46252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46252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5</v>
      </c>
      <c r="K9" t="n">
        <v>1</v>
      </c>
      <c r="L9" t="n">
        <v>7</v>
      </c>
      <c r="M9" t="n">
        <v>2</v>
      </c>
      <c r="N9" t="n">
        <v>0</v>
      </c>
      <c r="O9" t="n">
        <v>0</v>
      </c>
      <c r="P9" t="n">
        <v>0</v>
      </c>
      <c r="Q9" t="n">
        <v>9</v>
      </c>
      <c r="R9" t="n">
        <v>2</v>
      </c>
      <c r="S9" t="n">
        <v>12</v>
      </c>
      <c r="T9" t="n">
        <v>57</v>
      </c>
      <c r="U9" t="n">
        <v>0</v>
      </c>
      <c r="V9" s="2" t="inlineStr">
        <is>
          <t>Garnlav
Knärot
Blå taggsvamp
Dropptaggsvamp
Orange taggsvamp
Skarp dropptaggsvamp
Tallriska
Tallticka
Talltita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46252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46252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46252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46252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46252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46252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46252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46252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46252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46252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46252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46252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31030-2025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45832</v>
      </c>
      <c r="E31" s="1" t="n">
        <v>46252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11.1</v>
      </c>
      <c r="J31" t="n">
        <v>3</v>
      </c>
      <c r="K31" t="n">
        <v>2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9</v>
      </c>
      <c r="U31" t="n">
        <v>9</v>
      </c>
      <c r="V31" s="2" t="inlineStr">
        <is>
          <t>Knärot
Lunglav
Spindelblomster
Stuplav
Fläcknycklar</t>
        </is>
      </c>
      <c r="W31">
        <f>HYPERLINK("https://klasma.github.io/Logging_2582/artfynd/A 31030-2025 artfynd.xlsx", "A 31030-2025")</f>
        <v/>
      </c>
      <c r="X31">
        <f>HYPERLINK("https://klasma.github.io/Logging_2582/kartor/A 31030-2025 karta.png", "A 31030-2025")</f>
        <v/>
      </c>
      <c r="Y31">
        <f>HYPERLINK("https://klasma.github.io/Logging_2582/kartor_geotiff/A 31030-2025 georefererad karta.tif", "A 31030-2025")</f>
        <v/>
      </c>
      <c r="Z31">
        <f>HYPERLINK("https://klasma.github.io/Logging_2582/knärot/A 31030-2025 karta knärot.png", "A 31030-2025")</f>
        <v/>
      </c>
      <c r="AA31">
        <f>HYPERLINK("https://klasma.github.io/Logging_2582/klagomål/A 31030-2025 FSC-klagomål.docx", "A 31030-2025")</f>
        <v/>
      </c>
      <c r="AB31">
        <f>HYPERLINK("https://klasma.github.io/Logging_2582/klagomålsmail/A 31030-2025 FSC-klagomål mail.docx", "A 31030-2025")</f>
        <v/>
      </c>
      <c r="AC31">
        <f>HYPERLINK("https://klasma.github.io/Logging_2582/tillsyn/A 31030-2025 tillsynsbegäran.docx", "A 31030-2025")</f>
        <v/>
      </c>
      <c r="AD31">
        <f>HYPERLINK("https://klasma.github.io/Logging_2582/tillsynsmail/A 31030-2025 tillsynsbegäran mail.docx", "A 31030-2025")</f>
        <v/>
      </c>
    </row>
    <row r="32" ht="15" customHeight="1">
      <c r="A32" t="inlineStr">
        <is>
          <t>A 32309-2025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46252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13.6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6</v>
      </c>
      <c r="U32" t="n">
        <v>4</v>
      </c>
      <c r="V32" s="2" t="inlineStr">
        <is>
          <t>Doftticka
Garnlav
Lunglav
Bårdlav
Stuplav</t>
        </is>
      </c>
      <c r="W32">
        <f>HYPERLINK("https://klasma.github.io/Logging_2582/artfynd/A 32309-2025 artfynd.xlsx", "A 32309-2025")</f>
        <v/>
      </c>
      <c r="X32">
        <f>HYPERLINK("https://klasma.github.io/Logging_2582/kartor/A 32309-2025 karta.png", "A 32309-2025")</f>
        <v/>
      </c>
      <c r="Y32">
        <f>HYPERLINK("https://klasma.github.io/Logging_2582/kartor_geotiff/A 32309-2025 georefererad karta.tif", "A 32309-2025")</f>
        <v/>
      </c>
      <c r="AA32">
        <f>HYPERLINK("https://klasma.github.io/Logging_2582/klagomål/A 32309-2025 FSC-klagomål.docx", "A 32309-2025")</f>
        <v/>
      </c>
      <c r="AB32">
        <f>HYPERLINK("https://klasma.github.io/Logging_2582/klagomålsmail/A 32309-2025 FSC-klagomål mail.docx", "A 32309-2025")</f>
        <v/>
      </c>
      <c r="AC32">
        <f>HYPERLINK("https://klasma.github.io/Logging_2582/tillsyn/A 32309-2025 tillsynsbegäran.docx", "A 32309-2025")</f>
        <v/>
      </c>
      <c r="AD32">
        <f>HYPERLINK("https://klasma.github.io/Logging_2582/tillsynsmail/A 32309-2025 tillsynsbegäran mail.docx", "A 32309-2025")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46252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46252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59358-2022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44904</v>
      </c>
      <c r="E35" s="1" t="n">
        <v>46252</v>
      </c>
      <c r="F35" t="inlineStr">
        <is>
          <t>NORRBOTTENS LÄN</t>
        </is>
      </c>
      <c r="G35" t="inlineStr">
        <is>
          <t>BODEN</t>
        </is>
      </c>
      <c r="I35" t="n">
        <v>1.5</v>
      </c>
      <c r="J35" t="n">
        <v>4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5</v>
      </c>
      <c r="V35" s="2" t="inlineStr">
        <is>
          <t>Stare
Rosenfink
Rävticka
Sångsvan
Trana</t>
        </is>
      </c>
      <c r="W35">
        <f>HYPERLINK("https://klasma.github.io/Logging_2582/artfynd/A 59358-2022 artfynd.xlsx", "A 59358-2022")</f>
        <v/>
      </c>
      <c r="X35">
        <f>HYPERLINK("https://klasma.github.io/Logging_2582/kartor/A 59358-2022 karta.png", "A 59358-2022")</f>
        <v/>
      </c>
      <c r="Y35">
        <f>HYPERLINK("https://klasma.github.io/Logging_2582/kartor_geotiff/A 59358-2022 georefererad karta.tif", "A 59358-2022")</f>
        <v/>
      </c>
      <c r="AA35">
        <f>HYPERLINK("https://klasma.github.io/Logging_2582/klagomål/A 59358-2022 FSC-klagomål.docx", "A 59358-2022")</f>
        <v/>
      </c>
      <c r="AB35">
        <f>HYPERLINK("https://klasma.github.io/Logging_2582/klagomålsmail/A 59358-2022 FSC-klagomål mail.docx", "A 59358-2022")</f>
        <v/>
      </c>
      <c r="AC35">
        <f>HYPERLINK("https://klasma.github.io/Logging_2582/tillsyn/A 59358-2022 tillsynsbegäran.docx", "A 59358-2022")</f>
        <v/>
      </c>
      <c r="AD35">
        <f>HYPERLINK("https://klasma.github.io/Logging_2582/tillsynsmail/A 59358-2022 tillsynsbegäran mail.docx", "A 59358-2022")</f>
        <v/>
      </c>
      <c r="AE35">
        <f>HYPERLINK("https://klasma.github.io/Logging_2582/fåglar/A 59358-2022 prioriterade fågelarter.docx", "A 59358-2022")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46252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31197-2026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46209</v>
      </c>
      <c r="E37" s="1" t="n">
        <v>46252</v>
      </c>
      <c r="F37" t="inlineStr">
        <is>
          <t>NORRBOTTENS LÄN</t>
        </is>
      </c>
      <c r="G37" t="inlineStr">
        <is>
          <t>BODEN</t>
        </is>
      </c>
      <c r="H37" t="inlineStr">
        <is>
          <t>Kommuner</t>
        </is>
      </c>
      <c r="I37" t="n">
        <v>2.7</v>
      </c>
      <c r="J37" t="n">
        <v>4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6</v>
      </c>
      <c r="U37" t="n">
        <v>0</v>
      </c>
      <c r="V37" s="2" t="inlineStr">
        <is>
          <t>Tornseglare
Älvstarr
Grönsiska
Svartvit flugsnappare
Vanlig groda</t>
        </is>
      </c>
      <c r="W37">
        <f>HYPERLINK("https://klasma.github.io/Logging_2582/artfynd/A 31197-2026 artfynd.xlsx", "A 31197-2026")</f>
        <v/>
      </c>
      <c r="X37">
        <f>HYPERLINK("https://klasma.github.io/Logging_2582/kartor/A 31197-2026 karta.png", "A 31197-2026")</f>
        <v/>
      </c>
      <c r="Y37">
        <f>HYPERLINK("https://klasma.github.io/Logging_2582/kartor_geotiff/A 31197-2026 georefererad karta.tif", "A 31197-2026")</f>
        <v/>
      </c>
      <c r="AA37">
        <f>HYPERLINK("https://klasma.github.io/Logging_2582/klagomål/A 31197-2026 FSC-klagomål.docx", "A 31197-2026")</f>
        <v/>
      </c>
      <c r="AB37">
        <f>HYPERLINK("https://klasma.github.io/Logging_2582/klagomålsmail/A 31197-2026 FSC-klagomål mail.docx", "A 31197-2026")</f>
        <v/>
      </c>
      <c r="AC37">
        <f>HYPERLINK("https://klasma.github.io/Logging_2582/tillsyn/A 31197-2026 tillsynsbegäran.docx", "A 31197-2026")</f>
        <v/>
      </c>
      <c r="AD37">
        <f>HYPERLINK("https://klasma.github.io/Logging_2582/tillsynsmail/A 31197-2026 tillsynsbegäran mail.docx", "A 31197-2026")</f>
        <v/>
      </c>
      <c r="AE37">
        <f>HYPERLINK("https://klasma.github.io/Logging_2582/fåglar/A 31197-2026 prioriterade fågelarter.docx", "A 31197-2026")</f>
        <v/>
      </c>
    </row>
    <row r="38" ht="15" customHeight="1">
      <c r="A38" t="inlineStr">
        <is>
          <t>A 19324-2024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46252</v>
      </c>
      <c r="F38" t="inlineStr">
        <is>
          <t>NORRBOTTENS LÄN</t>
        </is>
      </c>
      <c r="G38" t="inlineStr">
        <is>
          <t>BODEN</t>
        </is>
      </c>
      <c r="I38" t="n">
        <v>3.8</v>
      </c>
      <c r="J38" t="n">
        <v>3</v>
      </c>
      <c r="K38" t="n">
        <v>1</v>
      </c>
      <c r="L38" t="n">
        <v>0</v>
      </c>
      <c r="M38" t="n">
        <v>2</v>
      </c>
      <c r="N38" t="n">
        <v>1</v>
      </c>
      <c r="O38" t="n">
        <v>0</v>
      </c>
      <c r="P38" t="n">
        <v>0</v>
      </c>
      <c r="Q38" t="n">
        <v>3</v>
      </c>
      <c r="R38" t="n">
        <v>3</v>
      </c>
      <c r="S38" t="n">
        <v>5</v>
      </c>
      <c r="T38" t="n">
        <v>6</v>
      </c>
      <c r="U38" t="n">
        <v>5</v>
      </c>
      <c r="V38" s="2" t="inlineStr">
        <is>
          <t>Bitter taggsvamp
Knärot
Norna
Ögonpyrola
Nattviol</t>
        </is>
      </c>
      <c r="W38">
        <f>HYPERLINK("https://klasma.github.io/Logging_2582/artfynd/A 19324-2024 artfynd.xlsx", "A 19324-2024")</f>
        <v/>
      </c>
      <c r="X38">
        <f>HYPERLINK("https://klasma.github.io/Logging_2582/kartor/A 19324-2024 karta.png", "A 19324-2024")</f>
        <v/>
      </c>
      <c r="Y38">
        <f>HYPERLINK("https://klasma.github.io/Logging_2582/kartor_geotiff/A 19324-2024 georefererad karta.tif", "A 19324-2024")</f>
        <v/>
      </c>
      <c r="Z38">
        <f>HYPERLINK("https://klasma.github.io/Logging_2582/knärot/A 19324-2024 karta knärot.png", "A 19324-2024")</f>
        <v/>
      </c>
      <c r="AA38">
        <f>HYPERLINK("https://klasma.github.io/Logging_2582/klagomål/A 19324-2024 FSC-klagomål.docx", "A 19324-2024")</f>
        <v/>
      </c>
      <c r="AB38">
        <f>HYPERLINK("https://klasma.github.io/Logging_2582/klagomålsmail/A 19324-2024 FSC-klagomål mail.docx", "A 19324-2024")</f>
        <v/>
      </c>
      <c r="AC38">
        <f>HYPERLINK("https://klasma.github.io/Logging_2582/tillsyn/A 19324-2024 tillsynsbegäran.docx", "A 19324-2024")</f>
        <v/>
      </c>
      <c r="AD38">
        <f>HYPERLINK("https://klasma.github.io/Logging_2582/tillsynsmail/A 19324-2024 tillsynsbegäran mail.docx", "A 19324-2024")</f>
        <v/>
      </c>
    </row>
    <row r="39" ht="15" customHeight="1">
      <c r="A39" t="inlineStr">
        <is>
          <t>A 30513-2026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46252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10.2</v>
      </c>
      <c r="J39" t="n">
        <v>1</v>
      </c>
      <c r="K39" t="n">
        <v>1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14</v>
      </c>
      <c r="U39" t="n">
        <v>5</v>
      </c>
      <c r="V39" s="2" t="inlineStr">
        <is>
          <t>Gräddporing
Knärot
Nordtagging
Tallticka
Grönpyrola</t>
        </is>
      </c>
      <c r="W39">
        <f>HYPERLINK("https://klasma.github.io/Logging_2582/artfynd/A 30513-2026 artfynd.xlsx", "A 30513-2026")</f>
        <v/>
      </c>
      <c r="X39">
        <f>HYPERLINK("https://klasma.github.io/Logging_2582/kartor/A 30513-2026 karta.png", "A 30513-2026")</f>
        <v/>
      </c>
      <c r="Y39">
        <f>HYPERLINK("https://klasma.github.io/Logging_2582/kartor_geotiff/A 30513-2026 georefererad karta.tif", "A 30513-2026")</f>
        <v/>
      </c>
      <c r="Z39">
        <f>HYPERLINK("https://klasma.github.io/Logging_2582/knärot/A 30513-2026 karta knärot.png", "A 30513-2026")</f>
        <v/>
      </c>
      <c r="AA39">
        <f>HYPERLINK("https://klasma.github.io/Logging_2582/klagomål/A 30513-2026 FSC-klagomål.docx", "A 30513-2026")</f>
        <v/>
      </c>
      <c r="AB39">
        <f>HYPERLINK("https://klasma.github.io/Logging_2582/klagomålsmail/A 30513-2026 FSC-klagomål mail.docx", "A 30513-2026")</f>
        <v/>
      </c>
      <c r="AC39">
        <f>HYPERLINK("https://klasma.github.io/Logging_2582/tillsyn/A 30513-2026 tillsynsbegäran.docx", "A 30513-2026")</f>
        <v/>
      </c>
      <c r="AD39">
        <f>HYPERLINK("https://klasma.github.io/Logging_2582/tillsynsmail/A 30513-2026 tillsynsbegäran mail.docx", "A 30513-2026")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46252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46252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46252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46252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46252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46252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46252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46252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46252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57806-2025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45981</v>
      </c>
      <c r="E53" s="1" t="n">
        <v>46252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10.4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Dvärgbägarlav
Lunglav</t>
        </is>
      </c>
      <c r="W53">
        <f>HYPERLINK("https://klasma.github.io/Logging_2582/artfynd/A 57806-2025 artfynd.xlsx", "A 57806-2025")</f>
        <v/>
      </c>
      <c r="X53">
        <f>HYPERLINK("https://klasma.github.io/Logging_2582/kartor/A 57806-2025 karta.png", "A 57806-2025")</f>
        <v/>
      </c>
      <c r="Y53">
        <f>HYPERLINK("https://klasma.github.io/Logging_2582/kartor_geotiff/A 57806-2025 georefererad karta.tif", "A 57806-2025")</f>
        <v/>
      </c>
      <c r="AA53">
        <f>HYPERLINK("https://klasma.github.io/Logging_2582/klagomål/A 57806-2025 FSC-klagomål.docx", "A 57806-2025")</f>
        <v/>
      </c>
      <c r="AB53">
        <f>HYPERLINK("https://klasma.github.io/Logging_2582/klagomålsmail/A 57806-2025 FSC-klagomål mail.docx", "A 57806-2025")</f>
        <v/>
      </c>
      <c r="AC53">
        <f>HYPERLINK("https://klasma.github.io/Logging_2582/tillsyn/A 57806-2025 tillsynsbegäran.docx", "A 57806-2025")</f>
        <v/>
      </c>
      <c r="AD53">
        <f>HYPERLINK("https://klasma.github.io/Logging_2582/tillsynsmail/A 57806-2025 tillsynsbegäran mail.docx", "A 57806-2025")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26040-2026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46252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32.6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Doftticka
Lunglav
Bårdlav</t>
        </is>
      </c>
      <c r="W55">
        <f>HYPERLINK("https://klasma.github.io/Logging_2582/artfynd/A 26040-2026 artfynd.xlsx", "A 26040-2026")</f>
        <v/>
      </c>
      <c r="X55">
        <f>HYPERLINK("https://klasma.github.io/Logging_2582/kartor/A 26040-2026 karta.png", "A 26040-2026")</f>
        <v/>
      </c>
      <c r="Y55">
        <f>HYPERLINK("https://klasma.github.io/Logging_2582/kartor_geotiff/A 26040-2026 georefererad karta.tif", "A 26040-2026")</f>
        <v/>
      </c>
      <c r="AA55">
        <f>HYPERLINK("https://klasma.github.io/Logging_2582/klagomål/A 26040-2026 FSC-klagomål.docx", "A 26040-2026")</f>
        <v/>
      </c>
      <c r="AB55">
        <f>HYPERLINK("https://klasma.github.io/Logging_2582/klagomålsmail/A 26040-2026 FSC-klagomål mail.docx", "A 26040-2026")</f>
        <v/>
      </c>
      <c r="AC55">
        <f>HYPERLINK("https://klasma.github.io/Logging_2582/tillsyn/A 26040-2026 tillsynsbegäran.docx", "A 26040-2026")</f>
        <v/>
      </c>
      <c r="AD55">
        <f>HYPERLINK("https://klasma.github.io/Logging_2582/tillsynsmail/A 26040-2026 tillsynsbegäran mail.docx", "A 26040-2026")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46252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t="n">
        <v>14</v>
      </c>
      <c r="V56" s="2" t="inlineStr">
        <is>
          <t>Garnlav
Tretåig hackspett
Spillkråka</t>
        </is>
      </c>
      <c r="W56">
        <f>HYPERLINK("https://klasma.github.io/Logging_2582/artfynd/A 6118-2025 artfynd.xlsx", "A 6118-2025")</f>
        <v/>
      </c>
      <c r="X56">
        <f>HYPERLINK("https://klasma.github.io/Logging_2582/kartor/A 6118-2025 karta.png", "A 6118-2025")</f>
        <v/>
      </c>
      <c r="Y56">
        <f>HYPERLINK("https://klasma.github.io/Logging_2582/kartor_geotiff/A 6118-2025 georefererad karta.tif", "A 6118-2025")</f>
        <v/>
      </c>
      <c r="AA56">
        <f>HYPERLINK("https://klasma.github.io/Logging_2582/klagomål/A 6118-2025 FSC-klagomål.docx", "A 6118-2025")</f>
        <v/>
      </c>
      <c r="AB56">
        <f>HYPERLINK("https://klasma.github.io/Logging_2582/klagomålsmail/A 6118-2025 FSC-klagomål mail.docx", "A 6118-2025")</f>
        <v/>
      </c>
      <c r="AC56">
        <f>HYPERLINK("https://klasma.github.io/Logging_2582/tillsyn/A 6118-2025 tillsynsbegäran.docx", "A 6118-2025")</f>
        <v/>
      </c>
      <c r="AD56">
        <f>HYPERLINK("https://klasma.github.io/Logging_2582/tillsynsmail/A 6118-2025 tillsynsbegäran mail.docx", "A 6118-2025")</f>
        <v/>
      </c>
      <c r="AE56">
        <f>HYPERLINK("https://klasma.github.io/Logging_2582/fåglar/A 6118-2025 prioriterade fågelarter.docx", "A 6118-2025")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46252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46252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46252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23323-2025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46252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21.8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Grönpyrola
Fläcknycklar
Nattviol</t>
        </is>
      </c>
      <c r="W60">
        <f>HYPERLINK("https://klasma.github.io/Logging_2582/artfynd/A 23323-2025 artfynd.xlsx", "A 23323-2025")</f>
        <v/>
      </c>
      <c r="X60">
        <f>HYPERLINK("https://klasma.github.io/Logging_2582/kartor/A 23323-2025 karta.png", "A 23323-2025")</f>
        <v/>
      </c>
      <c r="Y60">
        <f>HYPERLINK("https://klasma.github.io/Logging_2582/kartor_geotiff/A 23323-2025 georefererad karta.tif", "A 23323-2025")</f>
        <v/>
      </c>
      <c r="AA60">
        <f>HYPERLINK("https://klasma.github.io/Logging_2582/klagomål/A 23323-2025 FSC-klagomål.docx", "A 23323-2025")</f>
        <v/>
      </c>
      <c r="AB60">
        <f>HYPERLINK("https://klasma.github.io/Logging_2582/klagomålsmail/A 23323-2025 FSC-klagomål mail.docx", "A 23323-2025")</f>
        <v/>
      </c>
      <c r="AC60">
        <f>HYPERLINK("https://klasma.github.io/Logging_2582/tillsyn/A 23323-2025 tillsynsbegäran.docx", "A 23323-2025")</f>
        <v/>
      </c>
      <c r="AD60">
        <f>HYPERLINK("https://klasma.github.io/Logging_2582/tillsynsmail/A 23323-2025 tillsynsbegäran mail.docx", "A 23323-2025")</f>
        <v/>
      </c>
    </row>
    <row r="61" ht="15" customHeight="1">
      <c r="A61" t="inlineStr">
        <is>
          <t>A 29868-2026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46252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5.3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6</v>
      </c>
      <c r="U61" t="n">
        <v>2</v>
      </c>
      <c r="V61" s="2" t="inlineStr">
        <is>
          <t>Garnlav
Lunglav
Spindelblomster</t>
        </is>
      </c>
      <c r="W61">
        <f>HYPERLINK("https://klasma.github.io/Logging_2582/artfynd/A 29868-2026 artfynd.xlsx", "A 29868-2026")</f>
        <v/>
      </c>
      <c r="X61">
        <f>HYPERLINK("https://klasma.github.io/Logging_2582/kartor/A 29868-2026 karta.png", "A 29868-2026")</f>
        <v/>
      </c>
      <c r="Y61">
        <f>HYPERLINK("https://klasma.github.io/Logging_2582/kartor_geotiff/A 29868-2026 georefererad karta.tif", "A 29868-2026")</f>
        <v/>
      </c>
      <c r="AA61">
        <f>HYPERLINK("https://klasma.github.io/Logging_2582/klagomål/A 29868-2026 FSC-klagomål.docx", "A 29868-2026")</f>
        <v/>
      </c>
      <c r="AB61">
        <f>HYPERLINK("https://klasma.github.io/Logging_2582/klagomålsmail/A 29868-2026 FSC-klagomål mail.docx", "A 29868-2026")</f>
        <v/>
      </c>
      <c r="AC61">
        <f>HYPERLINK("https://klasma.github.io/Logging_2582/tillsyn/A 29868-2026 tillsynsbegäran.docx", "A 29868-2026")</f>
        <v/>
      </c>
      <c r="AD61">
        <f>HYPERLINK("https://klasma.github.io/Logging_2582/tillsynsmail/A 29868-2026 tillsynsbegäran mail.docx", "A 29868-2026")</f>
        <v/>
      </c>
    </row>
    <row r="62" ht="15" customHeight="1">
      <c r="A62" t="inlineStr">
        <is>
          <t>A 31230-2026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46217</v>
      </c>
      <c r="E62" s="1" t="n">
        <v>46252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Fläcknycklar
Fläcknycklar × sumpnycklar</t>
        </is>
      </c>
      <c r="W62">
        <f>HYPERLINK("https://klasma.github.io/Logging_2582/artfynd/A 31230-2026 artfynd.xlsx", "A 31230-2026")</f>
        <v/>
      </c>
      <c r="X62">
        <f>HYPERLINK("https://klasma.github.io/Logging_2582/kartor/A 31230-2026 karta.png", "A 31230-2026")</f>
        <v/>
      </c>
      <c r="Y62">
        <f>HYPERLINK("https://klasma.github.io/Logging_2582/kartor_geotiff/A 31230-2026 georefererad karta.tif", "A 31230-2026")</f>
        <v/>
      </c>
      <c r="AA62">
        <f>HYPERLINK("https://klasma.github.io/Logging_2582/klagomål/A 31230-2026 FSC-klagomål.docx", "A 31230-2026")</f>
        <v/>
      </c>
      <c r="AB62">
        <f>HYPERLINK("https://klasma.github.io/Logging_2582/klagomålsmail/A 31230-2026 FSC-klagomål mail.docx", "A 31230-2026")</f>
        <v/>
      </c>
      <c r="AC62">
        <f>HYPERLINK("https://klasma.github.io/Logging_2582/tillsyn/A 31230-2026 tillsynsbegäran.docx", "A 31230-2026")</f>
        <v/>
      </c>
      <c r="AD62">
        <f>HYPERLINK("https://klasma.github.io/Logging_2582/tillsynsmail/A 31230-2026 tillsynsbegäran mail.docx", "A 31230-2026")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46252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46252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46252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48899-2024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46252</v>
      </c>
      <c r="F68" t="inlineStr">
        <is>
          <t>NORRBOTTENS LÄN</t>
        </is>
      </c>
      <c r="G68" t="inlineStr">
        <is>
          <t>BODEN</t>
        </is>
      </c>
      <c r="H68" t="inlineStr">
        <is>
          <t>SCA</t>
        </is>
      </c>
      <c r="I68" t="n">
        <v>18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Hässlebrodd
Fläcknycklar</t>
        </is>
      </c>
      <c r="W68">
        <f>HYPERLINK("https://klasma.github.io/Logging_2582/artfynd/A 48899-2024 artfynd.xlsx", "A 48899-2024")</f>
        <v/>
      </c>
      <c r="X68">
        <f>HYPERLINK("https://klasma.github.io/Logging_2582/kartor/A 48899-2024 karta.png", "A 48899-2024")</f>
        <v/>
      </c>
      <c r="Y68">
        <f>HYPERLINK("https://klasma.github.io/Logging_2582/kartor_geotiff/A 48899-2024 georefererad karta.tif", "A 48899-2024")</f>
        <v/>
      </c>
      <c r="AA68">
        <f>HYPERLINK("https://klasma.github.io/Logging_2582/klagomål/A 48899-2024 FSC-klagomål.docx", "A 48899-2024")</f>
        <v/>
      </c>
      <c r="AB68">
        <f>HYPERLINK("https://klasma.github.io/Logging_2582/klagomålsmail/A 48899-2024 FSC-klagomål mail.docx", "A 48899-2024")</f>
        <v/>
      </c>
      <c r="AC68">
        <f>HYPERLINK("https://klasma.github.io/Logging_2582/tillsyn/A 48899-2024 tillsynsbegäran.docx", "A 48899-2024")</f>
        <v/>
      </c>
      <c r="AD68">
        <f>HYPERLINK("https://klasma.github.io/Logging_2582/tillsynsmail/A 48899-2024 tillsynsbegäran mail.docx", "A 48899-2024")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46252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28867-2025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46252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8.199999999999999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12</v>
      </c>
      <c r="U70" t="n">
        <v>12</v>
      </c>
      <c r="V70" s="2" t="inlineStr">
        <is>
          <t>Knärot
Fläcknycklar</t>
        </is>
      </c>
      <c r="W70">
        <f>HYPERLINK("https://klasma.github.io/Logging_2582/artfynd/A 28867-2025 artfynd.xlsx", "A 28867-2025")</f>
        <v/>
      </c>
      <c r="X70">
        <f>HYPERLINK("https://klasma.github.io/Logging_2582/kartor/A 28867-2025 karta.png", "A 28867-2025")</f>
        <v/>
      </c>
      <c r="Y70">
        <f>HYPERLINK("https://klasma.github.io/Logging_2582/kartor_geotiff/A 28867-2025 georefererad karta.tif", "A 28867-2025")</f>
        <v/>
      </c>
      <c r="Z70">
        <f>HYPERLINK("https://klasma.github.io/Logging_2582/knärot/A 28867-2025 karta knärot.png", "A 28867-2025")</f>
        <v/>
      </c>
      <c r="AA70">
        <f>HYPERLINK("https://klasma.github.io/Logging_2582/klagomål/A 28867-2025 FSC-klagomål.docx", "A 28867-2025")</f>
        <v/>
      </c>
      <c r="AB70">
        <f>HYPERLINK("https://klasma.github.io/Logging_2582/klagomålsmail/A 28867-2025 FSC-klagomål mail.docx", "A 28867-2025")</f>
        <v/>
      </c>
      <c r="AC70">
        <f>HYPERLINK("https://klasma.github.io/Logging_2582/tillsyn/A 28867-2025 tillsynsbegäran.docx", "A 28867-2025")</f>
        <v/>
      </c>
      <c r="AD70">
        <f>HYPERLINK("https://klasma.github.io/Logging_2582/tillsynsmail/A 28867-2025 tillsynsbegäran mail.docx", "A 28867-2025")</f>
        <v/>
      </c>
    </row>
    <row r="71" ht="15" customHeight="1">
      <c r="A71" t="inlineStr">
        <is>
          <t>A 61210-2024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46252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0</v>
      </c>
      <c r="V71" s="2" t="inlineStr">
        <is>
          <t>Skrovlig taggsvamp
Blå taggsvamp</t>
        </is>
      </c>
      <c r="W71">
        <f>HYPERLINK("https://klasma.github.io/Logging_2582/artfynd/A 61210-2024 artfynd.xlsx", "A 61210-2024")</f>
        <v/>
      </c>
      <c r="X71">
        <f>HYPERLINK("https://klasma.github.io/Logging_2582/kartor/A 61210-2024 karta.png", "A 61210-2024")</f>
        <v/>
      </c>
      <c r="Y71">
        <f>HYPERLINK("https://klasma.github.io/Logging_2582/kartor_geotiff/A 61210-2024 georefererad karta.tif", "A 61210-2024")</f>
        <v/>
      </c>
      <c r="AA71">
        <f>HYPERLINK("https://klasma.github.io/Logging_2582/klagomål/A 61210-2024 FSC-klagomål.docx", "A 61210-2024")</f>
        <v/>
      </c>
      <c r="AB71">
        <f>HYPERLINK("https://klasma.github.io/Logging_2582/klagomålsmail/A 61210-2024 FSC-klagomål mail.docx", "A 61210-2024")</f>
        <v/>
      </c>
      <c r="AC71">
        <f>HYPERLINK("https://klasma.github.io/Logging_2582/tillsyn/A 61210-2024 tillsynsbegäran.docx", "A 61210-2024")</f>
        <v/>
      </c>
      <c r="AD71">
        <f>HYPERLINK("https://klasma.github.io/Logging_2582/tillsynsmail/A 61210-2024 tillsynsbegäran mail.docx", "A 61210-2024")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46252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46252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43315-2025 artfynd.xlsx", "A 43315-2025")</f>
        <v/>
      </c>
      <c r="X73">
        <f>HYPERLINK("https://klasma.github.io/Logging_2582/kartor/A 43315-2025 karta.png", "A 43315-2025")</f>
        <v/>
      </c>
      <c r="Y73">
        <f>HYPERLINK("https://klasma.github.io/Logging_2582/kartor_geotiff/A 43315-2025 georefererad karta.tif", "A 43315-2025")</f>
        <v/>
      </c>
      <c r="AA73">
        <f>HYPERLINK("https://klasma.github.io/Logging_2582/klagomål/A 43315-2025 FSC-klagomål.docx", "A 43315-2025")</f>
        <v/>
      </c>
      <c r="AB73">
        <f>HYPERLINK("https://klasma.github.io/Logging_2582/klagomålsmail/A 43315-2025 FSC-klagomål mail.docx", "A 43315-2025")</f>
        <v/>
      </c>
      <c r="AC73">
        <f>HYPERLINK("https://klasma.github.io/Logging_2582/tillsyn/A 43315-2025 tillsynsbegäran.docx", "A 43315-2025")</f>
        <v/>
      </c>
      <c r="AD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46252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43310-2025 artfynd.xlsx", "A 43310-2025")</f>
        <v/>
      </c>
      <c r="X74">
        <f>HYPERLINK("https://klasma.github.io/Logging_2582/kartor/A 43310-2025 karta.png", "A 43310-2025")</f>
        <v/>
      </c>
      <c r="Y74">
        <f>HYPERLINK("https://klasma.github.io/Logging_2582/kartor_geotiff/A 43310-2025 georefererad karta.tif", "A 43310-2025")</f>
        <v/>
      </c>
      <c r="AA74">
        <f>HYPERLINK("https://klasma.github.io/Logging_2582/klagomål/A 43310-2025 FSC-klagomål.docx", "A 43310-2025")</f>
        <v/>
      </c>
      <c r="AB74">
        <f>HYPERLINK("https://klasma.github.io/Logging_2582/klagomålsmail/A 43310-2025 FSC-klagomål mail.docx", "A 43310-2025")</f>
        <v/>
      </c>
      <c r="AC74">
        <f>HYPERLINK("https://klasma.github.io/Logging_2582/tillsyn/A 43310-2025 tillsynsbegäran.docx", "A 43310-2025")</f>
        <v/>
      </c>
      <c r="AD74">
        <f>HYPERLINK("https://klasma.github.io/Logging_2582/tillsynsmail/A 43310-2025 tillsynsbegäran mail.docx", "A 43310-2025")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46252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Doftticka
Lunglav</t>
        </is>
      </c>
      <c r="W75">
        <f>HYPERLINK("https://klasma.github.io/Logging_2582/artfynd/A 45477-2025 artfynd.xlsx", "A 45477-2025")</f>
        <v/>
      </c>
      <c r="X75">
        <f>HYPERLINK("https://klasma.github.io/Logging_2582/kartor/A 45477-2025 karta.png", "A 45477-2025")</f>
        <v/>
      </c>
      <c r="Y75">
        <f>HYPERLINK("https://klasma.github.io/Logging_2582/kartor_geotiff/A 45477-2025 georefererad karta.tif", "A 45477-2025")</f>
        <v/>
      </c>
      <c r="AA75">
        <f>HYPERLINK("https://klasma.github.io/Logging_2582/klagomål/A 45477-2025 FSC-klagomål.docx", "A 45477-2025")</f>
        <v/>
      </c>
      <c r="AB75">
        <f>HYPERLINK("https://klasma.github.io/Logging_2582/klagomålsmail/A 45477-2025 FSC-klagomål mail.docx", "A 45477-2025")</f>
        <v/>
      </c>
      <c r="AC75">
        <f>HYPERLINK("https://klasma.github.io/Logging_2582/tillsyn/A 45477-2025 tillsynsbegäran.docx", "A 45477-2025")</f>
        <v/>
      </c>
      <c r="AD75">
        <f>HYPERLINK("https://klasma.github.io/Logging_2582/tillsynsmail/A 45477-2025 tillsynsbegäran mail.docx", "A 45477-2025")</f>
        <v/>
      </c>
    </row>
    <row r="76" ht="15" customHeight="1">
      <c r="A76" t="inlineStr">
        <is>
          <t>A 6639-2024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45341</v>
      </c>
      <c r="E76" s="1" t="n">
        <v>46252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23.8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Kungsfågel</t>
        </is>
      </c>
      <c r="W76">
        <f>HYPERLINK("https://klasma.github.io/Logging_2582/artfynd/A 6639-2024 artfynd.xlsx", "A 6639-2024")</f>
        <v/>
      </c>
      <c r="X76">
        <f>HYPERLINK("https://klasma.github.io/Logging_2582/kartor/A 6639-2024 karta.png", "A 6639-2024")</f>
        <v/>
      </c>
      <c r="Y76">
        <f>HYPERLINK("https://klasma.github.io/Logging_2582/kartor_geotiff/A 6639-2024 georefererad karta.tif", "A 6639-2024")</f>
        <v/>
      </c>
      <c r="AA76">
        <f>HYPERLINK("https://klasma.github.io/Logging_2582/klagomål/A 6639-2024 FSC-klagomål.docx", "A 6639-2024")</f>
        <v/>
      </c>
      <c r="AB76">
        <f>HYPERLINK("https://klasma.github.io/Logging_2582/klagomålsmail/A 6639-2024 FSC-klagomål mail.docx", "A 6639-2024")</f>
        <v/>
      </c>
      <c r="AC76">
        <f>HYPERLINK("https://klasma.github.io/Logging_2582/tillsyn/A 6639-2024 tillsynsbegäran.docx", "A 6639-2024")</f>
        <v/>
      </c>
      <c r="AD76">
        <f>HYPERLINK("https://klasma.github.io/Logging_2582/tillsynsmail/A 6639-2024 tillsynsbegäran mail.docx", "A 6639-2024")</f>
        <v/>
      </c>
    </row>
    <row r="77" ht="15" customHeight="1">
      <c r="A77" t="inlineStr">
        <is>
          <t>A 34737-2024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45526</v>
      </c>
      <c r="E77" s="1" t="n">
        <v>46252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1</v>
      </c>
      <c r="V77" s="2" t="inlineStr">
        <is>
          <t>Lunglav
Fläcknycklar</t>
        </is>
      </c>
      <c r="W77">
        <f>HYPERLINK("https://klasma.github.io/Logging_2582/artfynd/A 34737-2024 artfynd.xlsx", "A 34737-2024")</f>
        <v/>
      </c>
      <c r="X77">
        <f>HYPERLINK("https://klasma.github.io/Logging_2582/kartor/A 34737-2024 karta.png", "A 34737-2024")</f>
        <v/>
      </c>
      <c r="Y77">
        <f>HYPERLINK("https://klasma.github.io/Logging_2582/kartor_geotiff/A 34737-2024 georefererad karta.tif", "A 34737-2024")</f>
        <v/>
      </c>
      <c r="AA77">
        <f>HYPERLINK("https://klasma.github.io/Logging_2582/klagomål/A 34737-2024 FSC-klagomål.docx", "A 34737-2024")</f>
        <v/>
      </c>
      <c r="AB77">
        <f>HYPERLINK("https://klasma.github.io/Logging_2582/klagomålsmail/A 34737-2024 FSC-klagomål mail.docx", "A 34737-2024")</f>
        <v/>
      </c>
      <c r="AC77">
        <f>HYPERLINK("https://klasma.github.io/Logging_2582/tillsyn/A 34737-2024 tillsynsbegäran.docx", "A 34737-2024")</f>
        <v/>
      </c>
      <c r="AD77">
        <f>HYPERLINK("https://klasma.github.io/Logging_2582/tillsynsmail/A 34737-2024 tillsynsbegäran mail.docx", "A 34737-2024")</f>
        <v/>
      </c>
    </row>
    <row r="78" ht="15" customHeight="1">
      <c r="A78" t="inlineStr">
        <is>
          <t>A 32971-2024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46252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10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5</v>
      </c>
      <c r="U78" t="n">
        <v>4</v>
      </c>
      <c r="V78" s="2" t="inlineStr">
        <is>
          <t>Lunglav
Fläcknycklar</t>
        </is>
      </c>
      <c r="W78">
        <f>HYPERLINK("https://klasma.github.io/Logging_2582/artfynd/A 32971-2024 artfynd.xlsx", "A 32971-2024")</f>
        <v/>
      </c>
      <c r="X78">
        <f>HYPERLINK("https://klasma.github.io/Logging_2582/kartor/A 32971-2024 karta.png", "A 32971-2024")</f>
        <v/>
      </c>
      <c r="Y78">
        <f>HYPERLINK("https://klasma.github.io/Logging_2582/kartor_geotiff/A 32971-2024 georefererad karta.tif", "A 32971-2024")</f>
        <v/>
      </c>
      <c r="AA78">
        <f>HYPERLINK("https://klasma.github.io/Logging_2582/klagomål/A 32971-2024 FSC-klagomål.docx", "A 32971-2024")</f>
        <v/>
      </c>
      <c r="AB78">
        <f>HYPERLINK("https://klasma.github.io/Logging_2582/klagomålsmail/A 32971-2024 FSC-klagomål mail.docx", "A 32971-2024")</f>
        <v/>
      </c>
      <c r="AC78">
        <f>HYPERLINK("https://klasma.github.io/Logging_2582/tillsyn/A 32971-2024 tillsynsbegäran.docx", "A 32971-2024")</f>
        <v/>
      </c>
      <c r="AD78">
        <f>HYPERLINK("https://klasma.github.io/Logging_2582/tillsynsmail/A 32971-2024 tillsynsbegäran mail.docx", "A 32971-2024")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46252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46252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46252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46252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46252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Tretåig hackspett</t>
        </is>
      </c>
      <c r="W83">
        <f>HYPERLINK("https://klasma.github.io/Logging_2582/artfynd/A 34164-2023 artfynd.xlsx", "A 34164-2023")</f>
        <v/>
      </c>
      <c r="X83">
        <f>HYPERLINK("https://klasma.github.io/Logging_2582/kartor/A 34164-2023 karta.png", "A 34164-2023")</f>
        <v/>
      </c>
      <c r="Y83">
        <f>HYPERLINK("https://klasma.github.io/Logging_2582/kartor_geotiff/A 34164-2023 georefererad karta.tif", "A 34164-2023")</f>
        <v/>
      </c>
      <c r="AA83">
        <f>HYPERLINK("https://klasma.github.io/Logging_2582/klagomål/A 34164-2023 FSC-klagomål.docx", "A 34164-2023")</f>
        <v/>
      </c>
      <c r="AB83">
        <f>HYPERLINK("https://klasma.github.io/Logging_2582/klagomålsmail/A 34164-2023 FSC-klagomål mail.docx", "A 34164-2023")</f>
        <v/>
      </c>
      <c r="AC83">
        <f>HYPERLINK("https://klasma.github.io/Logging_2582/tillsyn/A 34164-2023 tillsynsbegäran.docx", "A 34164-2023")</f>
        <v/>
      </c>
      <c r="AD83">
        <f>HYPERLINK("https://klasma.github.io/Logging_2582/tillsynsmail/A 34164-2023 tillsynsbegäran mail.docx", "A 34164-2023")</f>
        <v/>
      </c>
      <c r="AE83">
        <f>HYPERLINK("https://klasma.github.io/Logging_2582/fåglar/A 34164-2023 prioriterade fågelarter.docx", "A 34164-2023")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46252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46252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46252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26773-2026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46252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Lunglav</t>
        </is>
      </c>
      <c r="W87">
        <f>HYPERLINK("https://klasma.github.io/Logging_2582/artfynd/A 26773-2026 artfynd.xlsx", "A 26773-2026")</f>
        <v/>
      </c>
      <c r="X87">
        <f>HYPERLINK("https://klasma.github.io/Logging_2582/kartor/A 26773-2026 karta.png", "A 26773-2026")</f>
        <v/>
      </c>
      <c r="Y87">
        <f>HYPERLINK("https://klasma.github.io/Logging_2582/kartor_geotiff/A 26773-2026 georefererad karta.tif", "A 26773-2026")</f>
        <v/>
      </c>
      <c r="Z87">
        <f>HYPERLINK("https://klasma.github.io/Logging_2582/knärot/A 26773-2026 karta knärot.png", "A 26773-2026")</f>
        <v/>
      </c>
      <c r="AA87">
        <f>HYPERLINK("https://klasma.github.io/Logging_2582/klagomål/A 26773-2026 FSC-klagomål.docx", "A 26773-2026")</f>
        <v/>
      </c>
      <c r="AB87">
        <f>HYPERLINK("https://klasma.github.io/Logging_2582/klagomålsmail/A 26773-2026 FSC-klagomål mail.docx", "A 26773-2026")</f>
        <v/>
      </c>
      <c r="AC87">
        <f>HYPERLINK("https://klasma.github.io/Logging_2582/tillsyn/A 26773-2026 tillsynsbegäran.docx", "A 26773-2026")</f>
        <v/>
      </c>
      <c r="AD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46252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Tibast</t>
        </is>
      </c>
      <c r="W88">
        <f>HYPERLINK("https://klasma.github.io/Logging_2582/artfynd/A 26721-2026 artfynd.xlsx", "A 26721-2026")</f>
        <v/>
      </c>
      <c r="X88">
        <f>HYPERLINK("https://klasma.github.io/Logging_2582/kartor/A 26721-2026 karta.png", "A 26721-2026")</f>
        <v/>
      </c>
      <c r="Y88">
        <f>HYPERLINK("https://klasma.github.io/Logging_2582/kartor_geotiff/A 26721-2026 georefererad karta.tif", "A 26721-2026")</f>
        <v/>
      </c>
      <c r="AA88">
        <f>HYPERLINK("https://klasma.github.io/Logging_2582/klagomål/A 26721-2026 FSC-klagomål.docx", "A 26721-2026")</f>
        <v/>
      </c>
      <c r="AB88">
        <f>HYPERLINK("https://klasma.github.io/Logging_2582/klagomålsmail/A 26721-2026 FSC-klagomål mail.docx", "A 26721-2026")</f>
        <v/>
      </c>
      <c r="AC88">
        <f>HYPERLINK("https://klasma.github.io/Logging_2582/tillsyn/A 26721-2026 tillsynsbegäran.docx", "A 26721-2026")</f>
        <v/>
      </c>
      <c r="AD88">
        <f>HYPERLINK("https://klasma.github.io/Logging_2582/tillsynsmail/A 26721-2026 tillsynsbegäran mail.docx", "A 26721-2026")</f>
        <v/>
      </c>
    </row>
    <row r="89" ht="15" customHeight="1">
      <c r="A89" t="inlineStr">
        <is>
          <t>A 42233-2022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44830</v>
      </c>
      <c r="E89" s="1" t="n">
        <v>46252</v>
      </c>
      <c r="F89" t="inlineStr">
        <is>
          <t>NORRBOTTENS LÄN</t>
        </is>
      </c>
      <c r="G89" t="inlineStr">
        <is>
          <t>BODEN</t>
        </is>
      </c>
      <c r="I89" t="n">
        <v>3.6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Enkelbeckasin
Svartvit flugsnappare</t>
        </is>
      </c>
      <c r="W89">
        <f>HYPERLINK("https://klasma.github.io/Logging_2582/artfynd/A 42233-2022 artfynd.xlsx", "A 42233-2022")</f>
        <v/>
      </c>
      <c r="X89">
        <f>HYPERLINK("https://klasma.github.io/Logging_2582/kartor/A 42233-2022 karta.png", "A 42233-2022")</f>
        <v/>
      </c>
      <c r="Y89">
        <f>HYPERLINK("https://klasma.github.io/Logging_2582/kartor_geotiff/A 42233-2022 georefererad karta.tif", "A 42233-2022")</f>
        <v/>
      </c>
      <c r="AA89">
        <f>HYPERLINK("https://klasma.github.io/Logging_2582/klagomål/A 42233-2022 FSC-klagomål.docx", "A 42233-2022")</f>
        <v/>
      </c>
      <c r="AB89">
        <f>HYPERLINK("https://klasma.github.io/Logging_2582/klagomålsmail/A 42233-2022 FSC-klagomål mail.docx", "A 42233-2022")</f>
        <v/>
      </c>
      <c r="AC89">
        <f>HYPERLINK("https://klasma.github.io/Logging_2582/tillsyn/A 42233-2022 tillsynsbegäran.docx", "A 42233-2022")</f>
        <v/>
      </c>
      <c r="AD89">
        <f>HYPERLINK("https://klasma.github.io/Logging_2582/tillsynsmail/A 42233-2022 tillsynsbegäran mail.docx", "A 42233-2022")</f>
        <v/>
      </c>
      <c r="AE89">
        <f>HYPERLINK("https://klasma.github.io/Logging_2582/fåglar/A 42233-2022 prioriterade fågelarter.docx", "A 42233-2022")</f>
        <v/>
      </c>
    </row>
    <row r="90" ht="15" customHeight="1">
      <c r="A90" t="inlineStr">
        <is>
          <t>A 60774-2025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46252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60774-2025 artfynd.xlsx", "A 60774-2025")</f>
        <v/>
      </c>
      <c r="X90">
        <f>HYPERLINK("https://klasma.github.io/Logging_2582/kartor/A 60774-2025 karta.png", "A 60774-2025")</f>
        <v/>
      </c>
      <c r="Y90">
        <f>HYPERLINK("https://klasma.github.io/Logging_2582/kartor_geotiff/A 60774-2025 georefererad karta.tif", "A 60774-2025")</f>
        <v/>
      </c>
      <c r="AA90">
        <f>HYPERLINK("https://klasma.github.io/Logging_2582/klagomål/A 60774-2025 FSC-klagomål.docx", "A 60774-2025")</f>
        <v/>
      </c>
      <c r="AB90">
        <f>HYPERLINK("https://klasma.github.io/Logging_2582/klagomålsmail/A 60774-2025 FSC-klagomål mail.docx", "A 60774-2025")</f>
        <v/>
      </c>
      <c r="AC90">
        <f>HYPERLINK("https://klasma.github.io/Logging_2582/tillsyn/A 60774-2025 tillsynsbegäran.docx", "A 60774-2025")</f>
        <v/>
      </c>
      <c r="AD90">
        <f>HYPERLINK("https://klasma.github.io/Logging_2582/tillsynsmail/A 60774-2025 tillsynsbegäran mail.docx", "A 60774-2025")</f>
        <v/>
      </c>
    </row>
    <row r="91" ht="15" customHeight="1">
      <c r="A91" t="inlineStr">
        <is>
          <t>A 1507-2022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46252</v>
      </c>
      <c r="F91" t="inlineStr">
        <is>
          <t>NORRBOTTENS LÄN</t>
        </is>
      </c>
      <c r="G91" t="inlineStr">
        <is>
          <t>BODEN</t>
        </is>
      </c>
      <c r="H91" t="inlineStr">
        <is>
          <t>Övriga statliga verk och myndigheter</t>
        </is>
      </c>
      <c r="I91" t="n">
        <v>15.4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Gråspett</t>
        </is>
      </c>
      <c r="W91">
        <f>HYPERLINK("https://klasma.github.io/Logging_2582/artfynd/A 1507-2022 artfynd.xlsx", "A 1507-2022")</f>
        <v/>
      </c>
      <c r="X91">
        <f>HYPERLINK("https://klasma.github.io/Logging_2582/kartor/A 1507-2022 karta.png", "A 1507-2022")</f>
        <v/>
      </c>
      <c r="Y91">
        <f>HYPERLINK("https://klasma.github.io/Logging_2582/kartor_geotiff/A 1507-2022 georefererad karta.tif", "A 1507-2022")</f>
        <v/>
      </c>
      <c r="AA91">
        <f>HYPERLINK("https://klasma.github.io/Logging_2582/klagomål/A 1507-2022 FSC-klagomål.docx", "A 1507-2022")</f>
        <v/>
      </c>
      <c r="AB91">
        <f>HYPERLINK("https://klasma.github.io/Logging_2582/klagomålsmail/A 1507-2022 FSC-klagomål mail.docx", "A 1507-2022")</f>
        <v/>
      </c>
      <c r="AC91">
        <f>HYPERLINK("https://klasma.github.io/Logging_2582/tillsyn/A 1507-2022 tillsynsbegäran.docx", "A 1507-2022")</f>
        <v/>
      </c>
      <c r="AD91">
        <f>HYPERLINK("https://klasma.github.io/Logging_2582/tillsynsmail/A 1507-2022 tillsynsbegäran mail.docx", "A 1507-2022")</f>
        <v/>
      </c>
      <c r="AE91">
        <f>HYPERLINK("https://klasma.github.io/Logging_2582/fåglar/A 1507-2022 prioriterade fågelarter.docx", "A 1507-2022")</f>
        <v/>
      </c>
    </row>
    <row r="92" ht="15" customHeight="1">
      <c r="A92" t="inlineStr">
        <is>
          <t>A 54167-2025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46252</v>
      </c>
      <c r="F92" t="inlineStr">
        <is>
          <t>NORRBOTTENS LÄN</t>
        </is>
      </c>
      <c r="G92" t="inlineStr">
        <is>
          <t>BODEN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Lunglav
Stiftgelélav</t>
        </is>
      </c>
      <c r="W92">
        <f>HYPERLINK("https://klasma.github.io/Logging_2582/artfynd/A 54167-2025 artfynd.xlsx", "A 54167-2025")</f>
        <v/>
      </c>
      <c r="X92">
        <f>HYPERLINK("https://klasma.github.io/Logging_2582/kartor/A 54167-2025 karta.png", "A 54167-2025")</f>
        <v/>
      </c>
      <c r="Y92">
        <f>HYPERLINK("https://klasma.github.io/Logging_2582/kartor_geotiff/A 54167-2025 georefererad karta.tif", "A 54167-2025")</f>
        <v/>
      </c>
      <c r="AA92">
        <f>HYPERLINK("https://klasma.github.io/Logging_2582/klagomål/A 54167-2025 FSC-klagomål.docx", "A 54167-2025")</f>
        <v/>
      </c>
      <c r="AB92">
        <f>HYPERLINK("https://klasma.github.io/Logging_2582/klagomålsmail/A 54167-2025 FSC-klagomål mail.docx", "A 54167-2025")</f>
        <v/>
      </c>
      <c r="AC92">
        <f>HYPERLINK("https://klasma.github.io/Logging_2582/tillsyn/A 54167-2025 tillsynsbegäran.docx", "A 54167-2025")</f>
        <v/>
      </c>
      <c r="AD92">
        <f>HYPERLINK("https://klasma.github.io/Logging_2582/tillsynsmail/A 54167-2025 tillsynsbegäran mail.docx", "A 54167-2025")</f>
        <v/>
      </c>
    </row>
    <row r="93" ht="15" customHeight="1">
      <c r="A93" t="inlineStr">
        <is>
          <t>A 33096-2026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46252</v>
      </c>
      <c r="F93" t="inlineStr">
        <is>
          <t>NORRBOTTENS LÄN</t>
        </is>
      </c>
      <c r="G93" t="inlineStr">
        <is>
          <t>BODEN</t>
        </is>
      </c>
      <c r="I93" t="n">
        <v>36.6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HYPERLINK("https://klasma.github.io/Logging_2582/artfynd/A 33096-2026 artfynd.xlsx", "A 33096-2026")</f>
        <v/>
      </c>
      <c r="X93">
        <f>HYPERLINK("https://klasma.github.io/Logging_2582/kartor/A 33096-2026 karta.png", "A 33096-2026")</f>
        <v/>
      </c>
      <c r="Y93">
        <f>HYPERLINK("https://klasma.github.io/Logging_2582/kartor_geotiff/A 33096-2026 georefererad karta.tif", "A 33096-2026")</f>
        <v/>
      </c>
      <c r="AA93">
        <f>HYPERLINK("https://klasma.github.io/Logging_2582/klagomål/A 33096-2026 FSC-klagomål.docx", "A 33096-2026")</f>
        <v/>
      </c>
      <c r="AB93">
        <f>HYPERLINK("https://klasma.github.io/Logging_2582/klagomålsmail/A 33096-2026 FSC-klagomål mail.docx", "A 33096-2026")</f>
        <v/>
      </c>
      <c r="AC93">
        <f>HYPERLINK("https://klasma.github.io/Logging_2582/tillsyn/A 33096-2026 tillsynsbegäran.docx", "A 33096-2026")</f>
        <v/>
      </c>
      <c r="AD93">
        <f>HYPERLINK("https://klasma.github.io/Logging_2582/tillsynsmail/A 33096-2026 tillsynsbegäran mail.docx", "A 33096-2026")</f>
        <v/>
      </c>
    </row>
    <row r="94" ht="15" customHeight="1">
      <c r="A94" t="inlineStr">
        <is>
          <t>A 22906-2023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45072</v>
      </c>
      <c r="E94" s="1" t="n">
        <v>46252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3.5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Utter</t>
        </is>
      </c>
      <c r="W94">
        <f>HYPERLINK("https://klasma.github.io/Logging_2582/artfynd/A 22906-2023 artfynd.xlsx", "A 22906-2023")</f>
        <v/>
      </c>
      <c r="X94">
        <f>HYPERLINK("https://klasma.github.io/Logging_2582/kartor/A 22906-2023 karta.png", "A 22906-2023")</f>
        <v/>
      </c>
      <c r="Y94">
        <f>HYPERLINK("https://klasma.github.io/Logging_2582/kartor_geotiff/A 22906-2023 georefererad karta.tif", "A 22906-2023")</f>
        <v/>
      </c>
      <c r="AA94">
        <f>HYPERLINK("https://klasma.github.io/Logging_2582/klagomål/A 22906-2023 FSC-klagomål.docx", "A 22906-2023")</f>
        <v/>
      </c>
      <c r="AB94">
        <f>HYPERLINK("https://klasma.github.io/Logging_2582/klagomålsmail/A 22906-2023 FSC-klagomål mail.docx", "A 22906-2023")</f>
        <v/>
      </c>
      <c r="AC94">
        <f>HYPERLINK("https://klasma.github.io/Logging_2582/tillsyn/A 22906-2023 tillsynsbegäran.docx", "A 22906-2023")</f>
        <v/>
      </c>
      <c r="AD94">
        <f>HYPERLINK("https://klasma.github.io/Logging_2582/tillsynsmail/A 22906-2023 tillsynsbegäran mail.docx", "A 22906-2023")</f>
        <v/>
      </c>
      <c r="AE94">
        <f>HYPERLINK("https://klasma.github.io/Logging_2582/fåglar/A 22906-2023 prioriterade fågelarter.docx", "A 22906-2023")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46252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46252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17292-2022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46252</v>
      </c>
      <c r="F97" t="inlineStr">
        <is>
          <t>NORRBOTTENS LÄN</t>
        </is>
      </c>
      <c r="G97" t="inlineStr">
        <is>
          <t>BODEN</t>
        </is>
      </c>
      <c r="H97" t="inlineStr">
        <is>
          <t>Kyrkan</t>
        </is>
      </c>
      <c r="I97" t="n">
        <v>0.8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Garnlav
Revlummer</t>
        </is>
      </c>
      <c r="W97">
        <f>HYPERLINK("https://klasma.github.io/Logging_2582/artfynd/A 17292-2022 artfynd.xlsx", "A 17292-2022")</f>
        <v/>
      </c>
      <c r="X97">
        <f>HYPERLINK("https://klasma.github.io/Logging_2582/kartor/A 17292-2022 karta.png", "A 17292-2022")</f>
        <v/>
      </c>
      <c r="Y97">
        <f>HYPERLINK("https://klasma.github.io/Logging_2582/kartor_geotiff/A 17292-2022 georefererad karta.tif", "A 17292-2022")</f>
        <v/>
      </c>
      <c r="AA97">
        <f>HYPERLINK("https://klasma.github.io/Logging_2582/klagomål/A 17292-2022 FSC-klagomål.docx", "A 17292-2022")</f>
        <v/>
      </c>
      <c r="AB97">
        <f>HYPERLINK("https://klasma.github.io/Logging_2582/klagomålsmail/A 17292-2022 FSC-klagomål mail.docx", "A 17292-2022")</f>
        <v/>
      </c>
      <c r="AC97">
        <f>HYPERLINK("https://klasma.github.io/Logging_2582/tillsyn/A 17292-2022 tillsynsbegäran.docx", "A 17292-2022")</f>
        <v/>
      </c>
      <c r="AD97">
        <f>HYPERLINK("https://klasma.github.io/Logging_2582/tillsynsmail/A 17292-2022 tillsynsbegäran mail.docx", "A 17292-2022")</f>
        <v/>
      </c>
    </row>
    <row r="98" ht="15" customHeight="1">
      <c r="A98" t="inlineStr">
        <is>
          <t>A 31758-2025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46252</v>
      </c>
      <c r="F98" t="inlineStr">
        <is>
          <t>NORRBOTTENS LÄN</t>
        </is>
      </c>
      <c r="G98" t="inlineStr">
        <is>
          <t>BODEN</t>
        </is>
      </c>
      <c r="I98" t="n">
        <v>19.9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Garnlav
Tretåig hackspett</t>
        </is>
      </c>
      <c r="W98">
        <f>HYPERLINK("https://klasma.github.io/Logging_2582/artfynd/A 31758-2025 artfynd.xlsx", "A 31758-2025")</f>
        <v/>
      </c>
      <c r="X98">
        <f>HYPERLINK("https://klasma.github.io/Logging_2582/kartor/A 31758-2025 karta.png", "A 31758-2025")</f>
        <v/>
      </c>
      <c r="Y98">
        <f>HYPERLINK("https://klasma.github.io/Logging_2582/kartor_geotiff/A 31758-2025 georefererad karta.tif", "A 31758-2025")</f>
        <v/>
      </c>
      <c r="AA98">
        <f>HYPERLINK("https://klasma.github.io/Logging_2582/klagomål/A 31758-2025 FSC-klagomål.docx", "A 31758-2025")</f>
        <v/>
      </c>
      <c r="AB98">
        <f>HYPERLINK("https://klasma.github.io/Logging_2582/klagomålsmail/A 31758-2025 FSC-klagomål mail.docx", "A 31758-2025")</f>
        <v/>
      </c>
      <c r="AC98">
        <f>HYPERLINK("https://klasma.github.io/Logging_2582/tillsyn/A 31758-2025 tillsynsbegäran.docx", "A 31758-2025")</f>
        <v/>
      </c>
      <c r="AD98">
        <f>HYPERLINK("https://klasma.github.io/Logging_2582/tillsynsmail/A 31758-2025 tillsynsbegäran mail.docx", "A 31758-2025")</f>
        <v/>
      </c>
      <c r="AE98">
        <f>HYPERLINK("https://klasma.github.io/Logging_2582/fåglar/A 31758-2025 prioriterade fågelarter.docx", "A 31758-2025")</f>
        <v/>
      </c>
    </row>
    <row r="99" ht="15" customHeight="1">
      <c r="A99" t="inlineStr">
        <is>
          <t>A 900-2024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45301</v>
      </c>
      <c r="E99" s="1" t="n">
        <v>46252</v>
      </c>
      <c r="F99" t="inlineStr">
        <is>
          <t>NORRBOTTENS LÄN</t>
        </is>
      </c>
      <c r="G99" t="inlineStr">
        <is>
          <t>BODEN</t>
        </is>
      </c>
      <c r="I99" t="n">
        <v>5.2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Revlummer</t>
        </is>
      </c>
      <c r="W99">
        <f>HYPERLINK("https://klasma.github.io/Logging_2582/artfynd/A 900-2024 artfynd.xlsx", "A 900-2024")</f>
        <v/>
      </c>
      <c r="X99">
        <f>HYPERLINK("https://klasma.github.io/Logging_2582/kartor/A 900-2024 karta.png", "A 900-2024")</f>
        <v/>
      </c>
      <c r="Y99">
        <f>HYPERLINK("https://klasma.github.io/Logging_2582/kartor_geotiff/A 900-2024 georefererad karta.tif", "A 900-2024")</f>
        <v/>
      </c>
      <c r="Z99">
        <f>HYPERLINK("https://klasma.github.io/Logging_2582/knärot/A 900-2024 karta knärot.png", "A 900-2024")</f>
        <v/>
      </c>
      <c r="AA99">
        <f>HYPERLINK("https://klasma.github.io/Logging_2582/klagomål/A 900-2024 FSC-klagomål.docx", "A 900-2024")</f>
        <v/>
      </c>
      <c r="AB99">
        <f>HYPERLINK("https://klasma.github.io/Logging_2582/klagomålsmail/A 900-2024 FSC-klagomål mail.docx", "A 900-2024")</f>
        <v/>
      </c>
      <c r="AC99">
        <f>HYPERLINK("https://klasma.github.io/Logging_2582/tillsyn/A 900-2024 tillsynsbegäran.docx", "A 900-2024")</f>
        <v/>
      </c>
      <c r="AD99">
        <f>HYPERLINK("https://klasma.github.io/Logging_2582/tillsynsmail/A 900-2024 tillsynsbegäran mail.docx", "A 900-2024")</f>
        <v/>
      </c>
    </row>
    <row r="100" ht="15" customHeight="1">
      <c r="A100" t="inlineStr">
        <is>
          <t>A 21657-2026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46252</v>
      </c>
      <c r="F100" t="inlineStr">
        <is>
          <t>NORRBOTTENS LÄN</t>
        </is>
      </c>
      <c r="G100" t="inlineStr">
        <is>
          <t>BODEN</t>
        </is>
      </c>
      <c r="I100" t="n">
        <v>9.800000000000001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Orre
Utter</t>
        </is>
      </c>
      <c r="W100">
        <f>HYPERLINK("https://klasma.github.io/Logging_2582/artfynd/A 21657-2026 artfynd.xlsx", "A 21657-2026")</f>
        <v/>
      </c>
      <c r="X100">
        <f>HYPERLINK("https://klasma.github.io/Logging_2582/kartor/A 21657-2026 karta.png", "A 21657-2026")</f>
        <v/>
      </c>
      <c r="Y100">
        <f>HYPERLINK("https://klasma.github.io/Logging_2582/kartor_geotiff/A 21657-2026 georefererad karta.tif", "A 21657-2026")</f>
        <v/>
      </c>
      <c r="AA100">
        <f>HYPERLINK("https://klasma.github.io/Logging_2582/klagomål/A 21657-2026 FSC-klagomål.docx", "A 21657-2026")</f>
        <v/>
      </c>
      <c r="AB100">
        <f>HYPERLINK("https://klasma.github.io/Logging_2582/klagomålsmail/A 21657-2026 FSC-klagomål mail.docx", "A 21657-2026")</f>
        <v/>
      </c>
      <c r="AC100">
        <f>HYPERLINK("https://klasma.github.io/Logging_2582/tillsyn/A 21657-2026 tillsynsbegäran.docx", "A 21657-2026")</f>
        <v/>
      </c>
      <c r="AD100">
        <f>HYPERLINK("https://klasma.github.io/Logging_2582/tillsynsmail/A 21657-2026 tillsynsbegäran mail.docx", "A 21657-2026")</f>
        <v/>
      </c>
      <c r="AE100">
        <f>HYPERLINK("https://klasma.github.io/Logging_2582/fåglar/A 21657-2026 prioriterade fågelarter.docx", "A 21657-2026")</f>
        <v/>
      </c>
    </row>
    <row r="101" ht="15" customHeight="1">
      <c r="A101" t="inlineStr">
        <is>
          <t>A 29807-2026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46252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Mörk kolflarnlav</t>
        </is>
      </c>
      <c r="W101">
        <f>HYPERLINK("https://klasma.github.io/Logging_2582/artfynd/A 29807-2026 artfynd.xlsx", "A 29807-2026")</f>
        <v/>
      </c>
      <c r="X101">
        <f>HYPERLINK("https://klasma.github.io/Logging_2582/kartor/A 29807-2026 karta.png", "A 29807-2026")</f>
        <v/>
      </c>
      <c r="Y101">
        <f>HYPERLINK("https://klasma.github.io/Logging_2582/kartor_geotiff/A 29807-2026 georefererad karta.tif", "A 29807-2026")</f>
        <v/>
      </c>
      <c r="AA101">
        <f>HYPERLINK("https://klasma.github.io/Logging_2582/klagomål/A 29807-2026 FSC-klagomål.docx", "A 29807-2026")</f>
        <v/>
      </c>
      <c r="AB101">
        <f>HYPERLINK("https://klasma.github.io/Logging_2582/klagomålsmail/A 29807-2026 FSC-klagomål mail.docx", "A 29807-2026")</f>
        <v/>
      </c>
      <c r="AC101">
        <f>HYPERLINK("https://klasma.github.io/Logging_2582/tillsyn/A 29807-2026 tillsynsbegäran.docx", "A 29807-2026")</f>
        <v/>
      </c>
      <c r="AD101">
        <f>HYPERLINK("https://klasma.github.io/Logging_2582/tillsynsmail/A 29807-2026 tillsynsbegäran mail.docx", "A 29807-2026")</f>
        <v/>
      </c>
    </row>
    <row r="102" ht="15" customHeight="1">
      <c r="A102" t="inlineStr">
        <is>
          <t>A 29860-2026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46252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Knottrig blåslav
Lunglav</t>
        </is>
      </c>
      <c r="W102">
        <f>HYPERLINK("https://klasma.github.io/Logging_2582/artfynd/A 29860-2026 artfynd.xlsx", "A 29860-2026")</f>
        <v/>
      </c>
      <c r="X102">
        <f>HYPERLINK("https://klasma.github.io/Logging_2582/kartor/A 29860-2026 karta.png", "A 29860-2026")</f>
        <v/>
      </c>
      <c r="Y102">
        <f>HYPERLINK("https://klasma.github.io/Logging_2582/kartor_geotiff/A 29860-2026 georefererad karta.tif", "A 29860-2026")</f>
        <v/>
      </c>
      <c r="AA102">
        <f>HYPERLINK("https://klasma.github.io/Logging_2582/klagomål/A 29860-2026 FSC-klagomål.docx", "A 29860-2026")</f>
        <v/>
      </c>
      <c r="AB102">
        <f>HYPERLINK("https://klasma.github.io/Logging_2582/klagomålsmail/A 29860-2026 FSC-klagomål mail.docx", "A 29860-2026")</f>
        <v/>
      </c>
      <c r="AC102">
        <f>HYPERLINK("https://klasma.github.io/Logging_2582/tillsyn/A 29860-2026 tillsynsbegäran.docx", "A 29860-2026")</f>
        <v/>
      </c>
      <c r="AD102">
        <f>HYPERLINK("https://klasma.github.io/Logging_2582/tillsynsmail/A 29860-2026 tillsynsbegäran mail.docx", "A 29860-2026")</f>
        <v/>
      </c>
    </row>
    <row r="103" ht="15" customHeight="1">
      <c r="A103" t="inlineStr">
        <is>
          <t>A 23794-2026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46164</v>
      </c>
      <c r="E103" s="1" t="n">
        <v>46252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3.1</v>
      </c>
      <c r="J103" t="n">
        <v>2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Plattlummer
Spindelblomster</t>
        </is>
      </c>
      <c r="W103">
        <f>HYPERLINK("https://klasma.github.io/Logging_2582/artfynd/A 23794-2026 artfynd.xlsx", "A 23794-2026")</f>
        <v/>
      </c>
      <c r="X103">
        <f>HYPERLINK("https://klasma.github.io/Logging_2582/kartor/A 23794-2026 karta.png", "A 23794-2026")</f>
        <v/>
      </c>
      <c r="Y103">
        <f>HYPERLINK("https://klasma.github.io/Logging_2582/kartor_geotiff/A 23794-2026 georefererad karta.tif", "A 23794-2026")</f>
        <v/>
      </c>
      <c r="AA103">
        <f>HYPERLINK("https://klasma.github.io/Logging_2582/klagomål/A 23794-2026 FSC-klagomål.docx", "A 23794-2026")</f>
        <v/>
      </c>
      <c r="AB103">
        <f>HYPERLINK("https://klasma.github.io/Logging_2582/klagomålsmail/A 23794-2026 FSC-klagomål mail.docx", "A 23794-2026")</f>
        <v/>
      </c>
      <c r="AC103">
        <f>HYPERLINK("https://klasma.github.io/Logging_2582/tillsyn/A 23794-2026 tillsynsbegäran.docx", "A 23794-2026")</f>
        <v/>
      </c>
      <c r="AD103">
        <f>HYPERLINK("https://klasma.github.io/Logging_2582/tillsynsmail/A 23794-2026 tillsynsbegäran mail.docx", "A 23794-2026")</f>
        <v/>
      </c>
    </row>
    <row r="104" ht="15" customHeight="1">
      <c r="A104" t="inlineStr">
        <is>
          <t>A 31233-2026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46217</v>
      </c>
      <c r="E104" s="1" t="n">
        <v>46252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18.5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Lunglav
Fläcknycklar</t>
        </is>
      </c>
      <c r="W104">
        <f>HYPERLINK("https://klasma.github.io/Logging_2582/artfynd/A 31233-2026 artfynd.xlsx", "A 31233-2026")</f>
        <v/>
      </c>
      <c r="X104">
        <f>HYPERLINK("https://klasma.github.io/Logging_2582/kartor/A 31233-2026 karta.png", "A 31233-2026")</f>
        <v/>
      </c>
      <c r="Y104">
        <f>HYPERLINK("https://klasma.github.io/Logging_2582/kartor_geotiff/A 31233-2026 georefererad karta.tif", "A 31233-2026")</f>
        <v/>
      </c>
      <c r="AA104">
        <f>HYPERLINK("https://klasma.github.io/Logging_2582/klagomål/A 31233-2026 FSC-klagomål.docx", "A 31233-2026")</f>
        <v/>
      </c>
      <c r="AB104">
        <f>HYPERLINK("https://klasma.github.io/Logging_2582/klagomålsmail/A 31233-2026 FSC-klagomål mail.docx", "A 31233-2026")</f>
        <v/>
      </c>
      <c r="AC104">
        <f>HYPERLINK("https://klasma.github.io/Logging_2582/tillsyn/A 31233-2026 tillsynsbegäran.docx", "A 31233-2026")</f>
        <v/>
      </c>
      <c r="AD104">
        <f>HYPERLINK("https://klasma.github.io/Logging_2582/tillsynsmail/A 31233-2026 tillsynsbegäran mail.docx", "A 31233-2026")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46252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46252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46252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46252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41443-2025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45901</v>
      </c>
      <c r="E109" s="1" t="n">
        <v>46252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HYPERLINK("https://klasma.github.io/Logging_2582/artfynd/A 41443-2025 artfynd.xlsx", "A 41443-2025")</f>
        <v/>
      </c>
      <c r="X109">
        <f>HYPERLINK("https://klasma.github.io/Logging_2582/kartor/A 41443-2025 karta.png", "A 41443-2025")</f>
        <v/>
      </c>
      <c r="Y109">
        <f>HYPERLINK("https://klasma.github.io/Logging_2582/kartor_geotiff/A 41443-2025 georefererad karta.tif", "A 41443-2025")</f>
        <v/>
      </c>
      <c r="AA109">
        <f>HYPERLINK("https://klasma.github.io/Logging_2582/klagomål/A 41443-2025 FSC-klagomål.docx", "A 41443-2025")</f>
        <v/>
      </c>
      <c r="AB109">
        <f>HYPERLINK("https://klasma.github.io/Logging_2582/klagomålsmail/A 41443-2025 FSC-klagomål mail.docx", "A 41443-2025")</f>
        <v/>
      </c>
      <c r="AC109">
        <f>HYPERLINK("https://klasma.github.io/Logging_2582/tillsyn/A 41443-2025 tillsynsbegäran.docx", "A 41443-2025")</f>
        <v/>
      </c>
      <c r="AD109">
        <f>HYPERLINK("https://klasma.github.io/Logging_2582/tillsynsmail/A 41443-2025 tillsynsbegäran mail.docx", "A 41443-2025")</f>
        <v/>
      </c>
    </row>
    <row r="110" ht="15" customHeight="1">
      <c r="A110" t="inlineStr">
        <is>
          <t>A 2568-2024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46252</v>
      </c>
      <c r="F110" t="inlineStr">
        <is>
          <t>NORRBOTTENS LÄN</t>
        </is>
      </c>
      <c r="G110" t="inlineStr">
        <is>
          <t>BODEN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 taggsvamp</t>
        </is>
      </c>
      <c r="W110">
        <f>HYPERLINK("https://klasma.github.io/Logging_2582/artfynd/A 2568-2024 artfynd.xlsx", "A 2568-2024")</f>
        <v/>
      </c>
      <c r="X110">
        <f>HYPERLINK("https://klasma.github.io/Logging_2582/kartor/A 2568-2024 karta.png", "A 2568-2024")</f>
        <v/>
      </c>
      <c r="Y110">
        <f>HYPERLINK("https://klasma.github.io/Logging_2582/kartor_geotiff/A 2568-2024 georefererad karta.tif", "A 2568-2024")</f>
        <v/>
      </c>
      <c r="AA110">
        <f>HYPERLINK("https://klasma.github.io/Logging_2582/klagomål/A 2568-2024 FSC-klagomål.docx", "A 2568-2024")</f>
        <v/>
      </c>
      <c r="AB110">
        <f>HYPERLINK("https://klasma.github.io/Logging_2582/klagomålsmail/A 2568-2024 FSC-klagomål mail.docx", "A 2568-2024")</f>
        <v/>
      </c>
      <c r="AC110">
        <f>HYPERLINK("https://klasma.github.io/Logging_2582/tillsyn/A 2568-2024 tillsynsbegäran.docx", "A 2568-2024")</f>
        <v/>
      </c>
      <c r="AD110">
        <f>HYPERLINK("https://klasma.github.io/Logging_2582/tillsynsmail/A 2568-2024 tillsynsbegäran mail.docx", "A 2568-2024")</f>
        <v/>
      </c>
    </row>
    <row r="111" ht="15" customHeight="1">
      <c r="A111" t="inlineStr">
        <is>
          <t>A 26359-2022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46252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11.4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Tallticka</t>
        </is>
      </c>
      <c r="W111">
        <f>HYPERLINK("https://klasma.github.io/Logging_2582/artfynd/A 26359-2022 artfynd.xlsx", "A 26359-2022")</f>
        <v/>
      </c>
      <c r="X111">
        <f>HYPERLINK("https://klasma.github.io/Logging_2582/kartor/A 26359-2022 karta.png", "A 26359-2022")</f>
        <v/>
      </c>
      <c r="Y111">
        <f>HYPERLINK("https://klasma.github.io/Logging_2582/kartor_geotiff/A 26359-2022 georefererad karta.tif", "A 26359-2022")</f>
        <v/>
      </c>
      <c r="AA111">
        <f>HYPERLINK("https://klasma.github.io/Logging_2582/klagomål/A 26359-2022 FSC-klagomål.docx", "A 26359-2022")</f>
        <v/>
      </c>
      <c r="AB111">
        <f>HYPERLINK("https://klasma.github.io/Logging_2582/klagomålsmail/A 26359-2022 FSC-klagomål mail.docx", "A 26359-2022")</f>
        <v/>
      </c>
      <c r="AC111">
        <f>HYPERLINK("https://klasma.github.io/Logging_2582/tillsyn/A 26359-2022 tillsynsbegäran.docx", "A 26359-2022")</f>
        <v/>
      </c>
      <c r="AD111">
        <f>HYPERLINK("https://klasma.github.io/Logging_2582/tillsynsmail/A 26359-2022 tillsynsbegäran mail.docx", "A 26359-2022")</f>
        <v/>
      </c>
    </row>
    <row r="112" ht="15" customHeight="1">
      <c r="A112" t="inlineStr">
        <is>
          <t>A 18678-2025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46252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HYPERLINK("https://klasma.github.io/Logging_2582/artfynd/A 18678-2025 artfynd.xlsx", "A 18678-2025")</f>
        <v/>
      </c>
      <c r="X112">
        <f>HYPERLINK("https://klasma.github.io/Logging_2582/kartor/A 18678-2025 karta.png", "A 18678-2025")</f>
        <v/>
      </c>
      <c r="Y112">
        <f>HYPERLINK("https://klasma.github.io/Logging_2582/kartor_geotiff/A 18678-2025 georefererad karta.tif", "A 18678-2025")</f>
        <v/>
      </c>
      <c r="AA112">
        <f>HYPERLINK("https://klasma.github.io/Logging_2582/klagomål/A 18678-2025 FSC-klagomål.docx", "A 18678-2025")</f>
        <v/>
      </c>
      <c r="AB112">
        <f>HYPERLINK("https://klasma.github.io/Logging_2582/klagomålsmail/A 18678-2025 FSC-klagomål mail.docx", "A 18678-2025")</f>
        <v/>
      </c>
      <c r="AC112">
        <f>HYPERLINK("https://klasma.github.io/Logging_2582/tillsyn/A 18678-2025 tillsynsbegäran.docx", "A 18678-2025")</f>
        <v/>
      </c>
      <c r="AD112">
        <f>HYPERLINK("https://klasma.github.io/Logging_2582/tillsynsmail/A 18678-2025 tillsynsbegäran mail.docx", "A 18678-2025")</f>
        <v/>
      </c>
    </row>
    <row r="113" ht="15" customHeight="1">
      <c r="A113" t="inlineStr">
        <is>
          <t>A 36743-2024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46252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HYPERLINK("https://klasma.github.io/Logging_2582/artfynd/A 36743-2024 artfynd.xlsx", "A 36743-2024")</f>
        <v/>
      </c>
      <c r="X113">
        <f>HYPERLINK("https://klasma.github.io/Logging_2582/kartor/A 36743-2024 karta.png", "A 36743-2024")</f>
        <v/>
      </c>
      <c r="Y113">
        <f>HYPERLINK("https://klasma.github.io/Logging_2582/kartor_geotiff/A 36743-2024 georefererad karta.tif", "A 36743-2024")</f>
        <v/>
      </c>
      <c r="AA113">
        <f>HYPERLINK("https://klasma.github.io/Logging_2582/klagomål/A 36743-2024 FSC-klagomål.docx", "A 36743-2024")</f>
        <v/>
      </c>
      <c r="AB113">
        <f>HYPERLINK("https://klasma.github.io/Logging_2582/klagomålsmail/A 36743-2024 FSC-klagomål mail.docx", "A 36743-2024")</f>
        <v/>
      </c>
      <c r="AC113">
        <f>HYPERLINK("https://klasma.github.io/Logging_2582/tillsyn/A 36743-2024 tillsynsbegäran.docx", "A 36743-2024")</f>
        <v/>
      </c>
      <c r="AD113">
        <f>HYPERLINK("https://klasma.github.io/Logging_2582/tillsynsmail/A 36743-2024 tillsynsbegäran mail.docx", "A 36743-2024")</f>
        <v/>
      </c>
    </row>
    <row r="114" ht="15" customHeight="1">
      <c r="A114" t="inlineStr">
        <is>
          <t>A 32600-2024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45513</v>
      </c>
      <c r="E114" s="1" t="n">
        <v>46252</v>
      </c>
      <c r="F114" t="inlineStr">
        <is>
          <t>NORRBOTTENS LÄN</t>
        </is>
      </c>
      <c r="G114" t="inlineStr">
        <is>
          <t>BODEN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32600-2024 artfynd.xlsx", "A 32600-2024")</f>
        <v/>
      </c>
      <c r="X114">
        <f>HYPERLINK("https://klasma.github.io/Logging_2582/kartor/A 32600-2024 karta.png", "A 32600-2024")</f>
        <v/>
      </c>
      <c r="Y114">
        <f>HYPERLINK("https://klasma.github.io/Logging_2582/kartor_geotiff/A 32600-2024 georefererad karta.tif", "A 32600-2024")</f>
        <v/>
      </c>
      <c r="AA114">
        <f>HYPERLINK("https://klasma.github.io/Logging_2582/klagomål/A 32600-2024 FSC-klagomål.docx", "A 32600-2024")</f>
        <v/>
      </c>
      <c r="AB114">
        <f>HYPERLINK("https://klasma.github.io/Logging_2582/klagomålsmail/A 32600-2024 FSC-klagomål mail.docx", "A 32600-2024")</f>
        <v/>
      </c>
      <c r="AC114">
        <f>HYPERLINK("https://klasma.github.io/Logging_2582/tillsyn/A 32600-2024 tillsynsbegäran.docx", "A 32600-2024")</f>
        <v/>
      </c>
      <c r="AD114">
        <f>HYPERLINK("https://klasma.github.io/Logging_2582/tillsynsmail/A 32600-2024 tillsynsbegäran mail.docx", "A 32600-2024")</f>
        <v/>
      </c>
    </row>
    <row r="115" ht="15" customHeight="1">
      <c r="A115" t="inlineStr">
        <is>
          <t>A 68560-2021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46252</v>
      </c>
      <c r="F115" t="inlineStr">
        <is>
          <t>NORRBOTTENS LÄN</t>
        </is>
      </c>
      <c r="G115" t="inlineStr">
        <is>
          <t>BODEN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4</v>
      </c>
      <c r="U115" t="n">
        <v>4</v>
      </c>
      <c r="V115" s="2" t="inlineStr">
        <is>
          <t>Småflikig brosklav</t>
        </is>
      </c>
      <c r="W115">
        <f>HYPERLINK("https://klasma.github.io/Logging_2582/artfynd/A 68560-2021 artfynd.xlsx", "A 68560-2021")</f>
        <v/>
      </c>
      <c r="X115">
        <f>HYPERLINK("https://klasma.github.io/Logging_2582/kartor/A 68560-2021 karta.png", "A 68560-2021")</f>
        <v/>
      </c>
      <c r="Y115">
        <f>HYPERLINK("https://klasma.github.io/Logging_2582/kartor_geotiff/A 68560-2021 georefererad karta.tif", "A 68560-2021")</f>
        <v/>
      </c>
      <c r="AA115">
        <f>HYPERLINK("https://klasma.github.io/Logging_2582/klagomål/A 68560-2021 FSC-klagomål.docx", "A 68560-2021")</f>
        <v/>
      </c>
      <c r="AB115">
        <f>HYPERLINK("https://klasma.github.io/Logging_2582/klagomålsmail/A 68560-2021 FSC-klagomål mail.docx", "A 68560-2021")</f>
        <v/>
      </c>
      <c r="AC115">
        <f>HYPERLINK("https://klasma.github.io/Logging_2582/tillsyn/A 68560-2021 tillsynsbegäran.docx", "A 68560-2021")</f>
        <v/>
      </c>
      <c r="AD115">
        <f>HYPERLINK("https://klasma.github.io/Logging_2582/tillsynsmail/A 68560-2021 tillsynsbegäran mail.docx", "A 68560-2021")</f>
        <v/>
      </c>
    </row>
    <row r="116" ht="15" customHeight="1">
      <c r="A116" t="inlineStr">
        <is>
          <t>A 50394-2025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46252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HYPERLINK("https://klasma.github.io/Logging_2582/artfynd/A 50394-2025 artfynd.xlsx", "A 50394-2025")</f>
        <v/>
      </c>
      <c r="X116">
        <f>HYPERLINK("https://klasma.github.io/Logging_2582/kartor/A 50394-2025 karta.png", "A 50394-2025")</f>
        <v/>
      </c>
      <c r="Y116">
        <f>HYPERLINK("https://klasma.github.io/Logging_2582/kartor_geotiff/A 50394-2025 georefererad karta.tif", "A 50394-2025")</f>
        <v/>
      </c>
      <c r="AA116">
        <f>HYPERLINK("https://klasma.github.io/Logging_2582/klagomål/A 50394-2025 FSC-klagomål.docx", "A 50394-2025")</f>
        <v/>
      </c>
      <c r="AB116">
        <f>HYPERLINK("https://klasma.github.io/Logging_2582/klagomålsmail/A 50394-2025 FSC-klagomål mail.docx", "A 50394-2025")</f>
        <v/>
      </c>
      <c r="AC116">
        <f>HYPERLINK("https://klasma.github.io/Logging_2582/tillsyn/A 50394-2025 tillsynsbegäran.docx", "A 50394-2025")</f>
        <v/>
      </c>
      <c r="AD116">
        <f>HYPERLINK("https://klasma.github.io/Logging_2582/tillsynsmail/A 50394-2025 tillsynsbegäran mail.docx", "A 50394-2025")</f>
        <v/>
      </c>
    </row>
    <row r="117" ht="15" customHeight="1">
      <c r="A117" t="inlineStr">
        <is>
          <t>A 665-2023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44925</v>
      </c>
      <c r="E117" s="1" t="n">
        <v>46252</v>
      </c>
      <c r="F117" t="inlineStr">
        <is>
          <t>NORRBOTTENS LÄN</t>
        </is>
      </c>
      <c r="G117" t="inlineStr">
        <is>
          <t>BODEN</t>
        </is>
      </c>
      <c r="I117" t="n">
        <v>0.9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Duvhök</t>
        </is>
      </c>
      <c r="W117">
        <f>HYPERLINK("https://klasma.github.io/Logging_2582/artfynd/A 665-2023 artfynd.xlsx", "A 665-2023")</f>
        <v/>
      </c>
      <c r="X117">
        <f>HYPERLINK("https://klasma.github.io/Logging_2582/kartor/A 665-2023 karta.png", "A 665-2023")</f>
        <v/>
      </c>
      <c r="Y117">
        <f>HYPERLINK("https://klasma.github.io/Logging_2582/kartor_geotiff/A 665-2023 georefererad karta.tif", "A 665-2023")</f>
        <v/>
      </c>
      <c r="AA117">
        <f>HYPERLINK("https://klasma.github.io/Logging_2582/klagomål/A 665-2023 FSC-klagomål.docx", "A 665-2023")</f>
        <v/>
      </c>
      <c r="AB117">
        <f>HYPERLINK("https://klasma.github.io/Logging_2582/klagomålsmail/A 665-2023 FSC-klagomål mail.docx", "A 665-2023")</f>
        <v/>
      </c>
      <c r="AC117">
        <f>HYPERLINK("https://klasma.github.io/Logging_2582/tillsyn/A 665-2023 tillsynsbegäran.docx", "A 665-2023")</f>
        <v/>
      </c>
      <c r="AD117">
        <f>HYPERLINK("https://klasma.github.io/Logging_2582/tillsynsmail/A 665-2023 tillsynsbegäran mail.docx", "A 665-2023")</f>
        <v/>
      </c>
      <c r="AE117">
        <f>HYPERLINK("https://klasma.github.io/Logging_2582/fåglar/A 665-2023 prioriterade fågelarter.docx", "A 665-2023")</f>
        <v/>
      </c>
    </row>
    <row r="118" ht="15" customHeight="1">
      <c r="A118" t="inlineStr">
        <is>
          <t>A 51184-2025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46252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HYPERLINK("https://klasma.github.io/Logging_2582/artfynd/A 51184-2025 artfynd.xlsx", "A 51184-2025")</f>
        <v/>
      </c>
      <c r="X118">
        <f>HYPERLINK("https://klasma.github.io/Logging_2582/kartor/A 51184-2025 karta.png", "A 51184-2025")</f>
        <v/>
      </c>
      <c r="Y118">
        <f>HYPERLINK("https://klasma.github.io/Logging_2582/kartor_geotiff/A 51184-2025 georefererad karta.tif", "A 51184-2025")</f>
        <v/>
      </c>
      <c r="AA118">
        <f>HYPERLINK("https://klasma.github.io/Logging_2582/klagomål/A 51184-2025 FSC-klagomål.docx", "A 51184-2025")</f>
        <v/>
      </c>
      <c r="AB118">
        <f>HYPERLINK("https://klasma.github.io/Logging_2582/klagomålsmail/A 51184-2025 FSC-klagomål mail.docx", "A 51184-2025")</f>
        <v/>
      </c>
      <c r="AC118">
        <f>HYPERLINK("https://klasma.github.io/Logging_2582/tillsyn/A 51184-2025 tillsynsbegäran.docx", "A 51184-2025")</f>
        <v/>
      </c>
      <c r="AD118">
        <f>HYPERLINK("https://klasma.github.io/Logging_2582/tillsynsmail/A 51184-2025 tillsynsbegäran mail.docx", "A 51184-2025")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46252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51304-2025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46252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51304-2025 artfynd.xlsx", "A 51304-2025")</f>
        <v/>
      </c>
      <c r="X120">
        <f>HYPERLINK("https://klasma.github.io/Logging_2582/kartor/A 51304-2025 karta.png", "A 51304-2025")</f>
        <v/>
      </c>
      <c r="Y120">
        <f>HYPERLINK("https://klasma.github.io/Logging_2582/kartor_geotiff/A 51304-2025 georefererad karta.tif", "A 51304-2025")</f>
        <v/>
      </c>
      <c r="AA120">
        <f>HYPERLINK("https://klasma.github.io/Logging_2582/klagomål/A 51304-2025 FSC-klagomål.docx", "A 51304-2025")</f>
        <v/>
      </c>
      <c r="AB120">
        <f>HYPERLINK("https://klasma.github.io/Logging_2582/klagomålsmail/A 51304-2025 FSC-klagomål mail.docx", "A 51304-2025")</f>
        <v/>
      </c>
      <c r="AC120">
        <f>HYPERLINK("https://klasma.github.io/Logging_2582/tillsyn/A 51304-2025 tillsynsbegäran.docx", "A 51304-2025")</f>
        <v/>
      </c>
      <c r="AD120">
        <f>HYPERLINK("https://klasma.github.io/Logging_2582/tillsynsmail/A 51304-2025 tillsynsbegäran mail.docx", "A 51304-2025")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46252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46252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51874-2025 artfynd.xlsx", "A 51874-2025")</f>
        <v/>
      </c>
      <c r="X122">
        <f>HYPERLINK("https://klasma.github.io/Logging_2582/kartor/A 51874-2025 karta.png", "A 51874-2025")</f>
        <v/>
      </c>
      <c r="Y122">
        <f>HYPERLINK("https://klasma.github.io/Logging_2582/kartor_geotiff/A 51874-2025 georefererad karta.tif", "A 51874-2025")</f>
        <v/>
      </c>
      <c r="AA122">
        <f>HYPERLINK("https://klasma.github.io/Logging_2582/klagomål/A 51874-2025 FSC-klagomål.docx", "A 51874-2025")</f>
        <v/>
      </c>
      <c r="AB122">
        <f>HYPERLINK("https://klasma.github.io/Logging_2582/klagomålsmail/A 51874-2025 FSC-klagomål mail.docx", "A 51874-2025")</f>
        <v/>
      </c>
      <c r="AC122">
        <f>HYPERLINK("https://klasma.github.io/Logging_2582/tillsyn/A 51874-2025 tillsynsbegäran.docx", "A 51874-2025")</f>
        <v/>
      </c>
      <c r="AD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53180-2025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46252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13.2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HYPERLINK("https://klasma.github.io/Logging_2582/artfynd/A 53180-2025 artfynd.xlsx", "A 53180-2025")</f>
        <v/>
      </c>
      <c r="X123">
        <f>HYPERLINK("https://klasma.github.io/Logging_2582/kartor/A 53180-2025 karta.png", "A 53180-2025")</f>
        <v/>
      </c>
      <c r="Y123">
        <f>HYPERLINK("https://klasma.github.io/Logging_2582/kartor_geotiff/A 53180-2025 georefererad karta.tif", "A 53180-2025")</f>
        <v/>
      </c>
      <c r="AA123">
        <f>HYPERLINK("https://klasma.github.io/Logging_2582/klagomål/A 53180-2025 FSC-klagomål.docx", "A 53180-2025")</f>
        <v/>
      </c>
      <c r="AB123">
        <f>HYPERLINK("https://klasma.github.io/Logging_2582/klagomålsmail/A 53180-2025 FSC-klagomål mail.docx", "A 53180-2025")</f>
        <v/>
      </c>
      <c r="AC123">
        <f>HYPERLINK("https://klasma.github.io/Logging_2582/tillsyn/A 53180-2025 tillsynsbegäran.docx", "A 53180-2025")</f>
        <v/>
      </c>
      <c r="AD123">
        <f>HYPERLINK("https://klasma.github.io/Logging_2582/tillsynsmail/A 53180-2025 tillsynsbegäran mail.docx", "A 53180-2025")</f>
        <v/>
      </c>
    </row>
    <row r="124" ht="15" customHeight="1">
      <c r="A124" t="inlineStr">
        <is>
          <t>A 53590-2025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46252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Gulskölding</t>
        </is>
      </c>
      <c r="W124">
        <f>HYPERLINK("https://klasma.github.io/Logging_2582/artfynd/A 53590-2025 artfynd.xlsx", "A 53590-2025")</f>
        <v/>
      </c>
      <c r="X124">
        <f>HYPERLINK("https://klasma.github.io/Logging_2582/kartor/A 53590-2025 karta.png", "A 53590-2025")</f>
        <v/>
      </c>
      <c r="Y124">
        <f>HYPERLINK("https://klasma.github.io/Logging_2582/kartor_geotiff/A 53590-2025 georefererad karta.tif", "A 53590-2025")</f>
        <v/>
      </c>
      <c r="AA124">
        <f>HYPERLINK("https://klasma.github.io/Logging_2582/klagomål/A 53590-2025 FSC-klagomål.docx", "A 53590-2025")</f>
        <v/>
      </c>
      <c r="AB124">
        <f>HYPERLINK("https://klasma.github.io/Logging_2582/klagomålsmail/A 53590-2025 FSC-klagomål mail.docx", "A 53590-2025")</f>
        <v/>
      </c>
      <c r="AC124">
        <f>HYPERLINK("https://klasma.github.io/Logging_2582/tillsyn/A 53590-2025 tillsynsbegäran.docx", "A 53590-2025")</f>
        <v/>
      </c>
      <c r="AD124">
        <f>HYPERLINK("https://klasma.github.io/Logging_2582/tillsynsmail/A 53590-2025 tillsynsbegäran mail.docx", "A 53590-2025")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HYPERLINK("https://klasma.github.io/Logging_2582/artfynd/A 54563-2025 artfynd.xlsx", "A 54563-2025")</f>
        <v/>
      </c>
      <c r="X125">
        <f>HYPERLINK("https://klasma.github.io/Logging_2582/kartor/A 54563-2025 karta.png", "A 54563-2025")</f>
        <v/>
      </c>
      <c r="Y125">
        <f>HYPERLINK("https://klasma.github.io/Logging_2582/kartor_geotiff/A 54563-2025 georefererad karta.tif", "A 54563-2025")</f>
        <v/>
      </c>
      <c r="AA125">
        <f>HYPERLINK("https://klasma.github.io/Logging_2582/klagomål/A 54563-2025 FSC-klagomål.docx", "A 54563-2025")</f>
        <v/>
      </c>
      <c r="AB125">
        <f>HYPERLINK("https://klasma.github.io/Logging_2582/klagomålsmail/A 54563-2025 FSC-klagomål mail.docx", "A 54563-2025")</f>
        <v/>
      </c>
      <c r="AC125">
        <f>HYPERLINK("https://klasma.github.io/Logging_2582/tillsyn/A 54563-2025 tillsynsbegäran.docx", "A 54563-2025")</f>
        <v/>
      </c>
      <c r="AD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46252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49410-2023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46252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49410-2023 artfynd.xlsx", "A 49410-2023")</f>
        <v/>
      </c>
      <c r="X127">
        <f>HYPERLINK("https://klasma.github.io/Logging_2582/kartor/A 49410-2023 karta.png", "A 49410-2023")</f>
        <v/>
      </c>
      <c r="Y127">
        <f>HYPERLINK("https://klasma.github.io/Logging_2582/kartor_geotiff/A 49410-2023 georefererad karta.tif", "A 49410-2023")</f>
        <v/>
      </c>
      <c r="AA127">
        <f>HYPERLINK("https://klasma.github.io/Logging_2582/klagomål/A 49410-2023 FSC-klagomål.docx", "A 49410-2023")</f>
        <v/>
      </c>
      <c r="AB127">
        <f>HYPERLINK("https://klasma.github.io/Logging_2582/klagomålsmail/A 49410-2023 FSC-klagomål mail.docx", "A 49410-2023")</f>
        <v/>
      </c>
      <c r="AC127">
        <f>HYPERLINK("https://klasma.github.io/Logging_2582/tillsyn/A 49410-2023 tillsynsbegäran.docx", "A 49410-2023")</f>
        <v/>
      </c>
      <c r="AD127">
        <f>HYPERLINK("https://klasma.github.io/Logging_2582/tillsynsmail/A 49410-2023 tillsynsbegäran mail.docx", "A 49410-2023")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46252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12832-2022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46252</v>
      </c>
      <c r="F129" t="inlineStr">
        <is>
          <t>NORRBOTTENS LÄN</t>
        </is>
      </c>
      <c r="G129" t="inlineStr">
        <is>
          <t>BODEN</t>
        </is>
      </c>
      <c r="I129" t="n">
        <v>6.6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Doftticka</t>
        </is>
      </c>
      <c r="W129">
        <f>HYPERLINK("https://klasma.github.io/Logging_2582/artfynd/A 12832-2022 artfynd.xlsx", "A 12832-2022")</f>
        <v/>
      </c>
      <c r="X129">
        <f>HYPERLINK("https://klasma.github.io/Logging_2582/kartor/A 12832-2022 karta.png", "A 12832-2022")</f>
        <v/>
      </c>
      <c r="Y129">
        <f>HYPERLINK("https://klasma.github.io/Logging_2582/kartor_geotiff/A 12832-2022 georefererad karta.tif", "A 12832-2022")</f>
        <v/>
      </c>
      <c r="AA129">
        <f>HYPERLINK("https://klasma.github.io/Logging_2582/klagomål/A 12832-2022 FSC-klagomål.docx", "A 12832-2022")</f>
        <v/>
      </c>
      <c r="AB129">
        <f>HYPERLINK("https://klasma.github.io/Logging_2582/klagomålsmail/A 12832-2022 FSC-klagomål mail.docx", "A 12832-2022")</f>
        <v/>
      </c>
      <c r="AC129">
        <f>HYPERLINK("https://klasma.github.io/Logging_2582/tillsyn/A 12832-2022 tillsynsbegäran.docx", "A 12832-2022")</f>
        <v/>
      </c>
      <c r="AD129">
        <f>HYPERLINK("https://klasma.github.io/Logging_2582/tillsynsmail/A 12832-2022 tillsynsbegäran mail.docx", "A 12832-2022")</f>
        <v/>
      </c>
    </row>
    <row r="130" ht="15" customHeight="1">
      <c r="A130" t="inlineStr">
        <is>
          <t>A 22892-2024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46252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0.8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22892-2024 artfynd.xlsx", "A 22892-2024")</f>
        <v/>
      </c>
      <c r="X130">
        <f>HYPERLINK("https://klasma.github.io/Logging_2582/kartor/A 22892-2024 karta.png", "A 22892-2024")</f>
        <v/>
      </c>
      <c r="Y130">
        <f>HYPERLINK("https://klasma.github.io/Logging_2582/kartor_geotiff/A 22892-2024 georefererad karta.tif", "A 22892-2024")</f>
        <v/>
      </c>
      <c r="AA130">
        <f>HYPERLINK("https://klasma.github.io/Logging_2582/klagomål/A 22892-2024 FSC-klagomål.docx", "A 22892-2024")</f>
        <v/>
      </c>
      <c r="AB130">
        <f>HYPERLINK("https://klasma.github.io/Logging_2582/klagomålsmail/A 22892-2024 FSC-klagomål mail.docx", "A 22892-2024")</f>
        <v/>
      </c>
      <c r="AC130">
        <f>HYPERLINK("https://klasma.github.io/Logging_2582/tillsyn/A 22892-2024 tillsynsbegäran.docx", "A 22892-2024")</f>
        <v/>
      </c>
      <c r="AD130">
        <f>HYPERLINK("https://klasma.github.io/Logging_2582/tillsynsmail/A 22892-2024 tillsynsbegäran mail.docx", "A 22892-2024")</f>
        <v/>
      </c>
    </row>
    <row r="131" ht="15" customHeight="1">
      <c r="A131" t="inlineStr">
        <is>
          <t>A 25805-2026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46178</v>
      </c>
      <c r="E131" s="1" t="n">
        <v>46252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3.6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HYPERLINK("https://klasma.github.io/Logging_2582/artfynd/A 25805-2026 artfynd.xlsx", "A 25805-2026")</f>
        <v/>
      </c>
      <c r="X131">
        <f>HYPERLINK("https://klasma.github.io/Logging_2582/kartor/A 25805-2026 karta.png", "A 25805-2026")</f>
        <v/>
      </c>
      <c r="Y131">
        <f>HYPERLINK("https://klasma.github.io/Logging_2582/kartor_geotiff/A 25805-2026 georefererad karta.tif", "A 25805-2026")</f>
        <v/>
      </c>
      <c r="AA131">
        <f>HYPERLINK("https://klasma.github.io/Logging_2582/klagomål/A 25805-2026 FSC-klagomål.docx", "A 25805-2026")</f>
        <v/>
      </c>
      <c r="AB131">
        <f>HYPERLINK("https://klasma.github.io/Logging_2582/klagomålsmail/A 25805-2026 FSC-klagomål mail.docx", "A 25805-2026")</f>
        <v/>
      </c>
      <c r="AC131">
        <f>HYPERLINK("https://klasma.github.io/Logging_2582/tillsyn/A 25805-2026 tillsynsbegäran.docx", "A 25805-2026")</f>
        <v/>
      </c>
      <c r="AD131">
        <f>HYPERLINK("https://klasma.github.io/Logging_2582/tillsynsmail/A 25805-2026 tillsynsbegäran mail.docx", "A 25805-2026")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46252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25803-2026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46252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9.9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Spindelblomster</t>
        </is>
      </c>
      <c r="W133">
        <f>HYPERLINK("https://klasma.github.io/Logging_2582/artfynd/A 25803-2026 artfynd.xlsx", "A 25803-2026")</f>
        <v/>
      </c>
      <c r="X133">
        <f>HYPERLINK("https://klasma.github.io/Logging_2582/kartor/A 25803-2026 karta.png", "A 25803-2026")</f>
        <v/>
      </c>
      <c r="Y133">
        <f>HYPERLINK("https://klasma.github.io/Logging_2582/kartor_geotiff/A 25803-2026 georefererad karta.tif", "A 25803-2026")</f>
        <v/>
      </c>
      <c r="AA133">
        <f>HYPERLINK("https://klasma.github.io/Logging_2582/klagomål/A 25803-2026 FSC-klagomål.docx", "A 25803-2026")</f>
        <v/>
      </c>
      <c r="AB133">
        <f>HYPERLINK("https://klasma.github.io/Logging_2582/klagomålsmail/A 25803-2026 FSC-klagomål mail.docx", "A 25803-2026")</f>
        <v/>
      </c>
      <c r="AC133">
        <f>HYPERLINK("https://klasma.github.io/Logging_2582/tillsyn/A 25803-2026 tillsynsbegäran.docx", "A 25803-2026")</f>
        <v/>
      </c>
      <c r="AD133">
        <f>HYPERLINK("https://klasma.github.io/Logging_2582/tillsynsmail/A 25803-2026 tillsynsbegäran mail.docx", "A 25803-2026")</f>
        <v/>
      </c>
    </row>
    <row r="134" ht="15" customHeight="1">
      <c r="A134" t="inlineStr">
        <is>
          <t>A 13568-2022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46252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1.5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Lavskrika</t>
        </is>
      </c>
      <c r="W134">
        <f>HYPERLINK("https://klasma.github.io/Logging_2582/artfynd/A 13568-2022 artfynd.xlsx", "A 13568-2022")</f>
        <v/>
      </c>
      <c r="X134">
        <f>HYPERLINK("https://klasma.github.io/Logging_2582/kartor/A 13568-2022 karta.png", "A 13568-2022")</f>
        <v/>
      </c>
      <c r="Y134">
        <f>HYPERLINK("https://klasma.github.io/Logging_2582/kartor_geotiff/A 13568-2022 georefererad karta.tif", "A 13568-2022")</f>
        <v/>
      </c>
      <c r="AA134">
        <f>HYPERLINK("https://klasma.github.io/Logging_2582/klagomål/A 13568-2022 FSC-klagomål.docx", "A 13568-2022")</f>
        <v/>
      </c>
      <c r="AB134">
        <f>HYPERLINK("https://klasma.github.io/Logging_2582/klagomålsmail/A 13568-2022 FSC-klagomål mail.docx", "A 13568-2022")</f>
        <v/>
      </c>
      <c r="AC134">
        <f>HYPERLINK("https://klasma.github.io/Logging_2582/tillsyn/A 13568-2022 tillsynsbegäran.docx", "A 13568-2022")</f>
        <v/>
      </c>
      <c r="AD134">
        <f>HYPERLINK("https://klasma.github.io/Logging_2582/tillsynsmail/A 13568-2022 tillsynsbegäran mail.docx", "A 13568-2022")</f>
        <v/>
      </c>
      <c r="AE134">
        <f>HYPERLINK("https://klasma.github.io/Logging_2582/fåglar/A 13568-2022 prioriterade fågelarter.docx", "A 13568-2022")</f>
        <v/>
      </c>
    </row>
    <row r="135" ht="15" customHeight="1">
      <c r="A135" t="inlineStr">
        <is>
          <t>A 60781-2025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46252</v>
      </c>
      <c r="F135" t="inlineStr">
        <is>
          <t>NORRBOTTENS LÄN</t>
        </is>
      </c>
      <c r="G135" t="inlineStr">
        <is>
          <t>BODEN</t>
        </is>
      </c>
      <c r="I135" t="n">
        <v>12.3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Rosenticka</t>
        </is>
      </c>
      <c r="W135">
        <f>HYPERLINK("https://klasma.github.io/Logging_2582/artfynd/A 60781-2025 artfynd.xlsx", "A 60781-2025")</f>
        <v/>
      </c>
      <c r="X135">
        <f>HYPERLINK("https://klasma.github.io/Logging_2582/kartor/A 60781-2025 karta.png", "A 60781-2025")</f>
        <v/>
      </c>
      <c r="Y135">
        <f>HYPERLINK("https://klasma.github.io/Logging_2582/kartor_geotiff/A 60781-2025 georefererad karta.tif", "A 60781-2025")</f>
        <v/>
      </c>
      <c r="AA135">
        <f>HYPERLINK("https://klasma.github.io/Logging_2582/klagomål/A 60781-2025 FSC-klagomål.docx", "A 60781-2025")</f>
        <v/>
      </c>
      <c r="AB135">
        <f>HYPERLINK("https://klasma.github.io/Logging_2582/klagomålsmail/A 60781-2025 FSC-klagomål mail.docx", "A 60781-2025")</f>
        <v/>
      </c>
      <c r="AC135">
        <f>HYPERLINK("https://klasma.github.io/Logging_2582/tillsyn/A 60781-2025 tillsynsbegäran.docx", "A 60781-2025")</f>
        <v/>
      </c>
      <c r="AD135">
        <f>HYPERLINK("https://klasma.github.io/Logging_2582/tillsynsmail/A 60781-2025 tillsynsbegäran mail.docx", "A 60781-2025")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46252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41087-2024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45559</v>
      </c>
      <c r="E137" s="1" t="n">
        <v>46252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HYPERLINK("https://klasma.github.io/Logging_2582/artfynd/A 41087-2024 artfynd.xlsx", "A 41087-2024")</f>
        <v/>
      </c>
      <c r="X137">
        <f>HYPERLINK("https://klasma.github.io/Logging_2582/kartor/A 41087-2024 karta.png", "A 41087-2024")</f>
        <v/>
      </c>
      <c r="Y137">
        <f>HYPERLINK("https://klasma.github.io/Logging_2582/kartor_geotiff/A 41087-2024 georefererad karta.tif", "A 41087-2024")</f>
        <v/>
      </c>
      <c r="AA137">
        <f>HYPERLINK("https://klasma.github.io/Logging_2582/klagomål/A 41087-2024 FSC-klagomål.docx", "A 41087-2024")</f>
        <v/>
      </c>
      <c r="AB137">
        <f>HYPERLINK("https://klasma.github.io/Logging_2582/klagomålsmail/A 41087-2024 FSC-klagomål mail.docx", "A 41087-2024")</f>
        <v/>
      </c>
      <c r="AC137">
        <f>HYPERLINK("https://klasma.github.io/Logging_2582/tillsyn/A 41087-2024 tillsynsbegäran.docx", "A 41087-2024")</f>
        <v/>
      </c>
      <c r="AD137">
        <f>HYPERLINK("https://klasma.github.io/Logging_2582/tillsynsmail/A 41087-2024 tillsynsbegäran mail.docx", "A 41087-2024")</f>
        <v/>
      </c>
    </row>
    <row r="138" ht="15" customHeight="1">
      <c r="A138" t="inlineStr">
        <is>
          <t>A 25801-2026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46252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Knärot</t>
        </is>
      </c>
      <c r="W138">
        <f>HYPERLINK("https://klasma.github.io/Logging_2582/artfynd/A 25801-2026 artfynd.xlsx", "A 25801-2026")</f>
        <v/>
      </c>
      <c r="X138">
        <f>HYPERLINK("https://klasma.github.io/Logging_2582/kartor/A 25801-2026 karta.png", "A 25801-2026")</f>
        <v/>
      </c>
      <c r="Y138">
        <f>HYPERLINK("https://klasma.github.io/Logging_2582/kartor_geotiff/A 25801-2026 georefererad karta.tif", "A 25801-2026")</f>
        <v/>
      </c>
      <c r="Z138">
        <f>HYPERLINK("https://klasma.github.io/Logging_2582/knärot/A 25801-2026 karta knärot.png", "A 25801-2026")</f>
        <v/>
      </c>
      <c r="AA138">
        <f>HYPERLINK("https://klasma.github.io/Logging_2582/klagomål/A 25801-2026 FSC-klagomål.docx", "A 25801-2026")</f>
        <v/>
      </c>
      <c r="AB138">
        <f>HYPERLINK("https://klasma.github.io/Logging_2582/klagomålsmail/A 25801-2026 FSC-klagomål mail.docx", "A 25801-2026")</f>
        <v/>
      </c>
      <c r="AC138">
        <f>HYPERLINK("https://klasma.github.io/Logging_2582/tillsyn/A 25801-2026 tillsynsbegäran.docx", "A 25801-2026")</f>
        <v/>
      </c>
      <c r="AD138">
        <f>HYPERLINK("https://klasma.github.io/Logging_2582/tillsynsmail/A 25801-2026 tillsynsbegäran mail.docx", "A 25801-2026")</f>
        <v/>
      </c>
    </row>
    <row r="139" ht="15" customHeight="1">
      <c r="A139" t="inlineStr">
        <is>
          <t>A 4878-2026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46252</v>
      </c>
      <c r="F139" t="inlineStr">
        <is>
          <t>NORRBOTTENS LÄN</t>
        </is>
      </c>
      <c r="G139" t="inlineStr">
        <is>
          <t>BODEN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Vanlig padda</t>
        </is>
      </c>
      <c r="W139">
        <f>HYPERLINK("https://klasma.github.io/Logging_2582/artfynd/A 4878-2026 artfynd.xlsx", "A 4878-2026")</f>
        <v/>
      </c>
      <c r="X139">
        <f>HYPERLINK("https://klasma.github.io/Logging_2582/kartor/A 4878-2026 karta.png", "A 4878-2026")</f>
        <v/>
      </c>
      <c r="Y139">
        <f>HYPERLINK("https://klasma.github.io/Logging_2582/kartor_geotiff/A 4878-2026 georefererad karta.tif", "A 4878-2026")</f>
        <v/>
      </c>
      <c r="AA139">
        <f>HYPERLINK("https://klasma.github.io/Logging_2582/klagomål/A 4878-2026 FSC-klagomål.docx", "A 4878-2026")</f>
        <v/>
      </c>
      <c r="AB139">
        <f>HYPERLINK("https://klasma.github.io/Logging_2582/klagomålsmail/A 4878-2026 FSC-klagomål mail.docx", "A 4878-2026")</f>
        <v/>
      </c>
      <c r="AC139">
        <f>HYPERLINK("https://klasma.github.io/Logging_2582/tillsyn/A 4878-2026 tillsynsbegäran.docx", "A 4878-2026")</f>
        <v/>
      </c>
      <c r="AD139">
        <f>HYPERLINK("https://klasma.github.io/Logging_2582/tillsynsmail/A 4878-2026 tillsynsbegäran mail.docx", "A 4878-2026")</f>
        <v/>
      </c>
    </row>
    <row r="140" ht="15" customHeight="1">
      <c r="A140" t="inlineStr">
        <is>
          <t>A 26438-2026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46183</v>
      </c>
      <c r="E140" s="1" t="n">
        <v>46252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15.9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0</v>
      </c>
      <c r="V140" s="2" t="inlineStr">
        <is>
          <t>Kolflarnlav</t>
        </is>
      </c>
      <c r="W140">
        <f>HYPERLINK("https://klasma.github.io/Logging_2582/artfynd/A 26438-2026 artfynd.xlsx", "A 26438-2026")</f>
        <v/>
      </c>
      <c r="X140">
        <f>HYPERLINK("https://klasma.github.io/Logging_2582/kartor/A 26438-2026 karta.png", "A 26438-2026")</f>
        <v/>
      </c>
      <c r="Y140">
        <f>HYPERLINK("https://klasma.github.io/Logging_2582/kartor_geotiff/A 26438-2026 georefererad karta.tif", "A 26438-2026")</f>
        <v/>
      </c>
      <c r="AA140">
        <f>HYPERLINK("https://klasma.github.io/Logging_2582/klagomål/A 26438-2026 FSC-klagomål.docx", "A 26438-2026")</f>
        <v/>
      </c>
      <c r="AB140">
        <f>HYPERLINK("https://klasma.github.io/Logging_2582/klagomålsmail/A 26438-2026 FSC-klagomål mail.docx", "A 26438-2026")</f>
        <v/>
      </c>
      <c r="AC140">
        <f>HYPERLINK("https://klasma.github.io/Logging_2582/tillsyn/A 26438-2026 tillsynsbegäran.docx", "A 26438-2026")</f>
        <v/>
      </c>
      <c r="AD140">
        <f>HYPERLINK("https://klasma.github.io/Logging_2582/tillsynsmail/A 26438-2026 tillsynsbegäran mail.docx", "A 26438-2026")</f>
        <v/>
      </c>
    </row>
    <row r="141" ht="15" customHeight="1">
      <c r="A141" t="inlineStr">
        <is>
          <t>A 26690-2026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46184</v>
      </c>
      <c r="E141" s="1" t="n">
        <v>46252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26690-2026 artfynd.xlsx", "A 26690-2026")</f>
        <v/>
      </c>
      <c r="X141">
        <f>HYPERLINK("https://klasma.github.io/Logging_2582/kartor/A 26690-2026 karta.png", "A 26690-2026")</f>
        <v/>
      </c>
      <c r="Y141">
        <f>HYPERLINK("https://klasma.github.io/Logging_2582/kartor_geotiff/A 26690-2026 georefererad karta.tif", "A 26690-2026")</f>
        <v/>
      </c>
      <c r="Z141">
        <f>HYPERLINK("https://klasma.github.io/Logging_2582/knärot/A 26690-2026 karta knärot.png", "A 26690-2026")</f>
        <v/>
      </c>
      <c r="AA141">
        <f>HYPERLINK("https://klasma.github.io/Logging_2582/klagomål/A 26690-2026 FSC-klagomål.docx", "A 26690-2026")</f>
        <v/>
      </c>
      <c r="AB141">
        <f>HYPERLINK("https://klasma.github.io/Logging_2582/klagomålsmail/A 26690-2026 FSC-klagomål mail.docx", "A 26690-2026")</f>
        <v/>
      </c>
      <c r="AC141">
        <f>HYPERLINK("https://klasma.github.io/Logging_2582/tillsyn/A 26690-2026 tillsynsbegäran.docx", "A 26690-2026")</f>
        <v/>
      </c>
      <c r="AD141">
        <f>HYPERLINK("https://klasma.github.io/Logging_2582/tillsynsmail/A 26690-2026 tillsynsbegäran mail.docx", "A 26690-2026")</f>
        <v/>
      </c>
    </row>
    <row r="142" ht="15" customHeight="1">
      <c r="A142" t="inlineStr">
        <is>
          <t>A 19396-2022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46252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HYPERLINK("https://klasma.github.io/Logging_2582/artfynd/A 19396-2022 artfynd.xlsx", "A 19396-2022")</f>
        <v/>
      </c>
      <c r="X142">
        <f>HYPERLINK("https://klasma.github.io/Logging_2582/kartor/A 19396-2022 karta.png", "A 19396-2022")</f>
        <v/>
      </c>
      <c r="Y142">
        <f>HYPERLINK("https://klasma.github.io/Logging_2582/kartor_geotiff/A 19396-2022 georefererad karta.tif", "A 19396-2022")</f>
        <v/>
      </c>
      <c r="AA142">
        <f>HYPERLINK("https://klasma.github.io/Logging_2582/klagomål/A 19396-2022 FSC-klagomål.docx", "A 19396-2022")</f>
        <v/>
      </c>
      <c r="AB142">
        <f>HYPERLINK("https://klasma.github.io/Logging_2582/klagomålsmail/A 19396-2022 FSC-klagomål mail.docx", "A 19396-2022")</f>
        <v/>
      </c>
      <c r="AC142">
        <f>HYPERLINK("https://klasma.github.io/Logging_2582/tillsyn/A 19396-2022 tillsynsbegäran.docx", "A 19396-2022")</f>
        <v/>
      </c>
      <c r="AD142">
        <f>HYPERLINK("https://klasma.github.io/Logging_2582/tillsynsmail/A 19396-2022 tillsynsbegäran mail.docx", "A 19396-2022")</f>
        <v/>
      </c>
    </row>
    <row r="143" ht="15" customHeight="1">
      <c r="A143" t="inlineStr">
        <is>
          <t>A 14329-2026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46252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Tjäder</t>
        </is>
      </c>
      <c r="W143">
        <f>HYPERLINK("https://klasma.github.io/Logging_2582/artfynd/A 14329-2026 artfynd.xlsx", "A 14329-2026")</f>
        <v/>
      </c>
      <c r="X143">
        <f>HYPERLINK("https://klasma.github.io/Logging_2582/kartor/A 14329-2026 karta.png", "A 14329-2026")</f>
        <v/>
      </c>
      <c r="Y143">
        <f>HYPERLINK("https://klasma.github.io/Logging_2582/kartor_geotiff/A 14329-2026 georefererad karta.tif", "A 14329-2026")</f>
        <v/>
      </c>
      <c r="AA143">
        <f>HYPERLINK("https://klasma.github.io/Logging_2582/klagomål/A 14329-2026 FSC-klagomål.docx", "A 14329-2026")</f>
        <v/>
      </c>
      <c r="AB143">
        <f>HYPERLINK("https://klasma.github.io/Logging_2582/klagomålsmail/A 14329-2026 FSC-klagomål mail.docx", "A 14329-2026")</f>
        <v/>
      </c>
      <c r="AC143">
        <f>HYPERLINK("https://klasma.github.io/Logging_2582/tillsyn/A 14329-2026 tillsynsbegäran.docx", "A 14329-2026")</f>
        <v/>
      </c>
      <c r="AD143">
        <f>HYPERLINK("https://klasma.github.io/Logging_2582/tillsynsmail/A 14329-2026 tillsynsbegäran mail.docx", "A 14329-2026")</f>
        <v/>
      </c>
      <c r="AE143">
        <f>HYPERLINK("https://klasma.github.io/Logging_2582/fåglar/A 14329-2026 prioriterade fågelarter.docx", "A 14329-2026")</f>
        <v/>
      </c>
    </row>
    <row r="144" ht="15" customHeight="1">
      <c r="A144" t="inlineStr">
        <is>
          <t>A 2565-2026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46252</v>
      </c>
      <c r="F144" t="inlineStr">
        <is>
          <t>NORRBOTTENS LÄN</t>
        </is>
      </c>
      <c r="G144" t="inlineStr">
        <is>
          <t>BODEN</t>
        </is>
      </c>
      <c r="H144" t="inlineStr">
        <is>
          <t>Naturvårdsverket</t>
        </is>
      </c>
      <c r="I144" t="n">
        <v>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2</v>
      </c>
      <c r="V144" s="2" t="inlineStr">
        <is>
          <t>Garnlav</t>
        </is>
      </c>
      <c r="W144">
        <f>HYPERLINK("https://klasma.github.io/Logging_2582/artfynd/A 2565-2026 artfynd.xlsx", "A 2565-2026")</f>
        <v/>
      </c>
      <c r="X144">
        <f>HYPERLINK("https://klasma.github.io/Logging_2582/kartor/A 2565-2026 karta.png", "A 2565-2026")</f>
        <v/>
      </c>
      <c r="Y144">
        <f>HYPERLINK("https://klasma.github.io/Logging_2582/kartor_geotiff/A 2565-2026 georefererad karta.tif", "A 2565-2026")</f>
        <v/>
      </c>
      <c r="AA144">
        <f>HYPERLINK("https://klasma.github.io/Logging_2582/klagomål/A 2565-2026 FSC-klagomål.docx", "A 2565-2026")</f>
        <v/>
      </c>
      <c r="AB144">
        <f>HYPERLINK("https://klasma.github.io/Logging_2582/klagomålsmail/A 2565-2026 FSC-klagomål mail.docx", "A 2565-2026")</f>
        <v/>
      </c>
      <c r="AC144">
        <f>HYPERLINK("https://klasma.github.io/Logging_2582/tillsyn/A 2565-2026 tillsynsbegäran.docx", "A 2565-2026")</f>
        <v/>
      </c>
      <c r="AD144">
        <f>HYPERLINK("https://klasma.github.io/Logging_2582/tillsynsmail/A 2565-2026 tillsynsbegäran mail.docx", "A 2565-2026")</f>
        <v/>
      </c>
    </row>
    <row r="145" ht="15" customHeight="1">
      <c r="A145" t="inlineStr">
        <is>
          <t>A 32159-2026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46236</v>
      </c>
      <c r="E145" s="1" t="n">
        <v>46252</v>
      </c>
      <c r="F145" t="inlineStr">
        <is>
          <t>NORRBOTTENS LÄN</t>
        </is>
      </c>
      <c r="G145" t="inlineStr">
        <is>
          <t>BODEN</t>
        </is>
      </c>
      <c r="I145" t="n">
        <v>5.8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32159-2026 artfynd.xlsx", "A 32159-2026")</f>
        <v/>
      </c>
      <c r="X145">
        <f>HYPERLINK("https://klasma.github.io/Logging_2582/kartor/A 32159-2026 karta.png", "A 32159-2026")</f>
        <v/>
      </c>
      <c r="Y145">
        <f>HYPERLINK("https://klasma.github.io/Logging_2582/kartor_geotiff/A 32159-2026 georefererad karta.tif", "A 32159-2026")</f>
        <v/>
      </c>
      <c r="AA145">
        <f>HYPERLINK("https://klasma.github.io/Logging_2582/klagomål/A 32159-2026 FSC-klagomål.docx", "A 32159-2026")</f>
        <v/>
      </c>
      <c r="AB145">
        <f>HYPERLINK("https://klasma.github.io/Logging_2582/klagomålsmail/A 32159-2026 FSC-klagomål mail.docx", "A 32159-2026")</f>
        <v/>
      </c>
      <c r="AC145">
        <f>HYPERLINK("https://klasma.github.io/Logging_2582/tillsyn/A 32159-2026 tillsynsbegäran.docx", "A 32159-2026")</f>
        <v/>
      </c>
      <c r="AD145">
        <f>HYPERLINK("https://klasma.github.io/Logging_2582/tillsynsmail/A 32159-2026 tillsynsbegäran mail.docx", "A 32159-2026")</f>
        <v/>
      </c>
    </row>
    <row r="146" ht="15" customHeight="1">
      <c r="A146" t="inlineStr">
        <is>
          <t>A 32708-2026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46252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Lunglav</t>
        </is>
      </c>
      <c r="W146">
        <f>HYPERLINK("https://klasma.github.io/Logging_2582/artfynd/A 32708-2026 artfynd.xlsx", "A 32708-2026")</f>
        <v/>
      </c>
      <c r="X146">
        <f>HYPERLINK("https://klasma.github.io/Logging_2582/kartor/A 32708-2026 karta.png", "A 32708-2026")</f>
        <v/>
      </c>
      <c r="Y146">
        <f>HYPERLINK("https://klasma.github.io/Logging_2582/kartor_geotiff/A 32708-2026 georefererad karta.tif", "A 32708-2026")</f>
        <v/>
      </c>
      <c r="AA146">
        <f>HYPERLINK("https://klasma.github.io/Logging_2582/klagomål/A 32708-2026 FSC-klagomål.docx", "A 32708-2026")</f>
        <v/>
      </c>
      <c r="AB146">
        <f>HYPERLINK("https://klasma.github.io/Logging_2582/klagomålsmail/A 32708-2026 FSC-klagomål mail.docx", "A 32708-2026")</f>
        <v/>
      </c>
      <c r="AC146">
        <f>HYPERLINK("https://klasma.github.io/Logging_2582/tillsyn/A 32708-2026 tillsynsbegäran.docx", "A 32708-2026")</f>
        <v/>
      </c>
      <c r="AD146">
        <f>HYPERLINK("https://klasma.github.io/Logging_2582/tillsynsmail/A 32708-2026 tillsynsbegäran mail.docx", "A 32708-2026")</f>
        <v/>
      </c>
    </row>
    <row r="147" ht="15" customHeight="1">
      <c r="A147" t="inlineStr">
        <is>
          <t>A 19580-2026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46252</v>
      </c>
      <c r="F147" t="inlineStr">
        <is>
          <t>NORRBOTTENS LÄN</t>
        </is>
      </c>
      <c r="G147" t="inlineStr">
        <is>
          <t>BODEN</t>
        </is>
      </c>
      <c r="I147" t="n">
        <v>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Dropptaggsvamp</t>
        </is>
      </c>
      <c r="W147">
        <f>HYPERLINK("https://klasma.github.io/Logging_2582/artfynd/A 19580-2026 artfynd.xlsx", "A 19580-2026")</f>
        <v/>
      </c>
      <c r="X147">
        <f>HYPERLINK("https://klasma.github.io/Logging_2582/kartor/A 19580-2026 karta.png", "A 19580-2026")</f>
        <v/>
      </c>
      <c r="Y147">
        <f>HYPERLINK("https://klasma.github.io/Logging_2582/kartor_geotiff/A 19580-2026 georefererad karta.tif", "A 19580-2026")</f>
        <v/>
      </c>
      <c r="AA147">
        <f>HYPERLINK("https://klasma.github.io/Logging_2582/klagomål/A 19580-2026 FSC-klagomål.docx", "A 19580-2026")</f>
        <v/>
      </c>
      <c r="AB147">
        <f>HYPERLINK("https://klasma.github.io/Logging_2582/klagomålsmail/A 19580-2026 FSC-klagomål mail.docx", "A 19580-2026")</f>
        <v/>
      </c>
      <c r="AC147">
        <f>HYPERLINK("https://klasma.github.io/Logging_2582/tillsyn/A 19580-2026 tillsynsbegäran.docx", "A 19580-2026")</f>
        <v/>
      </c>
      <c r="AD147">
        <f>HYPERLINK("https://klasma.github.io/Logging_2582/tillsynsmail/A 19580-2026 tillsynsbegäran mail.docx", "A 19580-2026")</f>
        <v/>
      </c>
    </row>
    <row r="148" ht="15" customHeight="1">
      <c r="A148" t="inlineStr">
        <is>
          <t>A 32664-2026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46240</v>
      </c>
      <c r="E148" s="1" t="n">
        <v>46252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14.3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4</v>
      </c>
      <c r="U148" t="n">
        <v>0</v>
      </c>
      <c r="V148" s="2" t="inlineStr">
        <is>
          <t>Lunglav</t>
        </is>
      </c>
      <c r="W148">
        <f>HYPERLINK("https://klasma.github.io/Logging_2582/artfynd/A 32664-2026 artfynd.xlsx", "A 32664-2026")</f>
        <v/>
      </c>
      <c r="X148">
        <f>HYPERLINK("https://klasma.github.io/Logging_2582/kartor/A 32664-2026 karta.png", "A 32664-2026")</f>
        <v/>
      </c>
      <c r="Y148">
        <f>HYPERLINK("https://klasma.github.io/Logging_2582/kartor_geotiff/A 32664-2026 georefererad karta.tif", "A 32664-2026")</f>
        <v/>
      </c>
      <c r="AA148">
        <f>HYPERLINK("https://klasma.github.io/Logging_2582/klagomål/A 32664-2026 FSC-klagomål.docx", "A 32664-2026")</f>
        <v/>
      </c>
      <c r="AB148">
        <f>HYPERLINK("https://klasma.github.io/Logging_2582/klagomålsmail/A 32664-2026 FSC-klagomål mail.docx", "A 32664-2026")</f>
        <v/>
      </c>
      <c r="AC148">
        <f>HYPERLINK("https://klasma.github.io/Logging_2582/tillsyn/A 32664-2026 tillsynsbegäran.docx", "A 32664-2026")</f>
        <v/>
      </c>
      <c r="AD148">
        <f>HYPERLINK("https://klasma.github.io/Logging_2582/tillsynsmail/A 32664-2026 tillsynsbegäran mail.docx", "A 32664-2026")</f>
        <v/>
      </c>
    </row>
    <row r="149" ht="15" customHeight="1">
      <c r="A149" t="inlineStr">
        <is>
          <t>A 29875-2026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46252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4.4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Tallticka</t>
        </is>
      </c>
      <c r="W149">
        <f>HYPERLINK("https://klasma.github.io/Logging_2582/artfynd/A 29875-2026 artfynd.xlsx", "A 29875-2026")</f>
        <v/>
      </c>
      <c r="X149">
        <f>HYPERLINK("https://klasma.github.io/Logging_2582/kartor/A 29875-2026 karta.png", "A 29875-2026")</f>
        <v/>
      </c>
      <c r="Y149">
        <f>HYPERLINK("https://klasma.github.io/Logging_2582/kartor_geotiff/A 29875-2026 georefererad karta.tif", "A 29875-2026")</f>
        <v/>
      </c>
      <c r="AA149">
        <f>HYPERLINK("https://klasma.github.io/Logging_2582/klagomål/A 29875-2026 FSC-klagomål.docx", "A 29875-2026")</f>
        <v/>
      </c>
      <c r="AB149">
        <f>HYPERLINK("https://klasma.github.io/Logging_2582/klagomålsmail/A 29875-2026 FSC-klagomål mail.docx", "A 29875-2026")</f>
        <v/>
      </c>
      <c r="AC149">
        <f>HYPERLINK("https://klasma.github.io/Logging_2582/tillsyn/A 29875-2026 tillsynsbegäran.docx", "A 29875-2026")</f>
        <v/>
      </c>
      <c r="AD149">
        <f>HYPERLINK("https://klasma.github.io/Logging_2582/tillsynsmail/A 29875-2026 tillsynsbegäran mail.docx", "A 29875-2026")</f>
        <v/>
      </c>
    </row>
    <row r="150" ht="15" customHeight="1">
      <c r="A150" t="inlineStr">
        <is>
          <t>A 21310-2026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46252</v>
      </c>
      <c r="F150" t="inlineStr">
        <is>
          <t>NORRBOTTENS LÄN</t>
        </is>
      </c>
      <c r="G150" t="inlineStr">
        <is>
          <t>BODEN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HYPERLINK("https://klasma.github.io/Logging_2582/artfynd/A 21310-2026 artfynd.xlsx", "A 21310-2026")</f>
        <v/>
      </c>
      <c r="X150">
        <f>HYPERLINK("https://klasma.github.io/Logging_2582/kartor/A 21310-2026 karta.png", "A 21310-2026")</f>
        <v/>
      </c>
      <c r="Y150">
        <f>HYPERLINK("https://klasma.github.io/Logging_2582/kartor_geotiff/A 21310-2026 georefererad karta.tif", "A 21310-2026")</f>
        <v/>
      </c>
      <c r="AA150">
        <f>HYPERLINK("https://klasma.github.io/Logging_2582/klagomål/A 21310-2026 FSC-klagomål.docx", "A 21310-2026")</f>
        <v/>
      </c>
      <c r="AB150">
        <f>HYPERLINK("https://klasma.github.io/Logging_2582/klagomålsmail/A 21310-2026 FSC-klagomål mail.docx", "A 21310-2026")</f>
        <v/>
      </c>
      <c r="AC150">
        <f>HYPERLINK("https://klasma.github.io/Logging_2582/tillsyn/A 21310-2026 tillsynsbegäran.docx", "A 21310-2026")</f>
        <v/>
      </c>
      <c r="AD150">
        <f>HYPERLINK("https://klasma.github.io/Logging_2582/tillsynsmail/A 21310-2026 tillsynsbegäran mail.docx", "A 21310-2026")</f>
        <v/>
      </c>
    </row>
    <row r="151" ht="15" customHeight="1">
      <c r="A151" t="inlineStr">
        <is>
          <t>A 16217-2024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46252</v>
      </c>
      <c r="F151" t="inlineStr">
        <is>
          <t>NORRBOTTENS LÄN</t>
        </is>
      </c>
      <c r="G151" t="inlineStr">
        <is>
          <t>BODEN</t>
        </is>
      </c>
      <c r="I151" t="n">
        <v>7.2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Videsparv</t>
        </is>
      </c>
      <c r="W151">
        <f>HYPERLINK("https://klasma.github.io/Logging_2582/artfynd/A 16217-2024 artfynd.xlsx", "A 16217-2024")</f>
        <v/>
      </c>
      <c r="X151">
        <f>HYPERLINK("https://klasma.github.io/Logging_2582/kartor/A 16217-2024 karta.png", "A 16217-2024")</f>
        <v/>
      </c>
      <c r="Y151">
        <f>HYPERLINK("https://klasma.github.io/Logging_2582/kartor_geotiff/A 16217-2024 georefererad karta.tif", "A 16217-2024")</f>
        <v/>
      </c>
      <c r="AA151">
        <f>HYPERLINK("https://klasma.github.io/Logging_2582/klagomål/A 16217-2024 FSC-klagomål.docx", "A 16217-2024")</f>
        <v/>
      </c>
      <c r="AB151">
        <f>HYPERLINK("https://klasma.github.io/Logging_2582/klagomålsmail/A 16217-2024 FSC-klagomål mail.docx", "A 16217-2024")</f>
        <v/>
      </c>
      <c r="AC151">
        <f>HYPERLINK("https://klasma.github.io/Logging_2582/tillsyn/A 16217-2024 tillsynsbegäran.docx", "A 16217-2024")</f>
        <v/>
      </c>
      <c r="AD151">
        <f>HYPERLINK("https://klasma.github.io/Logging_2582/tillsynsmail/A 16217-2024 tillsynsbegäran mail.docx", "A 16217-2024")</f>
        <v/>
      </c>
      <c r="AE151">
        <f>HYPERLINK("https://klasma.github.io/Logging_2582/fåglar/A 16217-2024 prioriterade fågelarter.docx", "A 16217-2024")</f>
        <v/>
      </c>
    </row>
    <row r="152" ht="15" customHeight="1">
      <c r="A152" t="inlineStr">
        <is>
          <t>A 24429-2026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46168</v>
      </c>
      <c r="E152" s="1" t="n">
        <v>46252</v>
      </c>
      <c r="F152" t="inlineStr">
        <is>
          <t>NORRBOTTENS LÄN</t>
        </is>
      </c>
      <c r="G152" t="inlineStr">
        <is>
          <t>BODEN</t>
        </is>
      </c>
      <c r="I152" t="n">
        <v>0.5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Fläcknycklar</t>
        </is>
      </c>
      <c r="W152">
        <f>HYPERLINK("https://klasma.github.io/Logging_2582/artfynd/A 24429-2026 artfynd.xlsx", "A 24429-2026")</f>
        <v/>
      </c>
      <c r="X152">
        <f>HYPERLINK("https://klasma.github.io/Logging_2582/kartor/A 24429-2026 karta.png", "A 24429-2026")</f>
        <v/>
      </c>
      <c r="Y152">
        <f>HYPERLINK("https://klasma.github.io/Logging_2582/kartor_geotiff/A 24429-2026 georefererad karta.tif", "A 24429-2026")</f>
        <v/>
      </c>
      <c r="AA152">
        <f>HYPERLINK("https://klasma.github.io/Logging_2582/klagomål/A 24429-2026 FSC-klagomål.docx", "A 24429-2026")</f>
        <v/>
      </c>
      <c r="AB152">
        <f>HYPERLINK("https://klasma.github.io/Logging_2582/klagomålsmail/A 24429-2026 FSC-klagomål mail.docx", "A 24429-2026")</f>
        <v/>
      </c>
      <c r="AC152">
        <f>HYPERLINK("https://klasma.github.io/Logging_2582/tillsyn/A 24429-2026 tillsynsbegäran.docx", "A 24429-2026")</f>
        <v/>
      </c>
      <c r="AD152">
        <f>HYPERLINK("https://klasma.github.io/Logging_2582/tillsynsmail/A 24429-2026 tillsynsbegäran mail.docx", "A 24429-2026")</f>
        <v/>
      </c>
    </row>
    <row r="153" ht="15" customHeight="1">
      <c r="A153" t="inlineStr">
        <is>
          <t>S 187-2023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44944</v>
      </c>
      <c r="E153" s="1" t="n">
        <v>46252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407.1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HYPERLINK("https://klasma.github.io/Logging_2582/artfynd/S 187-2023 artfynd.xlsx", "S 187-2023")</f>
        <v/>
      </c>
      <c r="X153">
        <f>HYPERLINK("https://klasma.github.io/Logging_2582/kartor/S 187-2023 karta.png", "S 187-2023")</f>
        <v/>
      </c>
      <c r="Y153">
        <f>HYPERLINK("https://klasma.github.io/Logging_2582/kartor_geotiff/S 187-2023 georefererad karta.tif", "S 187-2023")</f>
        <v/>
      </c>
      <c r="AA153">
        <f>HYPERLINK("https://klasma.github.io/Logging_2582/klagomål/S 187-2023 FSC-klagomål.docx", "S 187-2023")</f>
        <v/>
      </c>
      <c r="AB153">
        <f>HYPERLINK("https://klasma.github.io/Logging_2582/klagomålsmail/S 187-2023 FSC-klagomål mail.docx", "S 187-2023")</f>
        <v/>
      </c>
      <c r="AC153">
        <f>HYPERLINK("https://klasma.github.io/Logging_2582/tillsyn/S 187-2023 tillsynsbegäran.docx", "S 187-2023")</f>
        <v/>
      </c>
      <c r="AD153">
        <f>HYPERLINK("https://klasma.github.io/Logging_2582/tillsynsmail/S 187-2023 tillsynsbegäran mail.docx", "S 187-2023")</f>
        <v/>
      </c>
      <c r="AE153">
        <f>HYPERLINK("https://klasma.github.io/Logging_2582/fåglar/S 187-2023 prioriterade fågelarter.docx", "S 187-2023")</f>
        <v/>
      </c>
    </row>
    <row r="154" ht="15" customHeight="1">
      <c r="A154" t="inlineStr">
        <is>
          <t>S 1448-2024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45418</v>
      </c>
      <c r="E154" s="1" t="n">
        <v>46252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HYPERLINK("https://klasma.github.io/Logging_2582/artfynd/S 1448-2024 artfynd.xlsx", "S 1448-2024")</f>
        <v/>
      </c>
      <c r="X154">
        <f>HYPERLINK("https://klasma.github.io/Logging_2582/kartor/S 1448-2024 karta.png", "S 1448-2024")</f>
        <v/>
      </c>
      <c r="Y154">
        <f>HYPERLINK("https://klasma.github.io/Logging_2582/kartor_geotiff/S 1448-2024 georefererad karta.tif", "S 1448-2024")</f>
        <v/>
      </c>
      <c r="AA154">
        <f>HYPERLINK("https://klasma.github.io/Logging_2582/klagomål/S 1448-2024 FSC-klagomål.docx", "S 1448-2024")</f>
        <v/>
      </c>
      <c r="AB154">
        <f>HYPERLINK("https://klasma.github.io/Logging_2582/klagomålsmail/S 1448-2024 FSC-klagomål mail.docx", "S 1448-2024")</f>
        <v/>
      </c>
      <c r="AC154">
        <f>HYPERLINK("https://klasma.github.io/Logging_2582/tillsyn/S 1448-2024 tillsynsbegäran.docx", "S 1448-2024")</f>
        <v/>
      </c>
      <c r="AD154">
        <f>HYPERLINK("https://klasma.github.io/Logging_2582/tillsynsmail/S 1448-2024 tillsynsbegäran mail.docx", "S 1448-2024")</f>
        <v/>
      </c>
    </row>
    <row r="155" ht="15" customHeight="1">
      <c r="A155" t="inlineStr">
        <is>
          <t>S 1234-2023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45028</v>
      </c>
      <c r="E155" s="1" t="n">
        <v>46252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100.1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HYPERLINK("https://klasma.github.io/Logging_2582/artfynd/S 1234-2023 artfynd.xlsx", "S 1234-2023")</f>
        <v/>
      </c>
      <c r="X155">
        <f>HYPERLINK("https://klasma.github.io/Logging_2582/kartor/S 1234-2023 karta.png", "S 1234-2023")</f>
        <v/>
      </c>
      <c r="Y155">
        <f>HYPERLINK("https://klasma.github.io/Logging_2582/kartor_geotiff/S 1234-2023 georefererad karta.tif", "S 1234-2023")</f>
        <v/>
      </c>
      <c r="AA155">
        <f>HYPERLINK("https://klasma.github.io/Logging_2582/klagomål/S 1234-2023 FSC-klagomål.docx", "S 1234-2023")</f>
        <v/>
      </c>
      <c r="AB155">
        <f>HYPERLINK("https://klasma.github.io/Logging_2582/klagomålsmail/S 1234-2023 FSC-klagomål mail.docx", "S 1234-2023")</f>
        <v/>
      </c>
      <c r="AC155">
        <f>HYPERLINK("https://klasma.github.io/Logging_2582/tillsyn/S 1234-2023 tillsynsbegäran.docx", "S 1234-2023")</f>
        <v/>
      </c>
      <c r="AD155">
        <f>HYPERLINK("https://klasma.github.io/Logging_2582/tillsynsmail/S 1234-2023 tillsynsbegäran mail.docx", "S 1234-2023")</f>
        <v/>
      </c>
    </row>
    <row r="156" ht="15" customHeight="1">
      <c r="A156" t="inlineStr">
        <is>
          <t>S 5116-2024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45643</v>
      </c>
      <c r="E156" s="1" t="n">
        <v>46252</v>
      </c>
      <c r="F156" t="inlineStr">
        <is>
          <t>NORRBOTTENS LÄN</t>
        </is>
      </c>
      <c r="G156" t="inlineStr">
        <is>
          <t>BODEN</t>
        </is>
      </c>
      <c r="I156" t="n">
        <v>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HYPERLINK("https://klasma.github.io/Logging_2582/artfynd/S 5116-2024 artfynd.xlsx", "S 5116-2024")</f>
        <v/>
      </c>
      <c r="X156">
        <f>HYPERLINK("https://klasma.github.io/Logging_2582/kartor/S 5116-2024 karta.png", "S 5116-2024")</f>
        <v/>
      </c>
      <c r="Y156">
        <f>HYPERLINK("https://klasma.github.io/Logging_2582/kartor_geotiff/S 5116-2024 georefererad karta.tif", "S 5116-2024")</f>
        <v/>
      </c>
      <c r="AA156">
        <f>HYPERLINK("https://klasma.github.io/Logging_2582/klagomål/S 5116-2024 FSC-klagomål.docx", "S 5116-2024")</f>
        <v/>
      </c>
      <c r="AB156">
        <f>HYPERLINK("https://klasma.github.io/Logging_2582/klagomålsmail/S 5116-2024 FSC-klagomål mail.docx", "S 5116-2024")</f>
        <v/>
      </c>
      <c r="AC156">
        <f>HYPERLINK("https://klasma.github.io/Logging_2582/tillsyn/S 5116-2024 tillsynsbegäran.docx", "S 5116-2024")</f>
        <v/>
      </c>
      <c r="AD156">
        <f>HYPERLINK("https://klasma.github.io/Logging_2582/tillsynsmail/S 5116-2024 tillsynsbegäran mail.docx", "S 5116-2024")</f>
        <v/>
      </c>
    </row>
    <row r="157" ht="15" customHeight="1">
      <c r="A157" t="inlineStr">
        <is>
          <t>S 1634-2025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45799</v>
      </c>
      <c r="E157" s="1" t="n">
        <v>46252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HYPERLINK("https://klasma.github.io/Logging_2582/artfynd/S 1634-2025 artfynd.xlsx", "S 1634-2025")</f>
        <v/>
      </c>
      <c r="X157">
        <f>HYPERLINK("https://klasma.github.io/Logging_2582/kartor/S 1634-2025 karta.png", "S 1634-2025")</f>
        <v/>
      </c>
      <c r="Y157">
        <f>HYPERLINK("https://klasma.github.io/Logging_2582/kartor_geotiff/S 1634-2025 georefererad karta.tif", "S 1634-2025")</f>
        <v/>
      </c>
      <c r="Z157">
        <f>HYPERLINK("https://klasma.github.io/Logging_2582/knärot/S 1634-2025 karta knärot.png", "S 1634-2025")</f>
        <v/>
      </c>
      <c r="AA157">
        <f>HYPERLINK("https://klasma.github.io/Logging_2582/klagomål/S 1634-2025 FSC-klagomål.docx", "S 1634-2025")</f>
        <v/>
      </c>
      <c r="AB157">
        <f>HYPERLINK("https://klasma.github.io/Logging_2582/klagomålsmail/S 1634-2025 FSC-klagomål mail.docx", "S 1634-2025")</f>
        <v/>
      </c>
      <c r="AC157">
        <f>HYPERLINK("https://klasma.github.io/Logging_2582/tillsyn/S 1634-2025 tillsynsbegäran.docx", "S 1634-2025")</f>
        <v/>
      </c>
      <c r="AD157">
        <f>HYPERLINK("https://klasma.github.io/Logging_2582/tillsynsmail/S 1634-2025 tillsynsbegäran mail.docx", "S 1634-2025")</f>
        <v/>
      </c>
    </row>
    <row r="158" ht="15" customHeight="1">
      <c r="A158" t="inlineStr">
        <is>
          <t>S 2450-2025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45901</v>
      </c>
      <c r="E158" s="1" t="n">
        <v>46252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HYPERLINK("https://klasma.github.io/Logging_2582/artfynd/S 2450-2025 artfynd.xlsx", "S 2450-2025")</f>
        <v/>
      </c>
      <c r="X158">
        <f>HYPERLINK("https://klasma.github.io/Logging_2582/kartor/S 2450-2025 karta.png", "S 2450-2025")</f>
        <v/>
      </c>
      <c r="Y158">
        <f>HYPERLINK("https://klasma.github.io/Logging_2582/kartor_geotiff/S 2450-2025 georefererad karta.tif", "S 2450-2025")</f>
        <v/>
      </c>
      <c r="AA158">
        <f>HYPERLINK("https://klasma.github.io/Logging_2582/klagomål/S 2450-2025 FSC-klagomål.docx", "S 2450-2025")</f>
        <v/>
      </c>
      <c r="AB158">
        <f>HYPERLINK("https://klasma.github.io/Logging_2582/klagomålsmail/S 2450-2025 FSC-klagomål mail.docx", "S 2450-2025")</f>
        <v/>
      </c>
      <c r="AC158">
        <f>HYPERLINK("https://klasma.github.io/Logging_2582/tillsyn/S 2450-2025 tillsynsbegäran.docx", "S 2450-2025")</f>
        <v/>
      </c>
      <c r="AD158">
        <f>HYPERLINK("https://klasma.github.io/Logging_2582/tillsynsmail/S 2450-2025 tillsynsbegäran mail.docx", "S 2450-2025")</f>
        <v/>
      </c>
    </row>
    <row r="159" ht="15" customHeight="1">
      <c r="A159" t="inlineStr">
        <is>
          <t>S 2940-2025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45952</v>
      </c>
      <c r="E159" s="1" t="n">
        <v>46252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Skinnlav</t>
        </is>
      </c>
      <c r="W159">
        <f>HYPERLINK("https://klasma.github.io/Logging_2582/artfynd/S 2940-2025 artfynd.xlsx", "S 2940-2025")</f>
        <v/>
      </c>
      <c r="X159">
        <f>HYPERLINK("https://klasma.github.io/Logging_2582/kartor/S 2940-2025 karta.png", "S 2940-2025")</f>
        <v/>
      </c>
      <c r="Y159">
        <f>HYPERLINK("https://klasma.github.io/Logging_2582/kartor_geotiff/S 2940-2025 georefererad karta.tif", "S 2940-2025")</f>
        <v/>
      </c>
      <c r="AA159">
        <f>HYPERLINK("https://klasma.github.io/Logging_2582/klagomål/S 2940-2025 FSC-klagomål.docx", "S 2940-2025")</f>
        <v/>
      </c>
      <c r="AB159">
        <f>HYPERLINK("https://klasma.github.io/Logging_2582/klagomålsmail/S 2940-2025 FSC-klagomål mail.docx", "S 2940-2025")</f>
        <v/>
      </c>
      <c r="AC159">
        <f>HYPERLINK("https://klasma.github.io/Logging_2582/tillsyn/S 2940-2025 tillsynsbegäran.docx", "S 2940-2025")</f>
        <v/>
      </c>
      <c r="AD159">
        <f>HYPERLINK("https://klasma.github.io/Logging_2582/tillsynsmail/S 2940-2025 tillsynsbegäran mail.docx", "S 2940-2025")</f>
        <v/>
      </c>
    </row>
    <row r="160" ht="15" customHeight="1">
      <c r="A160" t="inlineStr">
        <is>
          <t>A 63790-2021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46252</v>
      </c>
      <c r="F160" t="inlineStr">
        <is>
          <t>NORRBOTTENS LÄN</t>
        </is>
      </c>
      <c r="G160" t="inlineStr">
        <is>
          <t>BODEN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46252</v>
      </c>
      <c r="F161" t="inlineStr">
        <is>
          <t>NORRBOTTENS LÄN</t>
        </is>
      </c>
      <c r="G161" t="inlineStr">
        <is>
          <t>BODEN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44577</v>
      </c>
      <c r="E162" s="1" t="n">
        <v>46252</v>
      </c>
      <c r="F162" t="inlineStr">
        <is>
          <t>NORRBOTTENS LÄN</t>
        </is>
      </c>
      <c r="G162" t="inlineStr">
        <is>
          <t>BODEN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46252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46252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46252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46252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46252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44815</v>
      </c>
      <c r="E168" s="1" t="n">
        <v>46252</v>
      </c>
      <c r="F168" t="inlineStr">
        <is>
          <t>NORRBOTTENS LÄN</t>
        </is>
      </c>
      <c r="G168" t="inlineStr">
        <is>
          <t>BODEN</t>
        </is>
      </c>
      <c r="H168" t="inlineStr">
        <is>
          <t>Övriga statliga verk och myndigheter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46252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44462</v>
      </c>
      <c r="E170" s="1" t="n">
        <v>46252</v>
      </c>
      <c r="F170" t="inlineStr">
        <is>
          <t>NORRBOTTENS LÄN</t>
        </is>
      </c>
      <c r="G170" t="inlineStr">
        <is>
          <t>BODEN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46252</v>
      </c>
      <c r="F171" t="inlineStr">
        <is>
          <t>NORRBOTTENS LÄN</t>
        </is>
      </c>
      <c r="G171" t="inlineStr">
        <is>
          <t>BODEN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46252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46252</v>
      </c>
      <c r="F173" t="inlineStr">
        <is>
          <t>NORRBOTTENS LÄN</t>
        </is>
      </c>
      <c r="G173" t="inlineStr">
        <is>
          <t>BODEN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46252</v>
      </c>
      <c r="F174" t="inlineStr">
        <is>
          <t>NORRBOTTENS LÄN</t>
        </is>
      </c>
      <c r="G174" t="inlineStr">
        <is>
          <t>BODEN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46252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46252</v>
      </c>
      <c r="F176" t="inlineStr">
        <is>
          <t>NORRBOTTENS LÄN</t>
        </is>
      </c>
      <c r="G176" t="inlineStr">
        <is>
          <t>BODEN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46252</v>
      </c>
      <c r="F177" t="inlineStr">
        <is>
          <t>NORRBOTTENS LÄN</t>
        </is>
      </c>
      <c r="G177" t="inlineStr">
        <is>
          <t>BODEN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46252</v>
      </c>
      <c r="F178" t="inlineStr">
        <is>
          <t>NORRBOTTENS LÄN</t>
        </is>
      </c>
      <c r="G178" t="inlineStr">
        <is>
          <t>BODEN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46252</v>
      </c>
      <c r="F179" t="inlineStr">
        <is>
          <t>NORRBOTTENS LÄN</t>
        </is>
      </c>
      <c r="G179" t="inlineStr">
        <is>
          <t>BODEN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46252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71833-2021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46252</v>
      </c>
      <c r="F181" t="inlineStr">
        <is>
          <t>NORRBOTTENS LÄN</t>
        </is>
      </c>
      <c r="G181" t="inlineStr">
        <is>
          <t>BODEN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46252</v>
      </c>
      <c r="F182" t="inlineStr">
        <is>
          <t>NORRBOTTENS LÄN</t>
        </is>
      </c>
      <c r="G182" t="inlineStr">
        <is>
          <t>BODEN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68914-2021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46252</v>
      </c>
      <c r="F183" t="inlineStr">
        <is>
          <t>NORRBOTTENS LÄN</t>
        </is>
      </c>
      <c r="G183" t="inlineStr">
        <is>
          <t>BODEN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13552-2022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46252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46252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46252</v>
      </c>
      <c r="F186" t="inlineStr">
        <is>
          <t>NORRBOTTENS LÄN</t>
        </is>
      </c>
      <c r="G186" t="inlineStr">
        <is>
          <t>BODEN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44566</v>
      </c>
      <c r="E187" s="1" t="n">
        <v>46252</v>
      </c>
      <c r="F187" t="inlineStr">
        <is>
          <t>NORRBOTTENS LÄN</t>
        </is>
      </c>
      <c r="G187" t="inlineStr">
        <is>
          <t>BODEN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714-2022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46252</v>
      </c>
      <c r="F188" t="inlineStr">
        <is>
          <t>NORRBOTTENS LÄN</t>
        </is>
      </c>
      <c r="G188" t="inlineStr">
        <is>
          <t>BODEN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44600</v>
      </c>
      <c r="E189" s="1" t="n">
        <v>46252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29119-2022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44749</v>
      </c>
      <c r="E190" s="1" t="n">
        <v>46252</v>
      </c>
      <c r="F190" t="inlineStr">
        <is>
          <t>NORRBOTTENS LÄN</t>
        </is>
      </c>
      <c r="G190" t="inlineStr">
        <is>
          <t>BODEN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44722</v>
      </c>
      <c r="E191" s="1" t="n">
        <v>46252</v>
      </c>
      <c r="F191" t="inlineStr">
        <is>
          <t>NORRBOTTENS LÄN</t>
        </is>
      </c>
      <c r="G191" t="inlineStr">
        <is>
          <t>BODEN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46252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46252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46252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44565</v>
      </c>
      <c r="E195" s="1" t="n">
        <v>46252</v>
      </c>
      <c r="F195" t="inlineStr">
        <is>
          <t>NORRBOTTENS LÄN</t>
        </is>
      </c>
      <c r="G195" t="inlineStr">
        <is>
          <t>BODEN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46252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46252</v>
      </c>
      <c r="F197" t="inlineStr">
        <is>
          <t>NORRBOTTENS LÄN</t>
        </is>
      </c>
      <c r="G197" t="inlineStr">
        <is>
          <t>BODEN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46252</v>
      </c>
      <c r="F198" t="inlineStr">
        <is>
          <t>NORRBOTTENS LÄN</t>
        </is>
      </c>
      <c r="G198" t="inlineStr">
        <is>
          <t>BODEN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46252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11.3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44625</v>
      </c>
      <c r="E200" s="1" t="n">
        <v>46252</v>
      </c>
      <c r="F200" t="inlineStr">
        <is>
          <t>NORRBOTTENS LÄN</t>
        </is>
      </c>
      <c r="G200" t="inlineStr">
        <is>
          <t>BODEN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46252</v>
      </c>
      <c r="F201" t="inlineStr">
        <is>
          <t>NORRBOTTENS LÄN</t>
        </is>
      </c>
      <c r="G201" t="inlineStr">
        <is>
          <t>BODEN</t>
        </is>
      </c>
      <c r="H201" t="inlineStr">
        <is>
          <t>Övriga statliga verk och myndigheter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46252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44799</v>
      </c>
      <c r="E203" s="1" t="n">
        <v>46252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46252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44743</v>
      </c>
      <c r="E205" s="1" t="n">
        <v>46252</v>
      </c>
      <c r="F205" t="inlineStr">
        <is>
          <t>NORRBOTTENS LÄN</t>
        </is>
      </c>
      <c r="G205" t="inlineStr">
        <is>
          <t>BODEN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46252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46252</v>
      </c>
      <c r="F207" t="inlineStr">
        <is>
          <t>NORRBOTTENS LÄN</t>
        </is>
      </c>
      <c r="G207" t="inlineStr">
        <is>
          <t>BODEN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46252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45189-2021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46252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46252</v>
      </c>
      <c r="F210" t="inlineStr">
        <is>
          <t>NORRBOTTENS LÄN</t>
        </is>
      </c>
      <c r="G210" t="inlineStr">
        <is>
          <t>BODEN</t>
        </is>
      </c>
      <c r="H210" t="inlineStr">
        <is>
          <t>Kyrkan</t>
        </is>
      </c>
      <c r="I210" t="n">
        <v>16.5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45583</v>
      </c>
      <c r="E211" s="1" t="n">
        <v>46252</v>
      </c>
      <c r="F211" t="inlineStr">
        <is>
          <t>NORRBOTTENS LÄN</t>
        </is>
      </c>
      <c r="G211" t="inlineStr">
        <is>
          <t>BODEN</t>
        </is>
      </c>
      <c r="H211" t="inlineStr">
        <is>
          <t>SCA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42711-2021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44428</v>
      </c>
      <c r="E212" s="1" t="n">
        <v>46252</v>
      </c>
      <c r="F212" t="inlineStr">
        <is>
          <t>NORRBOTTENS LÄN</t>
        </is>
      </c>
      <c r="G212" t="inlineStr">
        <is>
          <t>BODEN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45546</v>
      </c>
      <c r="E213" s="1" t="n">
        <v>46252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46252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46252</v>
      </c>
      <c r="F215" t="inlineStr">
        <is>
          <t>NORRBOTTENS LÄN</t>
        </is>
      </c>
      <c r="G215" t="inlineStr">
        <is>
          <t>BODEN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46541-2021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44445</v>
      </c>
      <c r="E216" s="1" t="n">
        <v>46252</v>
      </c>
      <c r="F216" t="inlineStr">
        <is>
          <t>NORRBOTTENS LÄN</t>
        </is>
      </c>
      <c r="G216" t="inlineStr">
        <is>
          <t>BODEN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46252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46252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45316</v>
      </c>
      <c r="E219" s="1" t="n">
        <v>46252</v>
      </c>
      <c r="F219" t="inlineStr">
        <is>
          <t>NORRBOTTENS LÄN</t>
        </is>
      </c>
      <c r="G219" t="inlineStr">
        <is>
          <t>BODEN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44797</v>
      </c>
      <c r="E220" s="1" t="n">
        <v>46252</v>
      </c>
      <c r="F220" t="inlineStr">
        <is>
          <t>NORRBOTTENS LÄN</t>
        </is>
      </c>
      <c r="G220" t="inlineStr">
        <is>
          <t>BODEN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45341</v>
      </c>
      <c r="E221" s="1" t="n">
        <v>46252</v>
      </c>
      <c r="F221" t="inlineStr">
        <is>
          <t>NORRBOTTENS LÄN</t>
        </is>
      </c>
      <c r="G221" t="inlineStr">
        <is>
          <t>BODEN</t>
        </is>
      </c>
      <c r="H221" t="inlineStr">
        <is>
          <t>Övriga statliga verk och myndigheter</t>
        </is>
      </c>
      <c r="I221" t="n">
        <v>12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45481</v>
      </c>
      <c r="E222" s="1" t="n">
        <v>46252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46252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46252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45766</v>
      </c>
      <c r="E225" s="1" t="n">
        <v>46252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45818</v>
      </c>
      <c r="E226" s="1" t="n">
        <v>46252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45427</v>
      </c>
      <c r="E227" s="1" t="n">
        <v>46252</v>
      </c>
      <c r="F227" t="inlineStr">
        <is>
          <t>NORRBOTTENS LÄN</t>
        </is>
      </c>
      <c r="G227" t="inlineStr">
        <is>
          <t>BODEN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46252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46252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57583-2021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44484</v>
      </c>
      <c r="E230" s="1" t="n">
        <v>46252</v>
      </c>
      <c r="F230" t="inlineStr">
        <is>
          <t>NORRBOTTENS LÄN</t>
        </is>
      </c>
      <c r="G230" t="inlineStr">
        <is>
          <t>BODEN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46252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28270-2025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45818</v>
      </c>
      <c r="E232" s="1" t="n">
        <v>46252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46252</v>
      </c>
      <c r="F233" t="inlineStr">
        <is>
          <t>NORRBOTTENS LÄN</t>
        </is>
      </c>
      <c r="G233" t="inlineStr">
        <is>
          <t>BODEN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60466-2024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45643</v>
      </c>
      <c r="E234" s="1" t="n">
        <v>46252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46252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67068-2021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44522</v>
      </c>
      <c r="E236" s="1" t="n">
        <v>46252</v>
      </c>
      <c r="F236" t="inlineStr">
        <is>
          <t>NORRBOTTENS LÄN</t>
        </is>
      </c>
      <c r="G236" t="inlineStr">
        <is>
          <t>BODEN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45596</v>
      </c>
      <c r="E237" s="1" t="n">
        <v>46252</v>
      </c>
      <c r="F237" t="inlineStr">
        <is>
          <t>NORRBOTTENS LÄN</t>
        </is>
      </c>
      <c r="G237" t="inlineStr">
        <is>
          <t>BODEN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46252</v>
      </c>
      <c r="F238" t="inlineStr">
        <is>
          <t>NORRBOTTENS LÄN</t>
        </is>
      </c>
      <c r="G238" t="inlineStr">
        <is>
          <t>BODEN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46252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44795</v>
      </c>
      <c r="E240" s="1" t="n">
        <v>46252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58898-2021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46252</v>
      </c>
      <c r="F241" t="inlineStr">
        <is>
          <t>NORRBOTTENS LÄN</t>
        </is>
      </c>
      <c r="G241" t="inlineStr">
        <is>
          <t>BODEN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46252</v>
      </c>
      <c r="F242" t="inlineStr">
        <is>
          <t>NORRBOTTENS LÄN</t>
        </is>
      </c>
      <c r="G242" t="inlineStr">
        <is>
          <t>BODEN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38213-2022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46252</v>
      </c>
      <c r="F243" t="inlineStr">
        <is>
          <t>NORRBOTTENS LÄN</t>
        </is>
      </c>
      <c r="G243" t="inlineStr">
        <is>
          <t>BODEN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44671</v>
      </c>
      <c r="E244" s="1" t="n">
        <v>46252</v>
      </c>
      <c r="F244" t="inlineStr">
        <is>
          <t>NORRBOTTENS LÄN</t>
        </is>
      </c>
      <c r="G244" t="inlineStr">
        <is>
          <t>BODEN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46252</v>
      </c>
      <c r="F245" t="inlineStr">
        <is>
          <t>NORRBOTTENS LÄN</t>
        </is>
      </c>
      <c r="G245" t="inlineStr">
        <is>
          <t>BODEN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45832</v>
      </c>
      <c r="E246" s="1" t="n">
        <v>46252</v>
      </c>
      <c r="F246" t="inlineStr">
        <is>
          <t>NORRBOTTENS LÄN</t>
        </is>
      </c>
      <c r="G246" t="inlineStr">
        <is>
          <t>BODEN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2426-2024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45310</v>
      </c>
      <c r="E247" s="1" t="n">
        <v>46252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46252</v>
      </c>
      <c r="F248" t="inlineStr">
        <is>
          <t>NORRBOTTENS LÄN</t>
        </is>
      </c>
      <c r="G248" t="inlineStr">
        <is>
          <t>BODEN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31487-2025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46252</v>
      </c>
      <c r="F249" t="inlineStr">
        <is>
          <t>NORRBOTTENS LÄN</t>
        </is>
      </c>
      <c r="G249" t="inlineStr">
        <is>
          <t>BODEN</t>
        </is>
      </c>
      <c r="H249" t="inlineStr">
        <is>
          <t>Övriga Aktiebolag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44463</v>
      </c>
      <c r="E250" s="1" t="n">
        <v>46252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46252</v>
      </c>
      <c r="F251" t="inlineStr">
        <is>
          <t>NORRBOTTENS LÄN</t>
        </is>
      </c>
      <c r="G251" t="inlineStr">
        <is>
          <t>BODEN</t>
        </is>
      </c>
      <c r="H251" t="inlineStr">
        <is>
          <t>Övriga Aktiebolag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46252</v>
      </c>
      <c r="F252" t="inlineStr">
        <is>
          <t>NORRBOTTENS LÄN</t>
        </is>
      </c>
      <c r="G252" t="inlineStr">
        <is>
          <t>BODEN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45649</v>
      </c>
      <c r="E253" s="1" t="n">
        <v>46252</v>
      </c>
      <c r="F253" t="inlineStr">
        <is>
          <t>NORRBOTTENS LÄN</t>
        </is>
      </c>
      <c r="G253" t="inlineStr">
        <is>
          <t>BODEN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44833</v>
      </c>
      <c r="E254" s="1" t="n">
        <v>46252</v>
      </c>
      <c r="F254" t="inlineStr">
        <is>
          <t>NORRBOTTENS LÄN</t>
        </is>
      </c>
      <c r="G254" t="inlineStr">
        <is>
          <t>BODEN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46252</v>
      </c>
      <c r="F255" t="inlineStr">
        <is>
          <t>NORRBOTTENS LÄN</t>
        </is>
      </c>
      <c r="G255" t="inlineStr">
        <is>
          <t>BODEN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46252</v>
      </c>
      <c r="F256" t="inlineStr">
        <is>
          <t>NORRBOTTENS LÄN</t>
        </is>
      </c>
      <c r="G256" t="inlineStr">
        <is>
          <t>BODEN</t>
        </is>
      </c>
      <c r="I256" t="n">
        <v>13.9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73910-2021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44552</v>
      </c>
      <c r="E257" s="1" t="n">
        <v>46252</v>
      </c>
      <c r="F257" t="inlineStr">
        <is>
          <t>NORRBOTTENS LÄN</t>
        </is>
      </c>
      <c r="G257" t="inlineStr">
        <is>
          <t>BODEN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46252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46252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46252</v>
      </c>
      <c r="F260" t="inlineStr">
        <is>
          <t>NORRBOTTENS LÄN</t>
        </is>
      </c>
      <c r="G260" t="inlineStr">
        <is>
          <t>BODEN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46252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46252</v>
      </c>
      <c r="F262" t="inlineStr">
        <is>
          <t>NORRBOTTENS LÄN</t>
        </is>
      </c>
      <c r="G262" t="inlineStr">
        <is>
          <t>BODEN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32276-2024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46252</v>
      </c>
      <c r="F263" t="inlineStr">
        <is>
          <t>NORRBOTTENS LÄN</t>
        </is>
      </c>
      <c r="G263" t="inlineStr">
        <is>
          <t>BODEN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46252</v>
      </c>
      <c r="F264" t="inlineStr">
        <is>
          <t>NORRBOTTENS LÄN</t>
        </is>
      </c>
      <c r="G264" t="inlineStr">
        <is>
          <t>BODEN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46252</v>
      </c>
      <c r="F265" t="inlineStr">
        <is>
          <t>NORRBOTTENS LÄN</t>
        </is>
      </c>
      <c r="G265" t="inlineStr">
        <is>
          <t>BODEN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44889</v>
      </c>
      <c r="E266" s="1" t="n">
        <v>46252</v>
      </c>
      <c r="F266" t="inlineStr">
        <is>
          <t>NORRBOTTENS LÄN</t>
        </is>
      </c>
      <c r="G266" t="inlineStr">
        <is>
          <t>BODEN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46252</v>
      </c>
      <c r="F267" t="inlineStr">
        <is>
          <t>NORRBOTTENS LÄN</t>
        </is>
      </c>
      <c r="G267" t="inlineStr">
        <is>
          <t>BODEN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46252</v>
      </c>
      <c r="F268" t="inlineStr">
        <is>
          <t>NORRBOTTENS LÄN</t>
        </is>
      </c>
      <c r="G268" t="inlineStr">
        <is>
          <t>BODEN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16222-2024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45406</v>
      </c>
      <c r="E269" s="1" t="n">
        <v>46252</v>
      </c>
      <c r="F269" t="inlineStr">
        <is>
          <t>NORRBOTTENS LÄN</t>
        </is>
      </c>
      <c r="G269" t="inlineStr">
        <is>
          <t>BODEN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46252</v>
      </c>
      <c r="F270" t="inlineStr">
        <is>
          <t>NORRBOTTENS LÄN</t>
        </is>
      </c>
      <c r="G270" t="inlineStr">
        <is>
          <t>BODEN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46252</v>
      </c>
      <c r="F271" t="inlineStr">
        <is>
          <t>NORRBOTTENS LÄN</t>
        </is>
      </c>
      <c r="G271" t="inlineStr">
        <is>
          <t>BODEN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44881</v>
      </c>
      <c r="E272" s="1" t="n">
        <v>46252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46252</v>
      </c>
      <c r="F273" t="inlineStr">
        <is>
          <t>NORRBOTTENS LÄN</t>
        </is>
      </c>
      <c r="G273" t="inlineStr">
        <is>
          <t>BODEN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46252</v>
      </c>
      <c r="F274" t="inlineStr">
        <is>
          <t>NORRBOTTENS LÄN</t>
        </is>
      </c>
      <c r="G274" t="inlineStr">
        <is>
          <t>BODEN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41691-2025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45902</v>
      </c>
      <c r="E275" s="1" t="n">
        <v>46252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46252</v>
      </c>
      <c r="F276" t="inlineStr">
        <is>
          <t>NORRBOTTENS LÄN</t>
        </is>
      </c>
      <c r="G276" t="inlineStr">
        <is>
          <t>BODEN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54240-2022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46252</v>
      </c>
      <c r="F277" t="inlineStr">
        <is>
          <t>NORRBOTTENS LÄN</t>
        </is>
      </c>
      <c r="G277" t="inlineStr">
        <is>
          <t>BODEN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46252</v>
      </c>
      <c r="F278" t="inlineStr">
        <is>
          <t>NORRBOTTENS LÄN</t>
        </is>
      </c>
      <c r="G278" t="inlineStr">
        <is>
          <t>BODEN</t>
        </is>
      </c>
      <c r="I278" t="n">
        <v>17.2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45248</v>
      </c>
      <c r="E279" s="1" t="n">
        <v>46252</v>
      </c>
      <c r="F279" t="inlineStr">
        <is>
          <t>NORRBOTTENS LÄN</t>
        </is>
      </c>
      <c r="G279" t="inlineStr">
        <is>
          <t>BODEN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45905</v>
      </c>
      <c r="E280" s="1" t="n">
        <v>46252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42656-2025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45907</v>
      </c>
      <c r="E281" s="1" t="n">
        <v>46252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46252</v>
      </c>
      <c r="F282" t="inlineStr">
        <is>
          <t>NORRBOTTENS LÄN</t>
        </is>
      </c>
      <c r="G282" t="inlineStr">
        <is>
          <t>BODEN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45691</v>
      </c>
      <c r="E283" s="1" t="n">
        <v>46252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46252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13714-2022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44648</v>
      </c>
      <c r="E285" s="1" t="n">
        <v>46252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43205-2025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45910</v>
      </c>
      <c r="E286" s="1" t="n">
        <v>46252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44565</v>
      </c>
      <c r="E287" s="1" t="n">
        <v>46252</v>
      </c>
      <c r="F287" t="inlineStr">
        <is>
          <t>NORRBOTTENS LÄN</t>
        </is>
      </c>
      <c r="G287" t="inlineStr">
        <is>
          <t>BODEN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45912</v>
      </c>
      <c r="E288" s="1" t="n">
        <v>46252</v>
      </c>
      <c r="F288" t="inlineStr">
        <is>
          <t>NORRBOTTENS LÄN</t>
        </is>
      </c>
      <c r="G288" t="inlineStr">
        <is>
          <t>BODEN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46252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46252</v>
      </c>
      <c r="F290" t="inlineStr">
        <is>
          <t>NORRBOTTENS LÄN</t>
        </is>
      </c>
      <c r="G290" t="inlineStr">
        <is>
          <t>BODEN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46252</v>
      </c>
      <c r="F291" t="inlineStr">
        <is>
          <t>NORRBOTTENS LÄN</t>
        </is>
      </c>
      <c r="G291" t="inlineStr">
        <is>
          <t>BODEN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46252</v>
      </c>
      <c r="F292" t="inlineStr">
        <is>
          <t>NORRBOTTENS LÄN</t>
        </is>
      </c>
      <c r="G292" t="inlineStr">
        <is>
          <t>BODEN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46252</v>
      </c>
      <c r="F293" t="inlineStr">
        <is>
          <t>NORRBOTTENS LÄN</t>
        </is>
      </c>
      <c r="G293" t="inlineStr">
        <is>
          <t>BODEN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46252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45574</v>
      </c>
      <c r="E295" s="1" t="n">
        <v>46252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32754-2022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44783</v>
      </c>
      <c r="E296" s="1" t="n">
        <v>46252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45301</v>
      </c>
      <c r="E297" s="1" t="n">
        <v>46252</v>
      </c>
      <c r="F297" t="inlineStr">
        <is>
          <t>NORRBOTTENS LÄN</t>
        </is>
      </c>
      <c r="G297" t="inlineStr">
        <is>
          <t>BODEN</t>
        </is>
      </c>
      <c r="H297" t="inlineStr">
        <is>
          <t>Övriga statliga verk och myndigheter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33130-2025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45840</v>
      </c>
      <c r="E298" s="1" t="n">
        <v>46252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46252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45747</v>
      </c>
      <c r="E300" s="1" t="n">
        <v>46252</v>
      </c>
      <c r="F300" t="inlineStr">
        <is>
          <t>NORRBOTTENS LÄN</t>
        </is>
      </c>
      <c r="G300" t="inlineStr">
        <is>
          <t>BODEN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45843</v>
      </c>
      <c r="E301" s="1" t="n">
        <v>46252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45761</v>
      </c>
      <c r="E302" s="1" t="n">
        <v>46252</v>
      </c>
      <c r="F302" t="inlineStr">
        <is>
          <t>NORRBOTTENS LÄN</t>
        </is>
      </c>
      <c r="G302" t="inlineStr">
        <is>
          <t>BODEN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46252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45750</v>
      </c>
      <c r="E304" s="1" t="n">
        <v>46252</v>
      </c>
      <c r="F304" t="inlineStr">
        <is>
          <t>NORRBOTTENS LÄN</t>
        </is>
      </c>
      <c r="G304" t="inlineStr">
        <is>
          <t>BODEN</t>
        </is>
      </c>
      <c r="H304" t="inlineStr">
        <is>
          <t>Övriga Aktiebolag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46252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45919</v>
      </c>
      <c r="E306" s="1" t="n">
        <v>46252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46252</v>
      </c>
      <c r="F307" t="inlineStr">
        <is>
          <t>NORRBOTTENS LÄN</t>
        </is>
      </c>
      <c r="G307" t="inlineStr">
        <is>
          <t>BODEN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45125</v>
      </c>
      <c r="E308" s="1" t="n">
        <v>46252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45544-2025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46252</v>
      </c>
      <c r="F309" t="inlineStr">
        <is>
          <t>NORRBOTTENS LÄN</t>
        </is>
      </c>
      <c r="G309" t="inlineStr">
        <is>
          <t>BODEN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58877-2021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44489</v>
      </c>
      <c r="E310" s="1" t="n">
        <v>46252</v>
      </c>
      <c r="F310" t="inlineStr">
        <is>
          <t>NORRBOTTENS LÄN</t>
        </is>
      </c>
      <c r="G310" t="inlineStr">
        <is>
          <t>BODEN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46252</v>
      </c>
      <c r="F311" t="inlineStr">
        <is>
          <t>NORRBOTTENS LÄN</t>
        </is>
      </c>
      <c r="G311" t="inlineStr">
        <is>
          <t>BODEN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45617-2025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46252</v>
      </c>
      <c r="F312" t="inlineStr">
        <is>
          <t>NORRBOTTENS LÄN</t>
        </is>
      </c>
      <c r="G312" t="inlineStr">
        <is>
          <t>BODEN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46252</v>
      </c>
      <c r="F313" t="inlineStr">
        <is>
          <t>NORRBOTTENS LÄN</t>
        </is>
      </c>
      <c r="G313" t="inlineStr">
        <is>
          <t>BODEN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50107-2024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46252</v>
      </c>
      <c r="F314" t="inlineStr">
        <is>
          <t>NORRBOTTENS LÄN</t>
        </is>
      </c>
      <c r="G314" t="inlineStr">
        <is>
          <t>BODEN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58504-2024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46252</v>
      </c>
      <c r="F315" t="inlineStr">
        <is>
          <t>NORRBOTTENS LÄN</t>
        </is>
      </c>
      <c r="G315" t="inlineStr">
        <is>
          <t>BODEN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46252</v>
      </c>
      <c r="F316" t="inlineStr">
        <is>
          <t>NORRBOTTENS LÄN</t>
        </is>
      </c>
      <c r="G316" t="inlineStr">
        <is>
          <t>BODEN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46252</v>
      </c>
      <c r="F317" t="inlineStr">
        <is>
          <t>NORRBOTTENS LÄN</t>
        </is>
      </c>
      <c r="G317" t="inlineStr">
        <is>
          <t>BODEN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46252</v>
      </c>
      <c r="F318" t="inlineStr">
        <is>
          <t>NORRBOTTENS LÄN</t>
        </is>
      </c>
      <c r="G318" t="inlineStr">
        <is>
          <t>BODEN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46252</v>
      </c>
      <c r="F319" t="inlineStr">
        <is>
          <t>NORRBOTTENS LÄN</t>
        </is>
      </c>
      <c r="G319" t="inlineStr">
        <is>
          <t>BODEN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45264</v>
      </c>
      <c r="E320" s="1" t="n">
        <v>46252</v>
      </c>
      <c r="F320" t="inlineStr">
        <is>
          <t>NORRBOTTENS LÄN</t>
        </is>
      </c>
      <c r="G320" t="inlineStr">
        <is>
          <t>BODEN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46252</v>
      </c>
      <c r="F321" t="inlineStr">
        <is>
          <t>NORRBOTTENS LÄN</t>
        </is>
      </c>
      <c r="G321" t="inlineStr">
        <is>
          <t>BODEN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45969-2025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45924</v>
      </c>
      <c r="E322" s="1" t="n">
        <v>46252</v>
      </c>
      <c r="F322" t="inlineStr">
        <is>
          <t>NORRBOTTENS LÄN</t>
        </is>
      </c>
      <c r="G322" t="inlineStr">
        <is>
          <t>BODEN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46252</v>
      </c>
      <c r="F323" t="inlineStr">
        <is>
          <t>NORRBOTTENS LÄN</t>
        </is>
      </c>
      <c r="G323" t="inlineStr">
        <is>
          <t>BODEN</t>
        </is>
      </c>
      <c r="H323" t="inlineStr">
        <is>
          <t>Övriga Aktiebolag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46252</v>
      </c>
      <c r="F324" t="inlineStr">
        <is>
          <t>NORRBOTTENS LÄN</t>
        </is>
      </c>
      <c r="G324" t="inlineStr">
        <is>
          <t>BODEN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51280-2024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46252</v>
      </c>
      <c r="F325" t="inlineStr">
        <is>
          <t>NORRBOTTENS LÄN</t>
        </is>
      </c>
      <c r="G325" t="inlineStr">
        <is>
          <t>BODEN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46585-2025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45926</v>
      </c>
      <c r="E326" s="1" t="n">
        <v>46252</v>
      </c>
      <c r="F326" t="inlineStr">
        <is>
          <t>NORRBOTTENS LÄN</t>
        </is>
      </c>
      <c r="G326" t="inlineStr">
        <is>
          <t>BODEN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45254</v>
      </c>
      <c r="E327" s="1" t="n">
        <v>46252</v>
      </c>
      <c r="F327" t="inlineStr">
        <is>
          <t>NORRBOTTENS LÄN</t>
        </is>
      </c>
      <c r="G327" t="inlineStr">
        <is>
          <t>BODEN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45692</v>
      </c>
      <c r="E328" s="1" t="n">
        <v>46252</v>
      </c>
      <c r="F328" t="inlineStr">
        <is>
          <t>NORRBOTTENS LÄN</t>
        </is>
      </c>
      <c r="G328" t="inlineStr">
        <is>
          <t>BODEN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45856</v>
      </c>
      <c r="E329" s="1" t="n">
        <v>46252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54236-2022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44881</v>
      </c>
      <c r="E330" s="1" t="n">
        <v>46252</v>
      </c>
      <c r="F330" t="inlineStr">
        <is>
          <t>NORRBOTTENS LÄN</t>
        </is>
      </c>
      <c r="G330" t="inlineStr">
        <is>
          <t>BODEN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46252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45674</v>
      </c>
      <c r="E332" s="1" t="n">
        <v>46252</v>
      </c>
      <c r="F332" t="inlineStr">
        <is>
          <t>NORRBOTTENS LÄN</t>
        </is>
      </c>
      <c r="G332" t="inlineStr">
        <is>
          <t>BODEN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45596</v>
      </c>
      <c r="E333" s="1" t="n">
        <v>46252</v>
      </c>
      <c r="F333" t="inlineStr">
        <is>
          <t>NORRBOTTENS LÄN</t>
        </is>
      </c>
      <c r="G333" t="inlineStr">
        <is>
          <t>BODEN</t>
        </is>
      </c>
      <c r="I333" t="n">
        <v>22.7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36019-2025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45863</v>
      </c>
      <c r="E334" s="1" t="n">
        <v>46252</v>
      </c>
      <c r="F334" t="inlineStr">
        <is>
          <t>NORRBOTTENS LÄN</t>
        </is>
      </c>
      <c r="G334" t="inlineStr">
        <is>
          <t>BODEN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45931</v>
      </c>
      <c r="E335" s="1" t="n">
        <v>46252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46252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46252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45930</v>
      </c>
      <c r="E338" s="1" t="n">
        <v>46252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45930</v>
      </c>
      <c r="E339" s="1" t="n">
        <v>46252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59029-2022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46252</v>
      </c>
      <c r="F340" t="inlineStr">
        <is>
          <t>NORRBOTTENS LÄN</t>
        </is>
      </c>
      <c r="G340" t="inlineStr">
        <is>
          <t>BODEN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19757-2025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46252</v>
      </c>
      <c r="F341" t="inlineStr">
        <is>
          <t>NORRBOTTENS LÄN</t>
        </is>
      </c>
      <c r="G341" t="inlineStr">
        <is>
          <t>BODEN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48091-2025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45933</v>
      </c>
      <c r="E342" s="1" t="n">
        <v>46252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46252</v>
      </c>
      <c r="F343" t="inlineStr">
        <is>
          <t>NORRBOTTENS LÄN</t>
        </is>
      </c>
      <c r="G343" t="inlineStr">
        <is>
          <t>BODEN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45906</v>
      </c>
      <c r="E344" s="1" t="n">
        <v>46252</v>
      </c>
      <c r="F344" t="inlineStr">
        <is>
          <t>NORRBOTTENS LÄN</t>
        </is>
      </c>
      <c r="G344" t="inlineStr">
        <is>
          <t>BODEN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55317-2023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46252</v>
      </c>
      <c r="F345" t="inlineStr">
        <is>
          <t>NORRBOTTENS LÄN</t>
        </is>
      </c>
      <c r="G345" t="inlineStr">
        <is>
          <t>BODEN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7442-2024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45345</v>
      </c>
      <c r="E346" s="1" t="n">
        <v>46252</v>
      </c>
      <c r="F346" t="inlineStr">
        <is>
          <t>NORRBOTTENS LÄN</t>
        </is>
      </c>
      <c r="G346" t="inlineStr">
        <is>
          <t>BODEN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45933</v>
      </c>
      <c r="E347" s="1" t="n">
        <v>46252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46252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46252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45591</v>
      </c>
      <c r="E350" s="1" t="n">
        <v>46252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45591</v>
      </c>
      <c r="E351" s="1" t="n">
        <v>46252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46252</v>
      </c>
      <c r="F352" t="inlineStr">
        <is>
          <t>NORRBOTTENS LÄN</t>
        </is>
      </c>
      <c r="G352" t="inlineStr">
        <is>
          <t>BODEN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45936</v>
      </c>
      <c r="E353" s="1" t="n">
        <v>46252</v>
      </c>
      <c r="F353" t="inlineStr">
        <is>
          <t>NORRBOTTENS LÄN</t>
        </is>
      </c>
      <c r="G353" t="inlineStr">
        <is>
          <t>BODEN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46252</v>
      </c>
      <c r="F354" t="inlineStr">
        <is>
          <t>NORRBOTTENS LÄN</t>
        </is>
      </c>
      <c r="G354" t="inlineStr">
        <is>
          <t>BODEN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49357-2025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46252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74264-2021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44558</v>
      </c>
      <c r="E356" s="1" t="n">
        <v>46252</v>
      </c>
      <c r="F356" t="inlineStr">
        <is>
          <t>NORRBOTTENS LÄN</t>
        </is>
      </c>
      <c r="G356" t="inlineStr">
        <is>
          <t>BODEN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48805-2025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46252</v>
      </c>
      <c r="F357" t="inlineStr">
        <is>
          <t>NORRBOTTENS LÄN</t>
        </is>
      </c>
      <c r="G357" t="inlineStr">
        <is>
          <t>BODEN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44657</v>
      </c>
      <c r="E358" s="1" t="n">
        <v>46252</v>
      </c>
      <c r="F358" t="inlineStr">
        <is>
          <t>NORRBOTTENS LÄN</t>
        </is>
      </c>
      <c r="G358" t="inlineStr">
        <is>
          <t>BODEN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45766</v>
      </c>
      <c r="E359" s="1" t="n">
        <v>46252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46252</v>
      </c>
      <c r="F360" t="inlineStr">
        <is>
          <t>NORRBOTTENS LÄN</t>
        </is>
      </c>
      <c r="G360" t="inlineStr">
        <is>
          <t>BODEN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46252</v>
      </c>
      <c r="F361" t="inlineStr">
        <is>
          <t>NORRBOTTENS LÄN</t>
        </is>
      </c>
      <c r="G361" t="inlineStr">
        <is>
          <t>BODEN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45539</v>
      </c>
      <c r="E362" s="1" t="n">
        <v>46252</v>
      </c>
      <c r="F362" t="inlineStr">
        <is>
          <t>NORRBOTTENS LÄN</t>
        </is>
      </c>
      <c r="G362" t="inlineStr">
        <is>
          <t>BODEN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49379-2025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46252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46252</v>
      </c>
      <c r="F364" t="inlineStr">
        <is>
          <t>NORRBOTTENS LÄN</t>
        </is>
      </c>
      <c r="G364" t="inlineStr">
        <is>
          <t>BODEN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46252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44847</v>
      </c>
      <c r="E366" s="1" t="n">
        <v>46252</v>
      </c>
      <c r="F366" t="inlineStr">
        <is>
          <t>NORRBOTTENS LÄN</t>
        </is>
      </c>
      <c r="G366" t="inlineStr">
        <is>
          <t>BODEN</t>
        </is>
      </c>
      <c r="I366" t="n">
        <v>28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68565-2021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44529</v>
      </c>
      <c r="E367" s="1" t="n">
        <v>46252</v>
      </c>
      <c r="F367" t="inlineStr">
        <is>
          <t>NORRBOTTENS LÄN</t>
        </is>
      </c>
      <c r="G367" t="inlineStr">
        <is>
          <t>BODEN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46252</v>
      </c>
      <c r="F368" t="inlineStr">
        <is>
          <t>NORRBOTTENS LÄN</t>
        </is>
      </c>
      <c r="G368" t="inlineStr">
        <is>
          <t>BODEN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46252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46252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50479-2025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46252</v>
      </c>
      <c r="F371" t="inlineStr">
        <is>
          <t>NORRBOTTENS LÄN</t>
        </is>
      </c>
      <c r="G371" t="inlineStr">
        <is>
          <t>BODEN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46252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statliga verk och myndigheter</t>
        </is>
      </c>
      <c r="I372" t="n">
        <v>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46252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46252</v>
      </c>
      <c r="F374" t="inlineStr">
        <is>
          <t>NORRBOTTENS LÄN</t>
        </is>
      </c>
      <c r="G374" t="inlineStr">
        <is>
          <t>BODEN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48950-2022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44859</v>
      </c>
      <c r="E375" s="1" t="n">
        <v>46252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45944</v>
      </c>
      <c r="E376" s="1" t="n">
        <v>46252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45944</v>
      </c>
      <c r="E377" s="1" t="n">
        <v>46252</v>
      </c>
      <c r="F377" t="inlineStr">
        <is>
          <t>NORRBOTTENS LÄN</t>
        </is>
      </c>
      <c r="G377" t="inlineStr">
        <is>
          <t>BODEN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46252</v>
      </c>
      <c r="F378" t="inlineStr">
        <is>
          <t>NORRBOTTENS LÄN</t>
        </is>
      </c>
      <c r="G378" t="inlineStr">
        <is>
          <t>BODEN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46252</v>
      </c>
      <c r="F379" t="inlineStr">
        <is>
          <t>NORRBOTTENS LÄN</t>
        </is>
      </c>
      <c r="G379" t="inlineStr">
        <is>
          <t>BODEN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45944</v>
      </c>
      <c r="E380" s="1" t="n">
        <v>46252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46252</v>
      </c>
      <c r="F381" t="inlineStr">
        <is>
          <t>NORRBOTTENS LÄN</t>
        </is>
      </c>
      <c r="G381" t="inlineStr">
        <is>
          <t>BODEN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45429</v>
      </c>
      <c r="E382" s="1" t="n">
        <v>46252</v>
      </c>
      <c r="F382" t="inlineStr">
        <is>
          <t>NORRBOTTENS LÄN</t>
        </is>
      </c>
      <c r="G382" t="inlineStr">
        <is>
          <t>BODEN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46252</v>
      </c>
      <c r="F383" t="inlineStr">
        <is>
          <t>NORRBOTTENS LÄN</t>
        </is>
      </c>
      <c r="G383" t="inlineStr">
        <is>
          <t>BODEN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45838</v>
      </c>
      <c r="E384" s="1" t="n">
        <v>46252</v>
      </c>
      <c r="F384" t="inlineStr">
        <is>
          <t>NORRBOTTENS LÄN</t>
        </is>
      </c>
      <c r="G384" t="inlineStr">
        <is>
          <t>BODEN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45947</v>
      </c>
      <c r="E385" s="1" t="n">
        <v>46252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51460-2025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45950</v>
      </c>
      <c r="E386" s="1" t="n">
        <v>46252</v>
      </c>
      <c r="F386" t="inlineStr">
        <is>
          <t>NORRBOTTENS LÄN</t>
        </is>
      </c>
      <c r="G386" t="inlineStr">
        <is>
          <t>BODEN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45868</v>
      </c>
      <c r="E387" s="1" t="n">
        <v>46252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64975-2023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45285</v>
      </c>
      <c r="E388" s="1" t="n">
        <v>46252</v>
      </c>
      <c r="F388" t="inlineStr">
        <is>
          <t>NORRBOTTENS LÄN</t>
        </is>
      </c>
      <c r="G388" t="inlineStr">
        <is>
          <t>BODEN</t>
        </is>
      </c>
      <c r="I388" t="n">
        <v>9.4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44963</v>
      </c>
      <c r="E389" s="1" t="n">
        <v>46252</v>
      </c>
      <c r="F389" t="inlineStr">
        <is>
          <t>NORRBOTTENS LÄN</t>
        </is>
      </c>
      <c r="G389" t="inlineStr">
        <is>
          <t>BODEN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59331-2021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44490</v>
      </c>
      <c r="E390" s="1" t="n">
        <v>46252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46252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46183-2021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44441</v>
      </c>
      <c r="E392" s="1" t="n">
        <v>46252</v>
      </c>
      <c r="F392" t="inlineStr">
        <is>
          <t>NORRBOTTENS LÄN</t>
        </is>
      </c>
      <c r="G392" t="inlineStr">
        <is>
          <t>BODEN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46252</v>
      </c>
      <c r="F393" t="inlineStr">
        <is>
          <t>NORRBOTTENS LÄN</t>
        </is>
      </c>
      <c r="G393" t="inlineStr">
        <is>
          <t>BODEN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46252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31456-2024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45505</v>
      </c>
      <c r="E395" s="1" t="n">
        <v>46252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51614-2024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45604</v>
      </c>
      <c r="E396" s="1" t="n">
        <v>46252</v>
      </c>
      <c r="F396" t="inlineStr">
        <is>
          <t>NORRBOTTENS LÄN</t>
        </is>
      </c>
      <c r="G396" t="inlineStr">
        <is>
          <t>BODEN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46252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45677-2021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44441</v>
      </c>
      <c r="E398" s="1" t="n">
        <v>46252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9969-2023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44979</v>
      </c>
      <c r="E399" s="1" t="n">
        <v>46252</v>
      </c>
      <c r="F399" t="inlineStr">
        <is>
          <t>NORRBOTTENS LÄN</t>
        </is>
      </c>
      <c r="G399" t="inlineStr">
        <is>
          <t>BODEN</t>
        </is>
      </c>
      <c r="H399" t="inlineStr">
        <is>
          <t>Övriga statliga verk och myndigheter</t>
        </is>
      </c>
      <c r="I399" t="n">
        <v>18.8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45957</v>
      </c>
      <c r="E400" s="1" t="n">
        <v>46252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45877</v>
      </c>
      <c r="E401" s="1" t="n">
        <v>46252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45397</v>
      </c>
      <c r="E402" s="1" t="n">
        <v>46252</v>
      </c>
      <c r="F402" t="inlineStr">
        <is>
          <t>NORRBOTTENS LÄN</t>
        </is>
      </c>
      <c r="G402" t="inlineStr">
        <is>
          <t>BODEN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45397</v>
      </c>
      <c r="E403" s="1" t="n">
        <v>46252</v>
      </c>
      <c r="F403" t="inlineStr">
        <is>
          <t>NORRBOTTENS LÄN</t>
        </is>
      </c>
      <c r="G403" t="inlineStr">
        <is>
          <t>BODEN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45764</v>
      </c>
      <c r="E404" s="1" t="n">
        <v>46252</v>
      </c>
      <c r="F404" t="inlineStr">
        <is>
          <t>NORRBOTTENS LÄN</t>
        </is>
      </c>
      <c r="G404" t="inlineStr">
        <is>
          <t>BODEN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46252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51525-2025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45950</v>
      </c>
      <c r="E406" s="1" t="n">
        <v>46252</v>
      </c>
      <c r="F406" t="inlineStr">
        <is>
          <t>NORRBOTTENS LÄN</t>
        </is>
      </c>
      <c r="G406" t="inlineStr">
        <is>
          <t>BODEN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45470</v>
      </c>
      <c r="E407" s="1" t="n">
        <v>46252</v>
      </c>
      <c r="F407" t="inlineStr">
        <is>
          <t>NORRBOTTENS LÄN</t>
        </is>
      </c>
      <c r="G407" t="inlineStr">
        <is>
          <t>BODEN</t>
        </is>
      </c>
      <c r="H407" t="inlineStr">
        <is>
          <t>Övriga Aktiebolag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45955</v>
      </c>
      <c r="E408" s="1" t="n">
        <v>46252</v>
      </c>
      <c r="F408" t="inlineStr">
        <is>
          <t>NORRBOTTENS LÄN</t>
        </is>
      </c>
      <c r="G408" t="inlineStr">
        <is>
          <t>BODEN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45955</v>
      </c>
      <c r="E409" s="1" t="n">
        <v>46252</v>
      </c>
      <c r="F409" t="inlineStr">
        <is>
          <t>NORRBOTTENS LÄN</t>
        </is>
      </c>
      <c r="G409" t="inlineStr">
        <is>
          <t>BODEN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44983</v>
      </c>
      <c r="E410" s="1" t="n">
        <v>46252</v>
      </c>
      <c r="F410" t="inlineStr">
        <is>
          <t>NORRBOTTENS LÄN</t>
        </is>
      </c>
      <c r="G410" t="inlineStr">
        <is>
          <t>BODEN</t>
        </is>
      </c>
      <c r="I410" t="n">
        <v>37.1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45881</v>
      </c>
      <c r="E411" s="1" t="n">
        <v>46252</v>
      </c>
      <c r="F411" t="inlineStr">
        <is>
          <t>NORRBOTTENS LÄN</t>
        </is>
      </c>
      <c r="G411" t="inlineStr">
        <is>
          <t>BODEN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53623-2025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45960</v>
      </c>
      <c r="E412" s="1" t="n">
        <v>46252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46252</v>
      </c>
      <c r="F413" t="inlineStr">
        <is>
          <t>NORRBOTTENS LÄN</t>
        </is>
      </c>
      <c r="G413" t="inlineStr">
        <is>
          <t>BODEN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55080-2021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44474</v>
      </c>
      <c r="E414" s="1" t="n">
        <v>46252</v>
      </c>
      <c r="F414" t="inlineStr">
        <is>
          <t>NORRBOTTENS LÄN</t>
        </is>
      </c>
      <c r="G414" t="inlineStr">
        <is>
          <t>BODEN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45758</v>
      </c>
      <c r="E415" s="1" t="n">
        <v>46252</v>
      </c>
      <c r="F415" t="inlineStr">
        <is>
          <t>NORRBOTTENS LÄN</t>
        </is>
      </c>
      <c r="G415" t="inlineStr">
        <is>
          <t>BODEN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54416-2025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45965</v>
      </c>
      <c r="E416" s="1" t="n">
        <v>46252</v>
      </c>
      <c r="F416" t="inlineStr">
        <is>
          <t>NORRBOTTENS LÄN</t>
        </is>
      </c>
      <c r="G416" t="inlineStr">
        <is>
          <t>BODEN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46252</v>
      </c>
      <c r="F417" t="inlineStr">
        <is>
          <t>NORRBOTTENS LÄN</t>
        </is>
      </c>
      <c r="G417" t="inlineStr">
        <is>
          <t>BODEN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46252</v>
      </c>
      <c r="F418" t="inlineStr">
        <is>
          <t>NORRBOTTENS LÄN</t>
        </is>
      </c>
      <c r="G418" t="inlineStr">
        <is>
          <t>BODEN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45882</v>
      </c>
      <c r="E419" s="1" t="n">
        <v>46252</v>
      </c>
      <c r="F419" t="inlineStr">
        <is>
          <t>NORRBOTTENS LÄN</t>
        </is>
      </c>
      <c r="G419" t="inlineStr">
        <is>
          <t>BODEN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54578-2025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46252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68591-2021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44529</v>
      </c>
      <c r="E421" s="1" t="n">
        <v>46252</v>
      </c>
      <c r="F421" t="inlineStr">
        <is>
          <t>NORRBOTTENS LÄN</t>
        </is>
      </c>
      <c r="G421" t="inlineStr">
        <is>
          <t>BODEN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46252</v>
      </c>
      <c r="F422" t="inlineStr">
        <is>
          <t>NORRBOTTENS LÄN</t>
        </is>
      </c>
      <c r="G422" t="inlineStr">
        <is>
          <t>BODEN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44567-2024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45574</v>
      </c>
      <c r="E423" s="1" t="n">
        <v>46252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45964</v>
      </c>
      <c r="E424" s="1" t="n">
        <v>46252</v>
      </c>
      <c r="F424" t="inlineStr">
        <is>
          <t>NORRBOTTENS LÄN</t>
        </is>
      </c>
      <c r="G424" t="inlineStr">
        <is>
          <t>BODEN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46252</v>
      </c>
      <c r="F425" t="inlineStr">
        <is>
          <t>NORRBOTTENS LÄN</t>
        </is>
      </c>
      <c r="G425" t="inlineStr">
        <is>
          <t>BODEN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46252</v>
      </c>
      <c r="F426" t="inlineStr">
        <is>
          <t>NORRBOTTENS LÄN</t>
        </is>
      </c>
      <c r="G426" t="inlineStr">
        <is>
          <t>BODEN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46252</v>
      </c>
      <c r="F427" t="inlineStr">
        <is>
          <t>NORRBOTTENS LÄN</t>
        </is>
      </c>
      <c r="G427" t="inlineStr">
        <is>
          <t>BODEN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46252</v>
      </c>
      <c r="F428" t="inlineStr">
        <is>
          <t>NORRBOTTENS LÄN</t>
        </is>
      </c>
      <c r="G428" t="inlineStr">
        <is>
          <t>BODEN</t>
        </is>
      </c>
      <c r="I428" t="n">
        <v>33.9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46252</v>
      </c>
      <c r="F429" t="inlineStr">
        <is>
          <t>NORRBOTTENS LÄN</t>
        </is>
      </c>
      <c r="G429" t="inlineStr">
        <is>
          <t>BODEN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46252</v>
      </c>
      <c r="F430" t="inlineStr">
        <is>
          <t>NORRBOTTENS LÄN</t>
        </is>
      </c>
      <c r="G430" t="inlineStr">
        <is>
          <t>BODEN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45764</v>
      </c>
      <c r="E431" s="1" t="n">
        <v>46252</v>
      </c>
      <c r="F431" t="inlineStr">
        <is>
          <t>NORRBOTTENS LÄN</t>
        </is>
      </c>
      <c r="G431" t="inlineStr">
        <is>
          <t>BODEN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57873-2021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44484</v>
      </c>
      <c r="E432" s="1" t="n">
        <v>46252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46252</v>
      </c>
      <c r="F433" t="inlineStr">
        <is>
          <t>NORRBOTTENS LÄN</t>
        </is>
      </c>
      <c r="G433" t="inlineStr">
        <is>
          <t>BODEN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45884</v>
      </c>
      <c r="E434" s="1" t="n">
        <v>46252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61487-2023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46252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46252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45972</v>
      </c>
      <c r="E437" s="1" t="n">
        <v>46252</v>
      </c>
      <c r="F437" t="inlineStr">
        <is>
          <t>NORRBOTTENS LÄN</t>
        </is>
      </c>
      <c r="G437" t="inlineStr">
        <is>
          <t>BODEN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45014</v>
      </c>
      <c r="E438" s="1" t="n">
        <v>46252</v>
      </c>
      <c r="F438" t="inlineStr">
        <is>
          <t>NORRBOTTENS LÄN</t>
        </is>
      </c>
      <c r="G438" t="inlineStr">
        <is>
          <t>BODEN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45516</v>
      </c>
      <c r="E439" s="1" t="n">
        <v>46252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32913-2024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45516</v>
      </c>
      <c r="E440" s="1" t="n">
        <v>46252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45975</v>
      </c>
      <c r="E441" s="1" t="n">
        <v>46252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45446</v>
      </c>
      <c r="E442" s="1" t="n">
        <v>46252</v>
      </c>
      <c r="F442" t="inlineStr">
        <is>
          <t>NORRBOTTENS LÄN</t>
        </is>
      </c>
      <c r="G442" t="inlineStr">
        <is>
          <t>BODEN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44935</v>
      </c>
      <c r="E443" s="1" t="n">
        <v>46252</v>
      </c>
      <c r="F443" t="inlineStr">
        <is>
          <t>NORRBOTTENS LÄN</t>
        </is>
      </c>
      <c r="G443" t="inlineStr">
        <is>
          <t>BODEN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46252</v>
      </c>
      <c r="F444" t="inlineStr">
        <is>
          <t>NORRBOTTENS LÄN</t>
        </is>
      </c>
      <c r="G444" t="inlineStr">
        <is>
          <t>BODEN</t>
        </is>
      </c>
      <c r="H444" t="inlineStr">
        <is>
          <t>Naturvårdsverket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46252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45649</v>
      </c>
      <c r="E446" s="1" t="n">
        <v>46252</v>
      </c>
      <c r="F446" t="inlineStr">
        <is>
          <t>NORRBOTTENS LÄN</t>
        </is>
      </c>
      <c r="G446" t="inlineStr">
        <is>
          <t>BODEN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46252</v>
      </c>
      <c r="F447" t="inlineStr">
        <is>
          <t>NORRBOTTENS LÄN</t>
        </is>
      </c>
      <c r="G447" t="inlineStr">
        <is>
          <t>BODEN</t>
        </is>
      </c>
      <c r="H447" t="inlineStr">
        <is>
          <t>Naturvårdsverket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46252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19624-2025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45770</v>
      </c>
      <c r="E449" s="1" t="n">
        <v>46252</v>
      </c>
      <c r="F449" t="inlineStr">
        <is>
          <t>NORRBOTTENS LÄN</t>
        </is>
      </c>
      <c r="G449" t="inlineStr">
        <is>
          <t>BODEN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56867-2025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46252</v>
      </c>
      <c r="F450" t="inlineStr">
        <is>
          <t>NORRBOTTENS LÄN</t>
        </is>
      </c>
      <c r="G450" t="inlineStr">
        <is>
          <t>BODEN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59893-2023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45254</v>
      </c>
      <c r="E451" s="1" t="n">
        <v>46252</v>
      </c>
      <c r="F451" t="inlineStr">
        <is>
          <t>NORRBOTTENS LÄN</t>
        </is>
      </c>
      <c r="G451" t="inlineStr">
        <is>
          <t>BODEN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46252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45543</v>
      </c>
      <c r="E453" s="1" t="n">
        <v>46252</v>
      </c>
      <c r="F453" t="inlineStr">
        <is>
          <t>NORRBOTTENS LÄN</t>
        </is>
      </c>
      <c r="G453" t="inlineStr">
        <is>
          <t>BODEN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35040-2022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44796</v>
      </c>
      <c r="E454" s="1" t="n">
        <v>46252</v>
      </c>
      <c r="F454" t="inlineStr">
        <is>
          <t>NORRBOTTENS LÄN</t>
        </is>
      </c>
      <c r="G454" t="inlineStr">
        <is>
          <t>BODEN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46252</v>
      </c>
      <c r="F455" t="inlineStr">
        <is>
          <t>NORRBOTTENS LÄN</t>
        </is>
      </c>
      <c r="G455" t="inlineStr">
        <is>
          <t>BODEN</t>
        </is>
      </c>
      <c r="H455" t="inlineStr">
        <is>
          <t>Övriga Aktiebolag</t>
        </is>
      </c>
      <c r="I455" t="n">
        <v>14.3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46252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46252</v>
      </c>
      <c r="F457" t="inlineStr">
        <is>
          <t>NORRBOTTENS LÄN</t>
        </is>
      </c>
      <c r="G457" t="inlineStr">
        <is>
          <t>BODEN</t>
        </is>
      </c>
      <c r="H457" t="inlineStr">
        <is>
          <t>Sveaskog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41487-2024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45560</v>
      </c>
      <c r="E458" s="1" t="n">
        <v>46252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57563-2023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46252</v>
      </c>
      <c r="F459" t="inlineStr">
        <is>
          <t>NORRBOTTENS LÄN</t>
        </is>
      </c>
      <c r="G459" t="inlineStr">
        <is>
          <t>BODEN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45694</v>
      </c>
      <c r="E460" s="1" t="n">
        <v>46252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45984</v>
      </c>
      <c r="E461" s="1" t="n">
        <v>46252</v>
      </c>
      <c r="F461" t="inlineStr">
        <is>
          <t>NORRBOTTENS LÄN</t>
        </is>
      </c>
      <c r="G461" t="inlineStr">
        <is>
          <t>BODEN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46252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45194</v>
      </c>
      <c r="E463" s="1" t="n">
        <v>46252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45523</v>
      </c>
      <c r="E464" s="1" t="n">
        <v>46252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45149</v>
      </c>
      <c r="E465" s="1" t="n">
        <v>46252</v>
      </c>
      <c r="F465" t="inlineStr">
        <is>
          <t>NORRBOTTENS LÄN</t>
        </is>
      </c>
      <c r="G465" t="inlineStr">
        <is>
          <t>BODEN</t>
        </is>
      </c>
      <c r="I465" t="n">
        <v>16.1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46252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45244</v>
      </c>
      <c r="E467" s="1" t="n">
        <v>46252</v>
      </c>
      <c r="F467" t="inlineStr">
        <is>
          <t>NORRBOTTENS LÄN</t>
        </is>
      </c>
      <c r="G467" t="inlineStr">
        <is>
          <t>BODEN</t>
        </is>
      </c>
      <c r="H467" t="inlineStr">
        <is>
          <t>Övriga statliga verk och myndigheter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20505-2023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45054</v>
      </c>
      <c r="E468" s="1" t="n">
        <v>46252</v>
      </c>
      <c r="F468" t="inlineStr">
        <is>
          <t>NORRBOTTENS LÄN</t>
        </is>
      </c>
      <c r="G468" t="inlineStr">
        <is>
          <t>BODEN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45429</v>
      </c>
      <c r="E469" s="1" t="n">
        <v>46252</v>
      </c>
      <c r="F469" t="inlineStr">
        <is>
          <t>NORRBOTTENS LÄN</t>
        </is>
      </c>
      <c r="G469" t="inlineStr">
        <is>
          <t>BODEN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45748</v>
      </c>
      <c r="E470" s="1" t="n">
        <v>46252</v>
      </c>
      <c r="F470" t="inlineStr">
        <is>
          <t>NORRBOTTENS LÄN</t>
        </is>
      </c>
      <c r="G470" t="inlineStr">
        <is>
          <t>BODEN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25916-2023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45085</v>
      </c>
      <c r="E471" s="1" t="n">
        <v>46252</v>
      </c>
      <c r="F471" t="inlineStr">
        <is>
          <t>NORRBOTTENS LÄN</t>
        </is>
      </c>
      <c r="G471" t="inlineStr">
        <is>
          <t>BODEN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45986</v>
      </c>
      <c r="E472" s="1" t="n">
        <v>46252</v>
      </c>
      <c r="F472" t="inlineStr">
        <is>
          <t>NORRBOTTENS LÄN</t>
        </is>
      </c>
      <c r="G472" t="inlineStr">
        <is>
          <t>BODEN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46252</v>
      </c>
      <c r="F473" t="inlineStr">
        <is>
          <t>NORRBOTTENS LÄN</t>
        </is>
      </c>
      <c r="G473" t="inlineStr">
        <is>
          <t>BODEN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45988</v>
      </c>
      <c r="E474" s="1" t="n">
        <v>46252</v>
      </c>
      <c r="F474" t="inlineStr">
        <is>
          <t>NORRBOTTENS LÄN</t>
        </is>
      </c>
      <c r="G474" t="inlineStr">
        <is>
          <t>BODEN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46252</v>
      </c>
      <c r="F475" t="inlineStr">
        <is>
          <t>NORRBOTTENS LÄN</t>
        </is>
      </c>
      <c r="G475" t="inlineStr">
        <is>
          <t>BODEN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30299-2023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45110</v>
      </c>
      <c r="E476" s="1" t="n">
        <v>46252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59031-2025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46252</v>
      </c>
      <c r="F477" t="inlineStr">
        <is>
          <t>NORRBOTTENS LÄN</t>
        </is>
      </c>
      <c r="G477" t="inlineStr">
        <is>
          <t>BODEN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64649-2023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45281</v>
      </c>
      <c r="E478" s="1" t="n">
        <v>46252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28745-2023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46252</v>
      </c>
      <c r="F479" t="inlineStr">
        <is>
          <t>NORRBOTTENS LÄN</t>
        </is>
      </c>
      <c r="G479" t="inlineStr">
        <is>
          <t>BODEN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46252</v>
      </c>
      <c r="F480" t="inlineStr">
        <is>
          <t>NORRBOTTENS LÄN</t>
        </is>
      </c>
      <c r="G480" t="inlineStr">
        <is>
          <t>BODEN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46252</v>
      </c>
      <c r="F481" t="inlineStr">
        <is>
          <t>NORRBOTTENS LÄN</t>
        </is>
      </c>
      <c r="G481" t="inlineStr">
        <is>
          <t>BODEN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60233-2025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46252</v>
      </c>
      <c r="F482" t="inlineStr">
        <is>
          <t>NORRBOTTENS LÄN</t>
        </is>
      </c>
      <c r="G482" t="inlineStr">
        <is>
          <t>BODEN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45994</v>
      </c>
      <c r="E483" s="1" t="n">
        <v>46252</v>
      </c>
      <c r="F483" t="inlineStr">
        <is>
          <t>NORRBOTTENS LÄN</t>
        </is>
      </c>
      <c r="G483" t="inlineStr">
        <is>
          <t>BODEN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59028-2022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46252</v>
      </c>
      <c r="F484" t="inlineStr">
        <is>
          <t>NORRBOTTENS LÄN</t>
        </is>
      </c>
      <c r="G484" t="inlineStr">
        <is>
          <t>BODEN</t>
        </is>
      </c>
      <c r="I484" t="n">
        <v>16.1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45070</v>
      </c>
      <c r="E485" s="1" t="n">
        <v>46252</v>
      </c>
      <c r="F485" t="inlineStr">
        <is>
          <t>NORRBOTTENS LÄN</t>
        </is>
      </c>
      <c r="G485" t="inlineStr">
        <is>
          <t>BODEN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46252</v>
      </c>
      <c r="F486" t="inlineStr">
        <is>
          <t>NORRBOTTENS LÄN</t>
        </is>
      </c>
      <c r="G486" t="inlineStr">
        <is>
          <t>BODEN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60423-2025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46252</v>
      </c>
      <c r="F487" t="inlineStr">
        <is>
          <t>NORRBOTTENS LÄN</t>
        </is>
      </c>
      <c r="G487" t="inlineStr">
        <is>
          <t>BODEN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45995</v>
      </c>
      <c r="E488" s="1" t="n">
        <v>46252</v>
      </c>
      <c r="F488" t="inlineStr">
        <is>
          <t>NORRBOTTENS LÄN</t>
        </is>
      </c>
      <c r="G488" t="inlineStr">
        <is>
          <t>BODEN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46178</v>
      </c>
      <c r="E489" s="1" t="n">
        <v>46252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46252</v>
      </c>
      <c r="F490" t="inlineStr">
        <is>
          <t>NORRBOTTENS LÄN</t>
        </is>
      </c>
      <c r="G490" t="inlineStr">
        <is>
          <t>BODEN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46252</v>
      </c>
      <c r="F491" t="inlineStr">
        <is>
          <t>NORRBOTTENS LÄN</t>
        </is>
      </c>
      <c r="G491" t="inlineStr">
        <is>
          <t>BODEN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46252</v>
      </c>
      <c r="F492" t="inlineStr">
        <is>
          <t>NORRBOTTENS LÄN</t>
        </is>
      </c>
      <c r="G492" t="inlineStr">
        <is>
          <t>BODEN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60613-2025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45996</v>
      </c>
      <c r="E493" s="1" t="n">
        <v>46252</v>
      </c>
      <c r="F493" t="inlineStr">
        <is>
          <t>NORRBOTTENS LÄN</t>
        </is>
      </c>
      <c r="G493" t="inlineStr">
        <is>
          <t>BODEN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49127-2023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45210</v>
      </c>
      <c r="E494" s="1" t="n">
        <v>46252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45999</v>
      </c>
      <c r="E495" s="1" t="n">
        <v>46252</v>
      </c>
      <c r="F495" t="inlineStr">
        <is>
          <t>NORRBOTTENS LÄN</t>
        </is>
      </c>
      <c r="G495" t="inlineStr">
        <is>
          <t>BODEN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43007-2022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44833</v>
      </c>
      <c r="E496" s="1" t="n">
        <v>46252</v>
      </c>
      <c r="F496" t="inlineStr">
        <is>
          <t>NORRBOTTENS LÄN</t>
        </is>
      </c>
      <c r="G496" t="inlineStr">
        <is>
          <t>BODEN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45672</v>
      </c>
      <c r="E497" s="1" t="n">
        <v>46252</v>
      </c>
      <c r="F497" t="inlineStr">
        <is>
          <t>NORRBOTTENS LÄN</t>
        </is>
      </c>
      <c r="G497" t="inlineStr">
        <is>
          <t>BODEN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42652-2025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45906</v>
      </c>
      <c r="E498" s="1" t="n">
        <v>46252</v>
      </c>
      <c r="F498" t="inlineStr">
        <is>
          <t>NORRBOTTENS LÄN</t>
        </is>
      </c>
      <c r="G498" t="inlineStr">
        <is>
          <t>BODEN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45764</v>
      </c>
      <c r="E499" s="1" t="n">
        <v>46252</v>
      </c>
      <c r="F499" t="inlineStr">
        <is>
          <t>NORRBOTTENS LÄN</t>
        </is>
      </c>
      <c r="G499" t="inlineStr">
        <is>
          <t>BODEN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61227-2025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46252</v>
      </c>
      <c r="F500" t="inlineStr">
        <is>
          <t>NORRBOTTENS LÄN</t>
        </is>
      </c>
      <c r="G500" t="inlineStr">
        <is>
          <t>BODEN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46252</v>
      </c>
      <c r="F501" t="inlineStr">
        <is>
          <t>NORRBOTTENS LÄN</t>
        </is>
      </c>
      <c r="G501" t="inlineStr">
        <is>
          <t>BODEN</t>
        </is>
      </c>
      <c r="I501" t="n">
        <v>17.1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67438-2021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44524</v>
      </c>
      <c r="E502" s="1" t="n">
        <v>46252</v>
      </c>
      <c r="F502" t="inlineStr">
        <is>
          <t>NORRBOTTENS LÄN</t>
        </is>
      </c>
      <c r="G502" t="inlineStr">
        <is>
          <t>BODEN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46001</v>
      </c>
      <c r="E503" s="1" t="n">
        <v>46252</v>
      </c>
      <c r="F503" t="inlineStr">
        <is>
          <t>NORRBOTTENS LÄN</t>
        </is>
      </c>
      <c r="G503" t="inlineStr">
        <is>
          <t>BODEN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59890-2023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45254</v>
      </c>
      <c r="E504" s="1" t="n">
        <v>46252</v>
      </c>
      <c r="F504" t="inlineStr">
        <is>
          <t>NORRBOTTENS LÄN</t>
        </is>
      </c>
      <c r="G504" t="inlineStr">
        <is>
          <t>BODEN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46512-2021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44445</v>
      </c>
      <c r="E505" s="1" t="n">
        <v>46252</v>
      </c>
      <c r="F505" t="inlineStr">
        <is>
          <t>NORRBOTTENS LÄN</t>
        </is>
      </c>
      <c r="G505" t="inlineStr">
        <is>
          <t>BODEN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61959-2025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46252</v>
      </c>
      <c r="F506" t="inlineStr">
        <is>
          <t>NORRBOTTENS LÄN</t>
        </is>
      </c>
      <c r="G506" t="inlineStr">
        <is>
          <t>BODEN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45212</v>
      </c>
      <c r="E507" s="1" t="n">
        <v>46252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61949-2025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46252</v>
      </c>
      <c r="F508" t="inlineStr">
        <is>
          <t>NORRBOTTENS LÄN</t>
        </is>
      </c>
      <c r="G508" t="inlineStr">
        <is>
          <t>BODEN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61559-2025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46252</v>
      </c>
      <c r="F509" t="inlineStr">
        <is>
          <t>NORRBOTTENS LÄN</t>
        </is>
      </c>
      <c r="G509" t="inlineStr">
        <is>
          <t>BODEN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25575-2024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46252</v>
      </c>
      <c r="F510" t="inlineStr">
        <is>
          <t>NORRBOTTENS LÄN</t>
        </is>
      </c>
      <c r="G510" t="inlineStr">
        <is>
          <t>BODEN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8869-2024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46252</v>
      </c>
      <c r="F511" t="inlineStr">
        <is>
          <t>NORRBOTTENS LÄN</t>
        </is>
      </c>
      <c r="G511" t="inlineStr">
        <is>
          <t>BODEN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21421-2022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44706</v>
      </c>
      <c r="E512" s="1" t="n">
        <v>46252</v>
      </c>
      <c r="F512" t="inlineStr">
        <is>
          <t>NORRBOTTENS LÄN</t>
        </is>
      </c>
      <c r="G512" t="inlineStr">
        <is>
          <t>BODEN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46252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46252</v>
      </c>
      <c r="F514" t="inlineStr">
        <is>
          <t>NORRBOTTENS LÄN</t>
        </is>
      </c>
      <c r="G514" t="inlineStr">
        <is>
          <t>BODEN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46252</v>
      </c>
      <c r="F515" t="inlineStr">
        <is>
          <t>NORRBOTTENS LÄN</t>
        </is>
      </c>
      <c r="G515" t="inlineStr">
        <is>
          <t>BODEN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46252</v>
      </c>
      <c r="F516" t="inlineStr">
        <is>
          <t>NORRBOTTENS LÄN</t>
        </is>
      </c>
      <c r="G516" t="inlineStr">
        <is>
          <t>BODEN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28432-2022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44747</v>
      </c>
      <c r="E517" s="1" t="n">
        <v>46252</v>
      </c>
      <c r="F517" t="inlineStr">
        <is>
          <t>NORRBOTTENS LÄN</t>
        </is>
      </c>
      <c r="G517" t="inlineStr">
        <is>
          <t>BODEN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46252</v>
      </c>
      <c r="F518" t="inlineStr">
        <is>
          <t>NORRBOTTENS LÄN</t>
        </is>
      </c>
      <c r="G518" t="inlineStr">
        <is>
          <t>BODEN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16741-2022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44673</v>
      </c>
      <c r="E519" s="1" t="n">
        <v>46252</v>
      </c>
      <c r="F519" t="inlineStr">
        <is>
          <t>NORRBOTTENS LÄN</t>
        </is>
      </c>
      <c r="G519" t="inlineStr">
        <is>
          <t>BODEN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46252</v>
      </c>
      <c r="F520" t="inlineStr">
        <is>
          <t>NORRBOTTENS LÄN</t>
        </is>
      </c>
      <c r="G520" t="inlineStr">
        <is>
          <t>BODEN</t>
        </is>
      </c>
      <c r="I520" t="n">
        <v>18.6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45667</v>
      </c>
      <c r="E521" s="1" t="n">
        <v>46252</v>
      </c>
      <c r="F521" t="inlineStr">
        <is>
          <t>NORRBOTTENS LÄN</t>
        </is>
      </c>
      <c r="G521" t="inlineStr">
        <is>
          <t>BODEN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62992-2025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46252</v>
      </c>
      <c r="F522" t="inlineStr">
        <is>
          <t>NORRBOTTENS LÄN</t>
        </is>
      </c>
      <c r="G522" t="inlineStr">
        <is>
          <t>BODEN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46252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45548</v>
      </c>
      <c r="E524" s="1" t="n">
        <v>46252</v>
      </c>
      <c r="F524" t="inlineStr">
        <is>
          <t>NORRBOTTENS LÄN</t>
        </is>
      </c>
      <c r="G524" t="inlineStr">
        <is>
          <t>BODEN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14995-2022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44657</v>
      </c>
      <c r="E525" s="1" t="n">
        <v>46252</v>
      </c>
      <c r="F525" t="inlineStr">
        <is>
          <t>NORRBOTTENS LÄN</t>
        </is>
      </c>
      <c r="G525" t="inlineStr">
        <is>
          <t>BODEN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15000-2022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44657</v>
      </c>
      <c r="E526" s="1" t="n">
        <v>46252</v>
      </c>
      <c r="F526" t="inlineStr">
        <is>
          <t>NORRBOTTENS LÄN</t>
        </is>
      </c>
      <c r="G526" t="inlineStr">
        <is>
          <t>BODEN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63399-2025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46012</v>
      </c>
      <c r="E527" s="1" t="n">
        <v>46252</v>
      </c>
      <c r="F527" t="inlineStr">
        <is>
          <t>NORRBOTTENS LÄN</t>
        </is>
      </c>
      <c r="G527" t="inlineStr">
        <is>
          <t>BODEN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46012</v>
      </c>
      <c r="E528" s="1" t="n">
        <v>46252</v>
      </c>
      <c r="F528" t="inlineStr">
        <is>
          <t>NORRBOTTENS LÄN</t>
        </is>
      </c>
      <c r="G528" t="inlineStr">
        <is>
          <t>BODEN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63398-2025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46012</v>
      </c>
      <c r="E529" s="1" t="n">
        <v>46252</v>
      </c>
      <c r="F529" t="inlineStr">
        <is>
          <t>NORRBOTTENS LÄN</t>
        </is>
      </c>
      <c r="G529" t="inlineStr">
        <is>
          <t>BODEN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11092-2022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44628</v>
      </c>
      <c r="E530" s="1" t="n">
        <v>46252</v>
      </c>
      <c r="F530" t="inlineStr">
        <is>
          <t>NORRBOTTENS LÄN</t>
        </is>
      </c>
      <c r="G530" t="inlineStr">
        <is>
          <t>BODEN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46252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38372-2023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45161</v>
      </c>
      <c r="E532" s="1" t="n">
        <v>46252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6776-2023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44966</v>
      </c>
      <c r="E533" s="1" t="n">
        <v>46252</v>
      </c>
      <c r="F533" t="inlineStr">
        <is>
          <t>NORRBOTTENS LÄN</t>
        </is>
      </c>
      <c r="G533" t="inlineStr">
        <is>
          <t>BODEN</t>
        </is>
      </c>
      <c r="H533" t="inlineStr">
        <is>
          <t>SCA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9940-2025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45718</v>
      </c>
      <c r="E534" s="1" t="n">
        <v>46252</v>
      </c>
      <c r="F534" t="inlineStr">
        <is>
          <t>NORRBOTTENS LÄN</t>
        </is>
      </c>
      <c r="G534" t="inlineStr">
        <is>
          <t>BODEN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57579-2023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45246</v>
      </c>
      <c r="E535" s="1" t="n">
        <v>46252</v>
      </c>
      <c r="F535" t="inlineStr">
        <is>
          <t>NORRBOTTENS LÄN</t>
        </is>
      </c>
      <c r="G535" t="inlineStr">
        <is>
          <t>BODEN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63891-2025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46020</v>
      </c>
      <c r="E536" s="1" t="n">
        <v>46252</v>
      </c>
      <c r="F536" t="inlineStr">
        <is>
          <t>NORRBOTTENS LÄN</t>
        </is>
      </c>
      <c r="G536" t="inlineStr">
        <is>
          <t>BODEN</t>
        </is>
      </c>
      <c r="I536" t="n">
        <v>12.5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46252</v>
      </c>
      <c r="F537" t="inlineStr">
        <is>
          <t>NORRBOTTENS LÄN</t>
        </is>
      </c>
      <c r="G537" t="inlineStr">
        <is>
          <t>BODEN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46252</v>
      </c>
      <c r="F538" t="inlineStr">
        <is>
          <t>NORRBOTTENS LÄN</t>
        </is>
      </c>
      <c r="G538" t="inlineStr">
        <is>
          <t>BODEN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46252</v>
      </c>
      <c r="F539" t="inlineStr">
        <is>
          <t>NORRBOTTENS LÄN</t>
        </is>
      </c>
      <c r="G539" t="inlineStr">
        <is>
          <t>BODEN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45358</v>
      </c>
      <c r="E540" s="1" t="n">
        <v>46252</v>
      </c>
      <c r="F540" t="inlineStr">
        <is>
          <t>NORRBOTTENS LÄN</t>
        </is>
      </c>
      <c r="G540" t="inlineStr">
        <is>
          <t>BODEN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28444-2023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45102</v>
      </c>
      <c r="E541" s="1" t="n">
        <v>46252</v>
      </c>
      <c r="F541" t="inlineStr">
        <is>
          <t>NORRBOTTENS LÄN</t>
        </is>
      </c>
      <c r="G541" t="inlineStr">
        <is>
          <t>BODEN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45316</v>
      </c>
      <c r="E542" s="1" t="n">
        <v>46252</v>
      </c>
      <c r="F542" t="inlineStr">
        <is>
          <t>NORRBOTTENS LÄN</t>
        </is>
      </c>
      <c r="G542" t="inlineStr">
        <is>
          <t>BODEN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46252</v>
      </c>
      <c r="F543" t="inlineStr">
        <is>
          <t>NORRBOTTENS LÄN</t>
        </is>
      </c>
      <c r="G543" t="inlineStr">
        <is>
          <t>BODEN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45770</v>
      </c>
      <c r="E544" s="1" t="n">
        <v>46252</v>
      </c>
      <c r="F544" t="inlineStr">
        <is>
          <t>NORRBOTTENS LÄN</t>
        </is>
      </c>
      <c r="G544" t="inlineStr">
        <is>
          <t>BODEN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68611-2021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44529</v>
      </c>
      <c r="E545" s="1" t="n">
        <v>46252</v>
      </c>
      <c r="F545" t="inlineStr">
        <is>
          <t>NORRBOTTENS LÄN</t>
        </is>
      </c>
      <c r="G545" t="inlineStr">
        <is>
          <t>BODEN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928-2026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46252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31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46252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46252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48592-2024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45593</v>
      </c>
      <c r="E549" s="1" t="n">
        <v>46252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46030</v>
      </c>
      <c r="E550" s="1" t="n">
        <v>46252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13556-2022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44648</v>
      </c>
      <c r="E551" s="1" t="n">
        <v>46252</v>
      </c>
      <c r="F551" t="inlineStr">
        <is>
          <t>NORRBOTTENS LÄN</t>
        </is>
      </c>
      <c r="G551" t="inlineStr">
        <is>
          <t>BODEN</t>
        </is>
      </c>
      <c r="H551" t="inlineStr">
        <is>
          <t>Sveaskog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51193-2023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45212</v>
      </c>
      <c r="E552" s="1" t="n">
        <v>46252</v>
      </c>
      <c r="F552" t="inlineStr">
        <is>
          <t>NORRBOTTENS LÄN</t>
        </is>
      </c>
      <c r="G552" t="inlineStr">
        <is>
          <t>BODEN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63841-2025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46020</v>
      </c>
      <c r="E553" s="1" t="n">
        <v>46252</v>
      </c>
      <c r="F553" t="inlineStr">
        <is>
          <t>NORRBOTTENS LÄN</t>
        </is>
      </c>
      <c r="G553" t="inlineStr">
        <is>
          <t>BODEN</t>
        </is>
      </c>
      <c r="I553" t="n">
        <v>10.9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45476</v>
      </c>
      <c r="E554" s="1" t="n">
        <v>46252</v>
      </c>
      <c r="F554" t="inlineStr">
        <is>
          <t>NORRBOTTENS LÄN</t>
        </is>
      </c>
      <c r="G554" t="inlineStr">
        <is>
          <t>BODEN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45429</v>
      </c>
      <c r="E555" s="1" t="n">
        <v>46252</v>
      </c>
      <c r="F555" t="inlineStr">
        <is>
          <t>NORRBOTTENS LÄN</t>
        </is>
      </c>
      <c r="G555" t="inlineStr">
        <is>
          <t>BODEN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45429</v>
      </c>
      <c r="E556" s="1" t="n">
        <v>46252</v>
      </c>
      <c r="F556" t="inlineStr">
        <is>
          <t>NORRBOTTENS LÄN</t>
        </is>
      </c>
      <c r="G556" t="inlineStr">
        <is>
          <t>BODEN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46036</v>
      </c>
      <c r="E557" s="1" t="n">
        <v>46252</v>
      </c>
      <c r="F557" t="inlineStr">
        <is>
          <t>NORRBOTTENS LÄN</t>
        </is>
      </c>
      <c r="G557" t="inlineStr">
        <is>
          <t>BODEN</t>
        </is>
      </c>
      <c r="H557" t="inlineStr">
        <is>
          <t>Kommuner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54935-2021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44474</v>
      </c>
      <c r="E558" s="1" t="n">
        <v>46252</v>
      </c>
      <c r="F558" t="inlineStr">
        <is>
          <t>NORRBOTTENS LÄN</t>
        </is>
      </c>
      <c r="G558" t="inlineStr">
        <is>
          <t>BODEN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708-2022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44566</v>
      </c>
      <c r="E559" s="1" t="n">
        <v>46252</v>
      </c>
      <c r="F559" t="inlineStr">
        <is>
          <t>NORRBOTTENS LÄN</t>
        </is>
      </c>
      <c r="G559" t="inlineStr">
        <is>
          <t>BODEN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46252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45551</v>
      </c>
      <c r="E561" s="1" t="n">
        <v>46252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8008-2025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45707</v>
      </c>
      <c r="E562" s="1" t="n">
        <v>46252</v>
      </c>
      <c r="F562" t="inlineStr">
        <is>
          <t>NORRBOTTENS LÄN</t>
        </is>
      </c>
      <c r="G562" t="inlineStr">
        <is>
          <t>BODEN</t>
        </is>
      </c>
      <c r="I562" t="n">
        <v>11.3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46252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56111-2021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44477</v>
      </c>
      <c r="E564" s="1" t="n">
        <v>46252</v>
      </c>
      <c r="F564" t="inlineStr">
        <is>
          <t>NORRBOTTENS LÄN</t>
        </is>
      </c>
      <c r="G564" t="inlineStr">
        <is>
          <t>BODEN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29377-2024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45483</v>
      </c>
      <c r="E565" s="1" t="n">
        <v>46252</v>
      </c>
      <c r="F565" t="inlineStr">
        <is>
          <t>NORRBOTTENS LÄN</t>
        </is>
      </c>
      <c r="G565" t="inlineStr">
        <is>
          <t>BODEN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46252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45153</v>
      </c>
      <c r="E567" s="1" t="n">
        <v>46252</v>
      </c>
      <c r="F567" t="inlineStr">
        <is>
          <t>NORRBOTTENS LÄN</t>
        </is>
      </c>
      <c r="G567" t="inlineStr">
        <is>
          <t>BODEN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31652-2026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46225</v>
      </c>
      <c r="E568" s="1" t="n">
        <v>46252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46225</v>
      </c>
      <c r="E569" s="1" t="n">
        <v>46252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11.1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45132</v>
      </c>
      <c r="E570" s="1" t="n">
        <v>46252</v>
      </c>
      <c r="F570" t="inlineStr">
        <is>
          <t>NORRBOTTENS LÄN</t>
        </is>
      </c>
      <c r="G570" t="inlineStr">
        <is>
          <t>BODEN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46252</v>
      </c>
      <c r="F571" t="inlineStr">
        <is>
          <t>NORRBOTTENS LÄN</t>
        </is>
      </c>
      <c r="G571" t="inlineStr">
        <is>
          <t>BODEN</t>
        </is>
      </c>
      <c r="I571" t="n">
        <v>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61748-2024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45649</v>
      </c>
      <c r="E572" s="1" t="n">
        <v>46252</v>
      </c>
      <c r="F572" t="inlineStr">
        <is>
          <t>NORRBOTTENS LÄN</t>
        </is>
      </c>
      <c r="G572" t="inlineStr">
        <is>
          <t>BODEN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61757-2024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45649</v>
      </c>
      <c r="E573" s="1" t="n">
        <v>46252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45509</v>
      </c>
      <c r="E574" s="1" t="n">
        <v>46252</v>
      </c>
      <c r="F574" t="inlineStr">
        <is>
          <t>NORRBOTTENS LÄN</t>
        </is>
      </c>
      <c r="G574" t="inlineStr">
        <is>
          <t>BODEN</t>
        </is>
      </c>
      <c r="I574" t="n">
        <v>11.1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45256</v>
      </c>
      <c r="E575" s="1" t="n">
        <v>46252</v>
      </c>
      <c r="F575" t="inlineStr">
        <is>
          <t>NORRBOTTENS LÄN</t>
        </is>
      </c>
      <c r="G575" t="inlineStr">
        <is>
          <t>BODEN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45562</v>
      </c>
      <c r="E576" s="1" t="n">
        <v>46252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61932-2024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45653</v>
      </c>
      <c r="E577" s="1" t="n">
        <v>46252</v>
      </c>
      <c r="F577" t="inlineStr">
        <is>
          <t>NORRBOTTENS LÄN</t>
        </is>
      </c>
      <c r="G577" t="inlineStr">
        <is>
          <t>BODEN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29309-2023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45105</v>
      </c>
      <c r="E578" s="1" t="n">
        <v>46252</v>
      </c>
      <c r="F578" t="inlineStr">
        <is>
          <t>NORRBOTTENS LÄN</t>
        </is>
      </c>
      <c r="G578" t="inlineStr">
        <is>
          <t>BODEN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46181</v>
      </c>
      <c r="E579" s="1" t="n">
        <v>46252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57968-2023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45247</v>
      </c>
      <c r="E580" s="1" t="n">
        <v>46252</v>
      </c>
      <c r="F580" t="inlineStr">
        <is>
          <t>NORRBOTTENS LÄN</t>
        </is>
      </c>
      <c r="G580" t="inlineStr">
        <is>
          <t>BODEN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47097-2023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45201</v>
      </c>
      <c r="E581" s="1" t="n">
        <v>46252</v>
      </c>
      <c r="F581" t="inlineStr">
        <is>
          <t>NORRBOTTENS LÄN</t>
        </is>
      </c>
      <c r="G581" t="inlineStr">
        <is>
          <t>BODEN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28359-2023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45099</v>
      </c>
      <c r="E582" s="1" t="n">
        <v>46252</v>
      </c>
      <c r="F582" t="inlineStr">
        <is>
          <t>NORRBOTTENS LÄN</t>
        </is>
      </c>
      <c r="G582" t="inlineStr">
        <is>
          <t>BODEN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46252</v>
      </c>
      <c r="F583" t="inlineStr">
        <is>
          <t>NORRBOTTENS LÄN</t>
        </is>
      </c>
      <c r="G583" t="inlineStr">
        <is>
          <t>BODEN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46252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8.5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11647-2023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44994</v>
      </c>
      <c r="E585" s="1" t="n">
        <v>46252</v>
      </c>
      <c r="F585" t="inlineStr">
        <is>
          <t>NORRBOTTENS LÄN</t>
        </is>
      </c>
      <c r="G585" t="inlineStr">
        <is>
          <t>BODEN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57895-2021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44486</v>
      </c>
      <c r="E586" s="1" t="n">
        <v>46252</v>
      </c>
      <c r="F586" t="inlineStr">
        <is>
          <t>NORRBOTTENS LÄN</t>
        </is>
      </c>
      <c r="G586" t="inlineStr">
        <is>
          <t>BODEN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45728</v>
      </c>
      <c r="E587" s="1" t="n">
        <v>46252</v>
      </c>
      <c r="F587" t="inlineStr">
        <is>
          <t>NORRBOTTENS LÄN</t>
        </is>
      </c>
      <c r="G587" t="inlineStr">
        <is>
          <t>BODEN</t>
        </is>
      </c>
      <c r="H587" t="inlineStr">
        <is>
          <t>Övriga Aktiebolag</t>
        </is>
      </c>
      <c r="I587" t="n">
        <v>10.6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46252</v>
      </c>
      <c r="F588" t="inlineStr">
        <is>
          <t>NORRBOTTENS LÄN</t>
        </is>
      </c>
      <c r="G588" t="inlineStr">
        <is>
          <t>BODEN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46252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45499</v>
      </c>
      <c r="E590" s="1" t="n">
        <v>46252</v>
      </c>
      <c r="F590" t="inlineStr">
        <is>
          <t>NORRBOTTENS LÄN</t>
        </is>
      </c>
      <c r="G590" t="inlineStr">
        <is>
          <t>BODEN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46252</v>
      </c>
      <c r="F591" t="inlineStr">
        <is>
          <t>NORRBOTTENS LÄN</t>
        </is>
      </c>
      <c r="G591" t="inlineStr">
        <is>
          <t>BODEN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37384-2023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45156</v>
      </c>
      <c r="E592" s="1" t="n">
        <v>46252</v>
      </c>
      <c r="F592" t="inlineStr">
        <is>
          <t>NORRBOTTENS LÄN</t>
        </is>
      </c>
      <c r="G592" t="inlineStr">
        <is>
          <t>BODEN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46252</v>
      </c>
      <c r="F593" t="inlineStr">
        <is>
          <t>NORRBOTTENS LÄN</t>
        </is>
      </c>
      <c r="G593" t="inlineStr">
        <is>
          <t>BODEN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46252</v>
      </c>
      <c r="F594" t="inlineStr">
        <is>
          <t>NORRBOTTENS LÄN</t>
        </is>
      </c>
      <c r="G594" t="inlineStr">
        <is>
          <t>BODEN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26448-2026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46252</v>
      </c>
      <c r="F595" t="inlineStr">
        <is>
          <t>NORRBOTTENS LÄN</t>
        </is>
      </c>
      <c r="G595" t="inlineStr">
        <is>
          <t>BODEN</t>
        </is>
      </c>
      <c r="I595" t="n">
        <v>7.7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44642</v>
      </c>
      <c r="E596" s="1" t="n">
        <v>46252</v>
      </c>
      <c r="F596" t="inlineStr">
        <is>
          <t>NORRBOTTENS LÄN</t>
        </is>
      </c>
      <c r="G596" t="inlineStr">
        <is>
          <t>BODEN</t>
        </is>
      </c>
      <c r="H596" t="inlineStr">
        <is>
          <t>Övriga statliga verk och myndigheter</t>
        </is>
      </c>
      <c r="I596" t="n">
        <v>15.8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46252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46059</v>
      </c>
      <c r="E598" s="1" t="n">
        <v>46252</v>
      </c>
      <c r="F598" t="inlineStr">
        <is>
          <t>NORRBOTTENS LÄN</t>
        </is>
      </c>
      <c r="G598" t="inlineStr">
        <is>
          <t>BODEN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26714-2026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46252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7.2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26776-2026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46252</v>
      </c>
      <c r="F600" t="inlineStr">
        <is>
          <t>NORRBOTTENS LÄN</t>
        </is>
      </c>
      <c r="G600" t="inlineStr">
        <is>
          <t>BODEN</t>
        </is>
      </c>
      <c r="H600" t="inlineStr">
        <is>
          <t>Sveaskog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  <c r="Z600">
        <f>HYPERLINK("https://klasma.github.io/Logging_2582/knärot/A 26776-2026 karta knärot.png", "A 26776-2026")</f>
        <v/>
      </c>
      <c r="AA600">
        <f>HYPERLINK("https://klasma.github.io/Logging_2582/klagomål/A 26776-2026 FSC-klagomål.docx", "A 26776-2026")</f>
        <v/>
      </c>
      <c r="AB600">
        <f>HYPERLINK("https://klasma.github.io/Logging_2582/klagomålsmail/A 26776-2026 FSC-klagomål mail.docx", "A 26776-2026")</f>
        <v/>
      </c>
      <c r="AC600">
        <f>HYPERLINK("https://klasma.github.io/Logging_2582/tillsyn/A 26776-2026 tillsynsbegäran.docx", "A 26776-2026")</f>
        <v/>
      </c>
      <c r="AD600">
        <f>HYPERLINK("https://klasma.github.io/Logging_2582/tillsynsmail/A 26776-2026 tillsynsbegäran mail.docx", "A 26776-2026")</f>
        <v/>
      </c>
    </row>
    <row r="601" ht="15" customHeight="1">
      <c r="A601" t="inlineStr">
        <is>
          <t>A 26375-2026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46252</v>
      </c>
      <c r="F601" t="inlineStr">
        <is>
          <t>NORRBOTTENS LÄN</t>
        </is>
      </c>
      <c r="G601" t="inlineStr">
        <is>
          <t>BODEN</t>
        </is>
      </c>
      <c r="I601" t="n">
        <v>18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46183</v>
      </c>
      <c r="E602" s="1" t="n">
        <v>46252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46252</v>
      </c>
      <c r="F603" t="inlineStr">
        <is>
          <t>NORRBOTTENS LÄN</t>
        </is>
      </c>
      <c r="G603" t="inlineStr">
        <is>
          <t>BODEN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38511-2025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45884</v>
      </c>
      <c r="E604" s="1" t="n">
        <v>46252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26662-2026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46252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42.2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46252</v>
      </c>
      <c r="F606" t="inlineStr">
        <is>
          <t>NORRBOTTENS LÄN</t>
        </is>
      </c>
      <c r="G606" t="inlineStr">
        <is>
          <t>BODEN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8056-2026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46063</v>
      </c>
      <c r="E607" s="1" t="n">
        <v>46252</v>
      </c>
      <c r="F607" t="inlineStr">
        <is>
          <t>NORRBOTTENS LÄN</t>
        </is>
      </c>
      <c r="G607" t="inlineStr">
        <is>
          <t>BODEN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45070</v>
      </c>
      <c r="E608" s="1" t="n">
        <v>46252</v>
      </c>
      <c r="F608" t="inlineStr">
        <is>
          <t>NORRBOTTENS LÄN</t>
        </is>
      </c>
      <c r="G608" t="inlineStr">
        <is>
          <t>BODEN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58373-2022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44901</v>
      </c>
      <c r="E609" s="1" t="n">
        <v>46252</v>
      </c>
      <c r="F609" t="inlineStr">
        <is>
          <t>NORRBOTTENS LÄN</t>
        </is>
      </c>
      <c r="G609" t="inlineStr">
        <is>
          <t>BODEN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46063</v>
      </c>
      <c r="E610" s="1" t="n">
        <v>46252</v>
      </c>
      <c r="F610" t="inlineStr">
        <is>
          <t>NORRBOTTENS LÄN</t>
        </is>
      </c>
      <c r="G610" t="inlineStr">
        <is>
          <t>BODEN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8433-2026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46252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9.699999999999999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45195</v>
      </c>
      <c r="E612" s="1" t="n">
        <v>46252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61750-2024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45649</v>
      </c>
      <c r="E613" s="1" t="n">
        <v>46252</v>
      </c>
      <c r="F613" t="inlineStr">
        <is>
          <t>NORRBOTTENS LÄN</t>
        </is>
      </c>
      <c r="G613" t="inlineStr">
        <is>
          <t>BODEN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46217</v>
      </c>
      <c r="E614" s="1" t="n">
        <v>46252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45589</v>
      </c>
      <c r="E615" s="1" t="n">
        <v>46252</v>
      </c>
      <c r="F615" t="inlineStr">
        <is>
          <t>NORRBOTTENS LÄN</t>
        </is>
      </c>
      <c r="G615" t="inlineStr">
        <is>
          <t>BODEN</t>
        </is>
      </c>
      <c r="H615" t="inlineStr">
        <is>
          <t>Naturvårdsverket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47924-2024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45589</v>
      </c>
      <c r="E616" s="1" t="n">
        <v>46252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10694-2026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46252</v>
      </c>
      <c r="F617" t="inlineStr">
        <is>
          <t>NORRBOTTENS LÄN</t>
        </is>
      </c>
      <c r="G617" t="inlineStr">
        <is>
          <t>BODEN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46252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10231-2026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46252</v>
      </c>
      <c r="F619" t="inlineStr">
        <is>
          <t>NORRBOTTENS LÄN</t>
        </is>
      </c>
      <c r="G619" t="inlineStr">
        <is>
          <t>BODEN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46252</v>
      </c>
      <c r="F620" t="inlineStr">
        <is>
          <t>NORRBOTTENS LÄN</t>
        </is>
      </c>
      <c r="G620" t="inlineStr">
        <is>
          <t>BODEN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45460</v>
      </c>
      <c r="E621" s="1" t="n">
        <v>46252</v>
      </c>
      <c r="F621" t="inlineStr">
        <is>
          <t>NORRBOTTENS LÄN</t>
        </is>
      </c>
      <c r="G621" t="inlineStr">
        <is>
          <t>BODEN</t>
        </is>
      </c>
      <c r="H621" t="inlineStr">
        <is>
          <t>Övriga Aktiebolag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26996-2026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46252</v>
      </c>
      <c r="F622" t="inlineStr">
        <is>
          <t>NORRBOTTENS LÄN</t>
        </is>
      </c>
      <c r="G622" t="inlineStr">
        <is>
          <t>BODEN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46252</v>
      </c>
      <c r="F623" t="inlineStr">
        <is>
          <t>NORRBOTTENS LÄN</t>
        </is>
      </c>
      <c r="G623" t="inlineStr">
        <is>
          <t>BODEN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46252</v>
      </c>
      <c r="F624" t="inlineStr">
        <is>
          <t>NORRBOTTENS LÄN</t>
        </is>
      </c>
      <c r="G624" t="inlineStr">
        <is>
          <t>BODEN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8028-2024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45350</v>
      </c>
      <c r="E625" s="1" t="n">
        <v>46252</v>
      </c>
      <c r="F625" t="inlineStr">
        <is>
          <t>NORRBOTTENS LÄN</t>
        </is>
      </c>
      <c r="G625" t="inlineStr">
        <is>
          <t>BODEN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11569-2026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46084</v>
      </c>
      <c r="E626" s="1" t="n">
        <v>46252</v>
      </c>
      <c r="F626" t="inlineStr">
        <is>
          <t>NORRBOTTENS LÄN</t>
        </is>
      </c>
      <c r="G626" t="inlineStr">
        <is>
          <t>BODEN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46084</v>
      </c>
      <c r="E627" s="1" t="n">
        <v>46252</v>
      </c>
      <c r="F627" t="inlineStr">
        <is>
          <t>NORRBOTTENS LÄN</t>
        </is>
      </c>
      <c r="G627" t="inlineStr">
        <is>
          <t>BODEN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46084</v>
      </c>
      <c r="E628" s="1" t="n">
        <v>46252</v>
      </c>
      <c r="F628" t="inlineStr">
        <is>
          <t>NORRBOTTENS LÄN</t>
        </is>
      </c>
      <c r="G628" t="inlineStr">
        <is>
          <t>BODEN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46086</v>
      </c>
      <c r="E629" s="1" t="n">
        <v>46252</v>
      </c>
      <c r="F629" t="inlineStr">
        <is>
          <t>NORRBOTTENS LÄN</t>
        </is>
      </c>
      <c r="G629" t="inlineStr">
        <is>
          <t>BODEN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25627-2022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44732</v>
      </c>
      <c r="E630" s="1" t="n">
        <v>46252</v>
      </c>
      <c r="F630" t="inlineStr">
        <is>
          <t>NORRBOTTENS LÄN</t>
        </is>
      </c>
      <c r="G630" t="inlineStr">
        <is>
          <t>BODEN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2732-2025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45677</v>
      </c>
      <c r="E631" s="1" t="n">
        <v>46252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61107-2022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44908</v>
      </c>
      <c r="E632" s="1" t="n">
        <v>46252</v>
      </c>
      <c r="F632" t="inlineStr">
        <is>
          <t>NORRBOTTENS LÄN</t>
        </is>
      </c>
      <c r="G632" t="inlineStr">
        <is>
          <t>BODEN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46252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50327-2023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45216</v>
      </c>
      <c r="E634" s="1" t="n">
        <v>46252</v>
      </c>
      <c r="F634" t="inlineStr">
        <is>
          <t>NORRBOTTENS LÄN</t>
        </is>
      </c>
      <c r="G634" t="inlineStr">
        <is>
          <t>BODEN</t>
        </is>
      </c>
      <c r="H634" t="inlineStr">
        <is>
          <t>Sveaskog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24400-2022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44726</v>
      </c>
      <c r="E635" s="1" t="n">
        <v>46252</v>
      </c>
      <c r="F635" t="inlineStr">
        <is>
          <t>NORRBOTTENS LÄN</t>
        </is>
      </c>
      <c r="G635" t="inlineStr">
        <is>
          <t>BODEN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706-2022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44566</v>
      </c>
      <c r="E636" s="1" t="n">
        <v>46252</v>
      </c>
      <c r="F636" t="inlineStr">
        <is>
          <t>NORRBOTTENS LÄN</t>
        </is>
      </c>
      <c r="G636" t="inlineStr">
        <is>
          <t>BODEN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45035-2022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44841</v>
      </c>
      <c r="E637" s="1" t="n">
        <v>46252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46252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27698-2026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46190</v>
      </c>
      <c r="E639" s="1" t="n">
        <v>46252</v>
      </c>
      <c r="F639" t="inlineStr">
        <is>
          <t>NORRBOTTENS LÄN</t>
        </is>
      </c>
      <c r="G639" t="inlineStr">
        <is>
          <t>BODEN</t>
        </is>
      </c>
      <c r="I639" t="n">
        <v>22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8873-2024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45356</v>
      </c>
      <c r="E640" s="1" t="n">
        <v>46252</v>
      </c>
      <c r="F640" t="inlineStr">
        <is>
          <t>NORRBOTTENS LÄN</t>
        </is>
      </c>
      <c r="G640" t="inlineStr">
        <is>
          <t>BODEN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46252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45376-2025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45922</v>
      </c>
      <c r="E642" s="1" t="n">
        <v>46252</v>
      </c>
      <c r="F642" t="inlineStr">
        <is>
          <t>NORRBOTTENS LÄN</t>
        </is>
      </c>
      <c r="G642" t="inlineStr">
        <is>
          <t>BODEN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45115-2021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44438</v>
      </c>
      <c r="E643" s="1" t="n">
        <v>46252</v>
      </c>
      <c r="F643" t="inlineStr">
        <is>
          <t>NORRBOTTENS LÄN</t>
        </is>
      </c>
      <c r="G643" t="inlineStr">
        <is>
          <t>BODEN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46252</v>
      </c>
      <c r="F644" t="inlineStr">
        <is>
          <t>NORRBOTTENS LÄN</t>
        </is>
      </c>
      <c r="G644" t="inlineStr">
        <is>
          <t>BODEN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18002-2025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45761</v>
      </c>
      <c r="E645" s="1" t="n">
        <v>46252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14245-2026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46099</v>
      </c>
      <c r="E646" s="1" t="n">
        <v>46252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26022-2022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44734</v>
      </c>
      <c r="E647" s="1" t="n">
        <v>46252</v>
      </c>
      <c r="F647" t="inlineStr">
        <is>
          <t>NORRBOTTENS LÄN</t>
        </is>
      </c>
      <c r="G647" t="inlineStr">
        <is>
          <t>BODEN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61969-2024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45653</v>
      </c>
      <c r="E648" s="1" t="n">
        <v>46252</v>
      </c>
      <c r="F648" t="inlineStr">
        <is>
          <t>NORRBOTTENS LÄN</t>
        </is>
      </c>
      <c r="G648" t="inlineStr">
        <is>
          <t>BODEN</t>
        </is>
      </c>
      <c r="I648" t="n">
        <v>9.699999999999999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19584-2025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45770</v>
      </c>
      <c r="E649" s="1" t="n">
        <v>46252</v>
      </c>
      <c r="F649" t="inlineStr">
        <is>
          <t>NORRBOTTENS LÄN</t>
        </is>
      </c>
      <c r="G649" t="inlineStr">
        <is>
          <t>BODEN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37866-2024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45544</v>
      </c>
      <c r="E650" s="1" t="n">
        <v>46252</v>
      </c>
      <c r="F650" t="inlineStr">
        <is>
          <t>NORRBOTTENS LÄN</t>
        </is>
      </c>
      <c r="G650" t="inlineStr">
        <is>
          <t>BODEN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46252</v>
      </c>
      <c r="F651" t="inlineStr">
        <is>
          <t>NORRBOTTENS LÄN</t>
        </is>
      </c>
      <c r="G651" t="inlineStr">
        <is>
          <t>BODEN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34760-2022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44795</v>
      </c>
      <c r="E652" s="1" t="n">
        <v>46252</v>
      </c>
      <c r="F652" t="inlineStr">
        <is>
          <t>NORRBOTTENS LÄN</t>
        </is>
      </c>
      <c r="G652" t="inlineStr">
        <is>
          <t>BODEN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46029</v>
      </c>
      <c r="E653" s="1" t="n">
        <v>46252</v>
      </c>
      <c r="F653" t="inlineStr">
        <is>
          <t>NORRBOTTENS LÄN</t>
        </is>
      </c>
      <c r="G653" t="inlineStr">
        <is>
          <t>BODEN</t>
        </is>
      </c>
      <c r="H653" t="inlineStr">
        <is>
          <t>Naturvårdsverket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15342-2026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46252</v>
      </c>
      <c r="F654" t="inlineStr">
        <is>
          <t>NORRBOTTENS LÄN</t>
        </is>
      </c>
      <c r="G654" t="inlineStr">
        <is>
          <t>BODEN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46252</v>
      </c>
      <c r="F655" t="inlineStr">
        <is>
          <t>NORRBOTTENS LÄN</t>
        </is>
      </c>
      <c r="G655" t="inlineStr">
        <is>
          <t>BODEN</t>
        </is>
      </c>
      <c r="I655" t="n">
        <v>15.5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46234</v>
      </c>
      <c r="E656" s="1" t="n">
        <v>46252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46234</v>
      </c>
      <c r="E657" s="1" t="n">
        <v>46252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46234</v>
      </c>
      <c r="E658" s="1" t="n">
        <v>46252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45448-2023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45194</v>
      </c>
      <c r="E659" s="1" t="n">
        <v>46252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61103-2022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44908</v>
      </c>
      <c r="E660" s="1" t="n">
        <v>46252</v>
      </c>
      <c r="F660" t="inlineStr">
        <is>
          <t>NORRBOTTENS LÄN</t>
        </is>
      </c>
      <c r="G660" t="inlineStr">
        <is>
          <t>BODEN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46252</v>
      </c>
      <c r="F661" t="inlineStr">
        <is>
          <t>NORRBOTTENS LÄN</t>
        </is>
      </c>
      <c r="G661" t="inlineStr">
        <is>
          <t>BODEN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45358</v>
      </c>
      <c r="E662" s="1" t="n">
        <v>46252</v>
      </c>
      <c r="F662" t="inlineStr">
        <is>
          <t>NORRBOTTENS LÄN</t>
        </is>
      </c>
      <c r="G662" t="inlineStr">
        <is>
          <t>BODEN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46252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46238</v>
      </c>
      <c r="E664" s="1" t="n">
        <v>46252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45980</v>
      </c>
      <c r="E665" s="1" t="n">
        <v>46252</v>
      </c>
      <c r="F665" t="inlineStr">
        <is>
          <t>NORRBOTTENS LÄN</t>
        </is>
      </c>
      <c r="G665" t="inlineStr">
        <is>
          <t>BODEN</t>
        </is>
      </c>
      <c r="I665" t="n">
        <v>19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45680</v>
      </c>
      <c r="E666" s="1" t="n">
        <v>46252</v>
      </c>
      <c r="F666" t="inlineStr">
        <is>
          <t>NORRBOTTENS LÄN</t>
        </is>
      </c>
      <c r="G666" t="inlineStr">
        <is>
          <t>BODEN</t>
        </is>
      </c>
      <c r="H666" t="inlineStr">
        <is>
          <t>Naturvårdsverket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45187</v>
      </c>
      <c r="E667" s="1" t="n">
        <v>46252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7.1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28241-2026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46196</v>
      </c>
      <c r="E668" s="1" t="n">
        <v>46252</v>
      </c>
      <c r="F668" t="inlineStr">
        <is>
          <t>NORRBOTTENS LÄN</t>
        </is>
      </c>
      <c r="G668" t="inlineStr">
        <is>
          <t>BODEN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17909-2026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46252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6.6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46239</v>
      </c>
      <c r="E670" s="1" t="n">
        <v>46252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26.6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46122</v>
      </c>
      <c r="E671" s="1" t="n">
        <v>46252</v>
      </c>
      <c r="F671" t="inlineStr">
        <is>
          <t>NORRBOTTENS LÄN</t>
        </is>
      </c>
      <c r="G671" t="inlineStr">
        <is>
          <t>BODEN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55540-2022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44887</v>
      </c>
      <c r="E672" s="1" t="n">
        <v>46252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18221-2026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46126</v>
      </c>
      <c r="E673" s="1" t="n">
        <v>46252</v>
      </c>
      <c r="F673" t="inlineStr">
        <is>
          <t>NORRBOTTENS LÄN</t>
        </is>
      </c>
      <c r="G673" t="inlineStr">
        <is>
          <t>BODEN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39463-2023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45166</v>
      </c>
      <c r="E674" s="1" t="n">
        <v>46252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18401-2026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46126</v>
      </c>
      <c r="E675" s="1" t="n">
        <v>46252</v>
      </c>
      <c r="F675" t="inlineStr">
        <is>
          <t>NORRBOTTENS LÄN</t>
        </is>
      </c>
      <c r="G675" t="inlineStr">
        <is>
          <t>BODEN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61921-2024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45653</v>
      </c>
      <c r="E676" s="1" t="n">
        <v>46252</v>
      </c>
      <c r="F676" t="inlineStr">
        <is>
          <t>NORRBOTTENS LÄN</t>
        </is>
      </c>
      <c r="G676" t="inlineStr">
        <is>
          <t>BODEN</t>
        </is>
      </c>
      <c r="I676" t="n">
        <v>47.3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41212-2023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45174</v>
      </c>
      <c r="E677" s="1" t="n">
        <v>46252</v>
      </c>
      <c r="F677" t="inlineStr">
        <is>
          <t>NORRBOTTENS LÄN</t>
        </is>
      </c>
      <c r="G677" t="inlineStr">
        <is>
          <t>BODEN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18448-2026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46127</v>
      </c>
      <c r="E678" s="1" t="n">
        <v>46252</v>
      </c>
      <c r="F678" t="inlineStr">
        <is>
          <t>NORRBOTTENS LÄN</t>
        </is>
      </c>
      <c r="G678" t="inlineStr">
        <is>
          <t>BODEN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4055-2024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45323</v>
      </c>
      <c r="E679" s="1" t="n">
        <v>46252</v>
      </c>
      <c r="F679" t="inlineStr">
        <is>
          <t>NORRBOTTENS LÄN</t>
        </is>
      </c>
      <c r="G679" t="inlineStr">
        <is>
          <t>BODEN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877-2023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44931</v>
      </c>
      <c r="E680" s="1" t="n">
        <v>46252</v>
      </c>
      <c r="F680" t="inlineStr">
        <is>
          <t>NORRBOTTENS LÄN</t>
        </is>
      </c>
      <c r="G680" t="inlineStr">
        <is>
          <t>BODEN</t>
        </is>
      </c>
      <c r="I680" t="n">
        <v>8.699999999999999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45001</v>
      </c>
      <c r="E681" s="1" t="n">
        <v>46252</v>
      </c>
      <c r="F681" t="inlineStr">
        <is>
          <t>NORRBOTTENS LÄN</t>
        </is>
      </c>
      <c r="G681" t="inlineStr">
        <is>
          <t>BODEN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60337-2024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45643</v>
      </c>
      <c r="E682" s="1" t="n">
        <v>46252</v>
      </c>
      <c r="F682" t="inlineStr">
        <is>
          <t>NORRBOTTENS LÄN</t>
        </is>
      </c>
      <c r="G682" t="inlineStr">
        <is>
          <t>BODEN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19050-2026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46132</v>
      </c>
      <c r="E683" s="1" t="n">
        <v>46252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19091-2026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46132</v>
      </c>
      <c r="E684" s="1" t="n">
        <v>46252</v>
      </c>
      <c r="F684" t="inlineStr">
        <is>
          <t>NORRBOTTENS LÄN</t>
        </is>
      </c>
      <c r="G684" t="inlineStr">
        <is>
          <t>BODEN</t>
        </is>
      </c>
      <c r="I684" t="n">
        <v>11.7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46252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46252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20041-2025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45772</v>
      </c>
      <c r="E687" s="1" t="n">
        <v>46252</v>
      </c>
      <c r="F687" t="inlineStr">
        <is>
          <t>NORRBOTTENS LÄN</t>
        </is>
      </c>
      <c r="G687" t="inlineStr">
        <is>
          <t>BODEN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46252</v>
      </c>
      <c r="F688" t="inlineStr">
        <is>
          <t>NORRBOTTENS LÄN</t>
        </is>
      </c>
      <c r="G688" t="inlineStr">
        <is>
          <t>BODEN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8170-2025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45708</v>
      </c>
      <c r="E689" s="1" t="n">
        <v>46252</v>
      </c>
      <c r="F689" t="inlineStr">
        <is>
          <t>NORRBOTTENS LÄN</t>
        </is>
      </c>
      <c r="G689" t="inlineStr">
        <is>
          <t>BODEN</t>
        </is>
      </c>
      <c r="H689" t="inlineStr">
        <is>
          <t>Övriga Aktiebolag</t>
        </is>
      </c>
      <c r="I689" t="n">
        <v>15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28566-2026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46197</v>
      </c>
      <c r="E690" s="1" t="n">
        <v>46252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46252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6242-2023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44964</v>
      </c>
      <c r="E692" s="1" t="n">
        <v>46252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62589-2025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46007</v>
      </c>
      <c r="E693" s="1" t="n">
        <v>46252</v>
      </c>
      <c r="F693" t="inlineStr">
        <is>
          <t>NORRBOTTENS LÄN</t>
        </is>
      </c>
      <c r="G693" t="inlineStr">
        <is>
          <t>BODEN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46252</v>
      </c>
      <c r="F694" t="inlineStr">
        <is>
          <t>NORRBOTTENS LÄN</t>
        </is>
      </c>
      <c r="G694" t="inlineStr">
        <is>
          <t>BODEN</t>
        </is>
      </c>
      <c r="I694" t="n">
        <v>14.5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28509-2026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46252</v>
      </c>
      <c r="F695" t="inlineStr">
        <is>
          <t>NORRBOTTENS LÄN</t>
        </is>
      </c>
      <c r="G695" t="inlineStr">
        <is>
          <t>BODEN</t>
        </is>
      </c>
      <c r="I695" t="n">
        <v>8.9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46136</v>
      </c>
      <c r="E696" s="1" t="n">
        <v>46252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46240</v>
      </c>
      <c r="E697" s="1" t="n">
        <v>46252</v>
      </c>
      <c r="F697" t="inlineStr">
        <is>
          <t>NORRBOTTENS LÄN</t>
        </is>
      </c>
      <c r="G697" t="inlineStr">
        <is>
          <t>BODEN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17417-2023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45035</v>
      </c>
      <c r="E698" s="1" t="n">
        <v>46252</v>
      </c>
      <c r="F698" t="inlineStr">
        <is>
          <t>NORRBOTTENS LÄN</t>
        </is>
      </c>
      <c r="G698" t="inlineStr">
        <is>
          <t>BODEN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28490-2026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46197</v>
      </c>
      <c r="E699" s="1" t="n">
        <v>46252</v>
      </c>
      <c r="F699" t="inlineStr">
        <is>
          <t>NORRBOTTENS LÄN</t>
        </is>
      </c>
      <c r="G699" t="inlineStr">
        <is>
          <t>BODEN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46240</v>
      </c>
      <c r="E700" s="1" t="n">
        <v>46252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46252</v>
      </c>
      <c r="F701" t="inlineStr">
        <is>
          <t>NORRBOTTENS LÄN</t>
        </is>
      </c>
      <c r="G701" t="inlineStr">
        <is>
          <t>BODEN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28074-2024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45476</v>
      </c>
      <c r="E702" s="1" t="n">
        <v>46252</v>
      </c>
      <c r="F702" t="inlineStr">
        <is>
          <t>NORRBOTTENS LÄN</t>
        </is>
      </c>
      <c r="G702" t="inlineStr">
        <is>
          <t>BODEN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45093</v>
      </c>
      <c r="E703" s="1" t="n">
        <v>46252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28512-2026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46252</v>
      </c>
      <c r="F704" t="inlineStr">
        <is>
          <t>NORRBOTTENS LÄN</t>
        </is>
      </c>
      <c r="G704" t="inlineStr">
        <is>
          <t>BODEN</t>
        </is>
      </c>
      <c r="I704" t="n">
        <v>10.8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54590-2022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44883</v>
      </c>
      <c r="E705" s="1" t="n">
        <v>46252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46197</v>
      </c>
      <c r="E706" s="1" t="n">
        <v>46252</v>
      </c>
      <c r="F706" t="inlineStr">
        <is>
          <t>NORRBOTTENS LÄN</t>
        </is>
      </c>
      <c r="G706" t="inlineStr">
        <is>
          <t>BODEN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28615-2026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46252</v>
      </c>
      <c r="F707" t="inlineStr">
        <is>
          <t>NORRBOTTENS LÄN</t>
        </is>
      </c>
      <c r="G707" t="inlineStr">
        <is>
          <t>BODEN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10727-2025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45722</v>
      </c>
      <c r="E708" s="1" t="n">
        <v>46252</v>
      </c>
      <c r="F708" t="inlineStr">
        <is>
          <t>NORRBOTTENS LÄN</t>
        </is>
      </c>
      <c r="G708" t="inlineStr">
        <is>
          <t>BODEN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62017-2025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46003</v>
      </c>
      <c r="E709" s="1" t="n">
        <v>46252</v>
      </c>
      <c r="F709" t="inlineStr">
        <is>
          <t>NORRBOTTENS LÄN</t>
        </is>
      </c>
      <c r="G709" t="inlineStr">
        <is>
          <t>BODEN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57600-2021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44484</v>
      </c>
      <c r="E710" s="1" t="n">
        <v>46252</v>
      </c>
      <c r="F710" t="inlineStr">
        <is>
          <t>NORRBOTTENS LÄN</t>
        </is>
      </c>
      <c r="G710" t="inlineStr">
        <is>
          <t>BODEN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46029</v>
      </c>
      <c r="E711" s="1" t="n">
        <v>46252</v>
      </c>
      <c r="F711" t="inlineStr">
        <is>
          <t>NORRBOTTENS LÄN</t>
        </is>
      </c>
      <c r="G711" t="inlineStr">
        <is>
          <t>BODEN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35115-2024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45529</v>
      </c>
      <c r="E712" s="1" t="n">
        <v>46252</v>
      </c>
      <c r="F712" t="inlineStr">
        <is>
          <t>NORRBOTTENS LÄN</t>
        </is>
      </c>
      <c r="G712" t="inlineStr">
        <is>
          <t>BODEN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30105-2023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45099</v>
      </c>
      <c r="E713" s="1" t="n">
        <v>46252</v>
      </c>
      <c r="F713" t="inlineStr">
        <is>
          <t>NORRBOTTENS LÄN</t>
        </is>
      </c>
      <c r="G713" t="inlineStr">
        <is>
          <t>BODEN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57604-2021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44484</v>
      </c>
      <c r="E714" s="1" t="n">
        <v>46252</v>
      </c>
      <c r="F714" t="inlineStr">
        <is>
          <t>NORRBOTTENS LÄN</t>
        </is>
      </c>
      <c r="G714" t="inlineStr">
        <is>
          <t>BODEN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29152-2026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46252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46252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45999</v>
      </c>
      <c r="E717" s="1" t="n">
        <v>46252</v>
      </c>
      <c r="F717" t="inlineStr">
        <is>
          <t>NORRBOTTENS LÄN</t>
        </is>
      </c>
      <c r="G717" t="inlineStr">
        <is>
          <t>BODEN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29183-2026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46202</v>
      </c>
      <c r="E718" s="1" t="n">
        <v>46252</v>
      </c>
      <c r="F718" t="inlineStr">
        <is>
          <t>NORRBOTTENS LÄN</t>
        </is>
      </c>
      <c r="G718" t="inlineStr">
        <is>
          <t>BODEN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61988-2025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46003</v>
      </c>
      <c r="E719" s="1" t="n">
        <v>46252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23706-2024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45454</v>
      </c>
      <c r="E720" s="1" t="n">
        <v>46252</v>
      </c>
      <c r="F720" t="inlineStr">
        <is>
          <t>NORRBOTTENS LÄN</t>
        </is>
      </c>
      <c r="G720" t="inlineStr">
        <is>
          <t>BODEN</t>
        </is>
      </c>
      <c r="I720" t="n">
        <v>10.9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8776-2022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44614</v>
      </c>
      <c r="E721" s="1" t="n">
        <v>46252</v>
      </c>
      <c r="F721" t="inlineStr">
        <is>
          <t>NORRBOTTENS LÄN</t>
        </is>
      </c>
      <c r="G721" t="inlineStr">
        <is>
          <t>BODEN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25387-2023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45079</v>
      </c>
      <c r="E722" s="1" t="n">
        <v>46252</v>
      </c>
      <c r="F722" t="inlineStr">
        <is>
          <t>NORRBOTTENS LÄN</t>
        </is>
      </c>
      <c r="G722" t="inlineStr">
        <is>
          <t>BODEN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18428-2025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45762</v>
      </c>
      <c r="E723" s="1" t="n">
        <v>46252</v>
      </c>
      <c r="F723" t="inlineStr">
        <is>
          <t>NORRBOTTENS LÄN</t>
        </is>
      </c>
      <c r="G723" t="inlineStr">
        <is>
          <t>BODEN</t>
        </is>
      </c>
      <c r="I723" t="n">
        <v>5.8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62140-2024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45646</v>
      </c>
      <c r="E724" s="1" t="n">
        <v>46252</v>
      </c>
      <c r="F724" t="inlineStr">
        <is>
          <t>NORRBOTTENS LÄN</t>
        </is>
      </c>
      <c r="G724" t="inlineStr">
        <is>
          <t>BODEN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48129-2023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45205</v>
      </c>
      <c r="E725" s="1" t="n">
        <v>46252</v>
      </c>
      <c r="F725" t="inlineStr">
        <is>
          <t>NORRBOTTENS LÄN</t>
        </is>
      </c>
      <c r="G725" t="inlineStr">
        <is>
          <t>BODEN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16700-2024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45408</v>
      </c>
      <c r="E726" s="1" t="n">
        <v>46252</v>
      </c>
      <c r="F726" t="inlineStr">
        <is>
          <t>NORRBOTTENS LÄN</t>
        </is>
      </c>
      <c r="G726" t="inlineStr">
        <is>
          <t>BODEN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54616-2023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45233</v>
      </c>
      <c r="E727" s="1" t="n">
        <v>46252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29147-2026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46202</v>
      </c>
      <c r="E728" s="1" t="n">
        <v>46252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50561-2025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45944</v>
      </c>
      <c r="E729" s="1" t="n">
        <v>46252</v>
      </c>
      <c r="F729" t="inlineStr">
        <is>
          <t>NORRBOTTENS LÄN</t>
        </is>
      </c>
      <c r="G729" t="inlineStr">
        <is>
          <t>BODEN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12562-2024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45379</v>
      </c>
      <c r="E730" s="1" t="n">
        <v>46252</v>
      </c>
      <c r="F730" t="inlineStr">
        <is>
          <t>NORRBOTTENS LÄN</t>
        </is>
      </c>
      <c r="G730" t="inlineStr">
        <is>
          <t>BODEN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35755-2025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45860</v>
      </c>
      <c r="E731" s="1" t="n">
        <v>46252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20260-2025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45773</v>
      </c>
      <c r="E732" s="1" t="n">
        <v>46252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46252</v>
      </c>
      <c r="F733" t="inlineStr">
        <is>
          <t>NORRBOTTENS LÄN</t>
        </is>
      </c>
      <c r="G733" t="inlineStr">
        <is>
          <t>BODEN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29746-2026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46252</v>
      </c>
      <c r="F734" t="inlineStr">
        <is>
          <t>NORRBOTTENS LÄN</t>
        </is>
      </c>
      <c r="G734" t="inlineStr">
        <is>
          <t>BODEN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11651-2023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44994</v>
      </c>
      <c r="E735" s="1" t="n">
        <v>46252</v>
      </c>
      <c r="F735" t="inlineStr">
        <is>
          <t>NORRBOTTENS LÄN</t>
        </is>
      </c>
      <c r="G735" t="inlineStr">
        <is>
          <t>BODEN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29568-2026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46252</v>
      </c>
      <c r="F736" t="inlineStr">
        <is>
          <t>NORRBOTTENS LÄN</t>
        </is>
      </c>
      <c r="G736" t="inlineStr">
        <is>
          <t>BODEN</t>
        </is>
      </c>
      <c r="I736" t="n">
        <v>12.2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29394-2026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46252</v>
      </c>
      <c r="F737" t="inlineStr">
        <is>
          <t>NORRBOTTENS LÄN</t>
        </is>
      </c>
      <c r="G737" t="inlineStr">
        <is>
          <t>BODEN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46252</v>
      </c>
      <c r="F738" t="inlineStr">
        <is>
          <t>NORRBOTTENS LÄN</t>
        </is>
      </c>
      <c r="G738" t="inlineStr">
        <is>
          <t>BODEN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48459-2025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45935</v>
      </c>
      <c r="E739" s="1" t="n">
        <v>46252</v>
      </c>
      <c r="F739" t="inlineStr">
        <is>
          <t>NORRBOTTENS LÄN</t>
        </is>
      </c>
      <c r="G739" t="inlineStr">
        <is>
          <t>BODEN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718-2022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44568</v>
      </c>
      <c r="E740" s="1" t="n">
        <v>46252</v>
      </c>
      <c r="F740" t="inlineStr">
        <is>
          <t>NORRBOTTENS LÄN</t>
        </is>
      </c>
      <c r="G740" t="inlineStr">
        <is>
          <t>BODEN</t>
        </is>
      </c>
      <c r="I740" t="n">
        <v>5.5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43969-2024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45572</v>
      </c>
      <c r="E741" s="1" t="n">
        <v>46252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19048-2025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45764</v>
      </c>
      <c r="E742" s="1" t="n">
        <v>46252</v>
      </c>
      <c r="F742" t="inlineStr">
        <is>
          <t>NORRBOTTENS LÄN</t>
        </is>
      </c>
      <c r="G742" t="inlineStr">
        <is>
          <t>BODEN</t>
        </is>
      </c>
      <c r="I742" t="n">
        <v>5.7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19050-2025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46252</v>
      </c>
      <c r="F743" t="inlineStr">
        <is>
          <t>NORRBOTTENS LÄN</t>
        </is>
      </c>
      <c r="G743" t="inlineStr">
        <is>
          <t>BODEN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46252</v>
      </c>
      <c r="F744" t="inlineStr">
        <is>
          <t>NORRBOTTENS LÄN</t>
        </is>
      </c>
      <c r="G744" t="inlineStr">
        <is>
          <t>BODEN</t>
        </is>
      </c>
      <c r="I744" t="n">
        <v>38.7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29555-2026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46252</v>
      </c>
      <c r="F745" t="inlineStr">
        <is>
          <t>NORRBOTTENS LÄN</t>
        </is>
      </c>
      <c r="G745" t="inlineStr">
        <is>
          <t>BODEN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54718-2024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45618</v>
      </c>
      <c r="E746" s="1" t="n">
        <v>46252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30745-2026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46211</v>
      </c>
      <c r="E747" s="1" t="n">
        <v>46252</v>
      </c>
      <c r="F747" t="inlineStr">
        <is>
          <t>NORRBOTTENS LÄN</t>
        </is>
      </c>
      <c r="G747" t="inlineStr">
        <is>
          <t>BODEN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32775-2025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45839</v>
      </c>
      <c r="E748" s="1" t="n">
        <v>46252</v>
      </c>
      <c r="F748" t="inlineStr">
        <is>
          <t>NORRBOTTENS LÄN</t>
        </is>
      </c>
      <c r="G748" t="inlineStr">
        <is>
          <t>BODEN</t>
        </is>
      </c>
      <c r="I748" t="n">
        <v>13.6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28357-2023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45099</v>
      </c>
      <c r="E749" s="1" t="n">
        <v>46252</v>
      </c>
      <c r="F749" t="inlineStr">
        <is>
          <t>NORRBOTTENS LÄN</t>
        </is>
      </c>
      <c r="G749" t="inlineStr">
        <is>
          <t>BODEN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46029</v>
      </c>
      <c r="E750" s="1" t="n">
        <v>46252</v>
      </c>
      <c r="F750" t="inlineStr">
        <is>
          <t>NORRBOTTENS LÄN</t>
        </is>
      </c>
      <c r="G750" t="inlineStr">
        <is>
          <t>BODEN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38219-2022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44812</v>
      </c>
      <c r="E751" s="1" t="n">
        <v>46252</v>
      </c>
      <c r="F751" t="inlineStr">
        <is>
          <t>NORRBOTTENS LÄN</t>
        </is>
      </c>
      <c r="G751" t="inlineStr">
        <is>
          <t>BODEN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40624-2022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44823</v>
      </c>
      <c r="E752" s="1" t="n">
        <v>46252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6.4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47024-2024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45586</v>
      </c>
      <c r="E753" s="1" t="n">
        <v>46252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12.8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30426-2026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46252</v>
      </c>
      <c r="F754" t="inlineStr">
        <is>
          <t>NORRBOTTENS LÄN</t>
        </is>
      </c>
      <c r="G754" t="inlineStr">
        <is>
          <t>BODEN</t>
        </is>
      </c>
      <c r="H754" t="inlineStr">
        <is>
          <t>Kommuner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30430-2026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46252</v>
      </c>
      <c r="F755" t="inlineStr">
        <is>
          <t>NORRBOTTENS LÄN</t>
        </is>
      </c>
      <c r="G755" t="inlineStr">
        <is>
          <t>BODEN</t>
        </is>
      </c>
      <c r="H755" t="inlineStr">
        <is>
          <t>Kommuner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56457-2024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45625</v>
      </c>
      <c r="E756" s="1" t="n">
        <v>46252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48107-2022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44856</v>
      </c>
      <c r="E757" s="1" t="n">
        <v>46252</v>
      </c>
      <c r="F757" t="inlineStr">
        <is>
          <t>NORRBOTTENS LÄN</t>
        </is>
      </c>
      <c r="G757" t="inlineStr">
        <is>
          <t>BODEN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30432-2026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46209</v>
      </c>
      <c r="E758" s="1" t="n">
        <v>46252</v>
      </c>
      <c r="F758" t="inlineStr">
        <is>
          <t>NORRBOTTENS LÄN</t>
        </is>
      </c>
      <c r="G758" t="inlineStr">
        <is>
          <t>BODEN</t>
        </is>
      </c>
      <c r="H758" t="inlineStr">
        <is>
          <t>Kommuner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46029</v>
      </c>
      <c r="E759" s="1" t="n">
        <v>46252</v>
      </c>
      <c r="F759" t="inlineStr">
        <is>
          <t>NORRBOTTENS LÄN</t>
        </is>
      </c>
      <c r="G759" t="inlineStr">
        <is>
          <t>BODEN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14743-2023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45013</v>
      </c>
      <c r="E760" s="1" t="n">
        <v>46252</v>
      </c>
      <c r="F760" t="inlineStr">
        <is>
          <t>NORRBOTTENS LÄN</t>
        </is>
      </c>
      <c r="G760" t="inlineStr">
        <is>
          <t>BODEN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3462-2022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44585</v>
      </c>
      <c r="E761" s="1" t="n">
        <v>46252</v>
      </c>
      <c r="F761" t="inlineStr">
        <is>
          <t>NORRBOTTENS LÄN</t>
        </is>
      </c>
      <c r="G761" t="inlineStr">
        <is>
          <t>BODEN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46252</v>
      </c>
      <c r="F762" t="inlineStr">
        <is>
          <t>NORRBOTTENS LÄN</t>
        </is>
      </c>
      <c r="G762" t="inlineStr">
        <is>
          <t>BODEN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11634-2026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46084</v>
      </c>
      <c r="E763" s="1" t="n">
        <v>46252</v>
      </c>
      <c r="F763" t="inlineStr">
        <is>
          <t>NORRBOTTENS LÄN</t>
        </is>
      </c>
      <c r="G763" t="inlineStr">
        <is>
          <t>BODEN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46252</v>
      </c>
      <c r="F764" t="inlineStr">
        <is>
          <t>NORRBOTTENS LÄN</t>
        </is>
      </c>
      <c r="G764" t="inlineStr">
        <is>
          <t>BODEN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45832</v>
      </c>
      <c r="E765" s="1" t="n">
        <v>46252</v>
      </c>
      <c r="F765" t="inlineStr">
        <is>
          <t>NORRBOTTENS LÄN</t>
        </is>
      </c>
      <c r="G765" t="inlineStr">
        <is>
          <t>BODEN</t>
        </is>
      </c>
      <c r="I765" t="n">
        <v>8.9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49113-2023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45204</v>
      </c>
      <c r="E766" s="1" t="n">
        <v>46252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28248-2025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46252</v>
      </c>
      <c r="F767" t="inlineStr">
        <is>
          <t>NORRBOTTENS LÄN</t>
        </is>
      </c>
      <c r="G767" t="inlineStr">
        <is>
          <t>BODEN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61214-2024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45645</v>
      </c>
      <c r="E768" s="1" t="n">
        <v>46252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4630-2025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45687</v>
      </c>
      <c r="E769" s="1" t="n">
        <v>46252</v>
      </c>
      <c r="F769" t="inlineStr">
        <is>
          <t>NORRBOTTENS LÄN</t>
        </is>
      </c>
      <c r="G769" t="inlineStr">
        <is>
          <t>BODEN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21279-2026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46147</v>
      </c>
      <c r="E770" s="1" t="n">
        <v>46252</v>
      </c>
      <c r="F770" t="inlineStr">
        <is>
          <t>NORRBOTTENS LÄN</t>
        </is>
      </c>
      <c r="G770" t="inlineStr">
        <is>
          <t>BODEN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40115-2025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45893</v>
      </c>
      <c r="E771" s="1" t="n">
        <v>46252</v>
      </c>
      <c r="F771" t="inlineStr">
        <is>
          <t>NORRBOTTENS LÄN</t>
        </is>
      </c>
      <c r="G771" t="inlineStr">
        <is>
          <t>BODEN</t>
        </is>
      </c>
      <c r="H771" t="inlineStr">
        <is>
          <t>Övriga statliga verk och myndigheter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1023-2023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44935</v>
      </c>
      <c r="E772" s="1" t="n">
        <v>46252</v>
      </c>
      <c r="F772" t="inlineStr">
        <is>
          <t>NORRBOTTENS LÄN</t>
        </is>
      </c>
      <c r="G772" t="inlineStr">
        <is>
          <t>BODEN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30077-2026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46206</v>
      </c>
      <c r="E773" s="1" t="n">
        <v>46252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33511-2025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45841</v>
      </c>
      <c r="E774" s="1" t="n">
        <v>46252</v>
      </c>
      <c r="F774" t="inlineStr">
        <is>
          <t>NORRBOTTENS LÄN</t>
        </is>
      </c>
      <c r="G774" t="inlineStr">
        <is>
          <t>BODEN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46252</v>
      </c>
      <c r="F775" t="inlineStr">
        <is>
          <t>NORRBOTTENS LÄN</t>
        </is>
      </c>
      <c r="G775" t="inlineStr">
        <is>
          <t>BODEN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61588-2024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45646</v>
      </c>
      <c r="E776" s="1" t="n">
        <v>46252</v>
      </c>
      <c r="F776" t="inlineStr">
        <is>
          <t>NORRBOTTENS LÄN</t>
        </is>
      </c>
      <c r="G776" t="inlineStr">
        <is>
          <t>BODEN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21478-2026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46148</v>
      </c>
      <c r="E777" s="1" t="n">
        <v>46252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28758-2024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46252</v>
      </c>
      <c r="F778" t="inlineStr">
        <is>
          <t>NORRBOTTENS LÄN</t>
        </is>
      </c>
      <c r="G778" t="inlineStr">
        <is>
          <t>BODEN</t>
        </is>
      </c>
      <c r="I778" t="n">
        <v>7.5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21688-2026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46149</v>
      </c>
      <c r="E779" s="1" t="n">
        <v>46252</v>
      </c>
      <c r="F779" t="inlineStr">
        <is>
          <t>NORRBOTTENS LÄN</t>
        </is>
      </c>
      <c r="G779" t="inlineStr">
        <is>
          <t>BODEN</t>
        </is>
      </c>
      <c r="I779" t="n">
        <v>11.6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13925-2024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45391</v>
      </c>
      <c r="E780" s="1" t="n">
        <v>46252</v>
      </c>
      <c r="F780" t="inlineStr">
        <is>
          <t>NORRBOTTENS LÄN</t>
        </is>
      </c>
      <c r="G780" t="inlineStr">
        <is>
          <t>BODEN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21610-2026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46149</v>
      </c>
      <c r="E781" s="1" t="n">
        <v>46252</v>
      </c>
      <c r="F781" t="inlineStr">
        <is>
          <t>NORRBOTTENS LÄN</t>
        </is>
      </c>
      <c r="G781" t="inlineStr">
        <is>
          <t>BODEN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46149</v>
      </c>
      <c r="E782" s="1" t="n">
        <v>46252</v>
      </c>
      <c r="F782" t="inlineStr">
        <is>
          <t>NORRBOTTENS LÄN</t>
        </is>
      </c>
      <c r="G782" t="inlineStr">
        <is>
          <t>BODEN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22264-2026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46150</v>
      </c>
      <c r="E783" s="1" t="n">
        <v>46252</v>
      </c>
      <c r="F783" t="inlineStr">
        <is>
          <t>NORRBOTTENS LÄN</t>
        </is>
      </c>
      <c r="G783" t="inlineStr">
        <is>
          <t>BODEN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22259-2026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46150</v>
      </c>
      <c r="E784" s="1" t="n">
        <v>46252</v>
      </c>
      <c r="F784" t="inlineStr">
        <is>
          <t>NORRBOTTENS LÄN</t>
        </is>
      </c>
      <c r="G784" t="inlineStr">
        <is>
          <t>BODEN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21128-2025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45778</v>
      </c>
      <c r="E785" s="1" t="n">
        <v>46252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33790-2026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46251</v>
      </c>
      <c r="E786" s="1" t="n">
        <v>46252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30025-2026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46206</v>
      </c>
      <c r="E787" s="1" t="n">
        <v>46252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21349-2025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45782</v>
      </c>
      <c r="E788" s="1" t="n">
        <v>46252</v>
      </c>
      <c r="F788" t="inlineStr">
        <is>
          <t>NORRBOTTENS LÄN</t>
        </is>
      </c>
      <c r="G788" t="inlineStr">
        <is>
          <t>BODEN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21784-2026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46150</v>
      </c>
      <c r="E789" s="1" t="n">
        <v>46252</v>
      </c>
      <c r="F789" t="inlineStr">
        <is>
          <t>NORRBOTTENS LÄN</t>
        </is>
      </c>
      <c r="G789" t="inlineStr">
        <is>
          <t>BODEN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16699-2024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45408</v>
      </c>
      <c r="E790" s="1" t="n">
        <v>46252</v>
      </c>
      <c r="F790" t="inlineStr">
        <is>
          <t>NORRBOTTENS LÄN</t>
        </is>
      </c>
      <c r="G790" t="inlineStr">
        <is>
          <t>BODEN</t>
        </is>
      </c>
      <c r="I790" t="n">
        <v>14.9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46154</v>
      </c>
      <c r="E791" s="1" t="n">
        <v>46252</v>
      </c>
      <c r="F791" t="inlineStr">
        <is>
          <t>NORRBOTTENS LÄN</t>
        </is>
      </c>
      <c r="G791" t="inlineStr">
        <is>
          <t>BODEN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61587-2024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46252</v>
      </c>
      <c r="F792" t="inlineStr">
        <is>
          <t>NORRBOTTENS LÄN</t>
        </is>
      </c>
      <c r="G792" t="inlineStr">
        <is>
          <t>BODEN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30332-2026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46208</v>
      </c>
      <c r="E793" s="1" t="n">
        <v>46252</v>
      </c>
      <c r="F793" t="inlineStr">
        <is>
          <t>NORRBOTTENS LÄN</t>
        </is>
      </c>
      <c r="G793" t="inlineStr">
        <is>
          <t>BODEN</t>
        </is>
      </c>
      <c r="I793" t="n">
        <v>9.800000000000001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22560-2026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46155</v>
      </c>
      <c r="E794" s="1" t="n">
        <v>46252</v>
      </c>
      <c r="F794" t="inlineStr">
        <is>
          <t>NORRBOTTENS LÄN</t>
        </is>
      </c>
      <c r="G794" t="inlineStr">
        <is>
          <t>BODEN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33671-2026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46248</v>
      </c>
      <c r="E795" s="1" t="n">
        <v>46252</v>
      </c>
      <c r="F795" t="inlineStr">
        <is>
          <t>NORRBOTTENS LÄN</t>
        </is>
      </c>
      <c r="G795" t="inlineStr">
        <is>
          <t>BODEN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60085-2024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45639</v>
      </c>
      <c r="E796" s="1" t="n">
        <v>46252</v>
      </c>
      <c r="F796" t="inlineStr">
        <is>
          <t>NORRBOTTENS LÄN</t>
        </is>
      </c>
      <c r="G796" t="inlineStr">
        <is>
          <t>BODEN</t>
        </is>
      </c>
      <c r="I796" t="n">
        <v>9.5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33756-2026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46251</v>
      </c>
      <c r="E797" s="1" t="n">
        <v>46252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22239-2026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46154</v>
      </c>
      <c r="E798" s="1" t="n">
        <v>46252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30023-2026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46206</v>
      </c>
      <c r="E799" s="1" t="n">
        <v>46252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15.2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59035-2025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45988</v>
      </c>
      <c r="E800" s="1" t="n">
        <v>46252</v>
      </c>
      <c r="F800" t="inlineStr">
        <is>
          <t>NORRBOTTENS LÄN</t>
        </is>
      </c>
      <c r="G800" t="inlineStr">
        <is>
          <t>BODEN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19068-2024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45427</v>
      </c>
      <c r="E801" s="1" t="n">
        <v>46252</v>
      </c>
      <c r="F801" t="inlineStr">
        <is>
          <t>NORRBOTTENS LÄN</t>
        </is>
      </c>
      <c r="G801" t="inlineStr">
        <is>
          <t>BODEN</t>
        </is>
      </c>
      <c r="I801" t="n">
        <v>22.1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21329-2024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45440</v>
      </c>
      <c r="E802" s="1" t="n">
        <v>46252</v>
      </c>
      <c r="F802" t="inlineStr">
        <is>
          <t>NORRBOTTENS LÄN</t>
        </is>
      </c>
      <c r="G802" t="inlineStr">
        <is>
          <t>BODEN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36115-2023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45149</v>
      </c>
      <c r="E803" s="1" t="n">
        <v>46252</v>
      </c>
      <c r="F803" t="inlineStr">
        <is>
          <t>NORRBOTTENS LÄN</t>
        </is>
      </c>
      <c r="G803" t="inlineStr">
        <is>
          <t>BODEN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22372-2025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45786</v>
      </c>
      <c r="E804" s="1" t="n">
        <v>46252</v>
      </c>
      <c r="F804" t="inlineStr">
        <is>
          <t>NORRBOTTENS LÄN</t>
        </is>
      </c>
      <c r="G804" t="inlineStr">
        <is>
          <t>BODEN</t>
        </is>
      </c>
      <c r="H804" t="inlineStr">
        <is>
          <t>Kommuner</t>
        </is>
      </c>
      <c r="I804" t="n">
        <v>16.3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45818</v>
      </c>
      <c r="E805" s="1" t="n">
        <v>46252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15157-2025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45744</v>
      </c>
      <c r="E806" s="1" t="n">
        <v>46252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45691</v>
      </c>
      <c r="E807" s="1" t="n">
        <v>46252</v>
      </c>
      <c r="F807" t="inlineStr">
        <is>
          <t>NORRBOTTENS LÄN</t>
        </is>
      </c>
      <c r="G807" t="inlineStr">
        <is>
          <t>BODEN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23321-2025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45791</v>
      </c>
      <c r="E808" s="1" t="n">
        <v>46252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12558-2024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45379</v>
      </c>
      <c r="E809" s="1" t="n">
        <v>46252</v>
      </c>
      <c r="F809" t="inlineStr">
        <is>
          <t>NORRBOTTENS LÄN</t>
        </is>
      </c>
      <c r="G809" t="inlineStr">
        <is>
          <t>BODEN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37212-2025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45875</v>
      </c>
      <c r="E810" s="1" t="n">
        <v>46252</v>
      </c>
      <c r="F810" t="inlineStr">
        <is>
          <t>NORRBOTTENS LÄN</t>
        </is>
      </c>
      <c r="G810" t="inlineStr">
        <is>
          <t>BODEN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45674</v>
      </c>
      <c r="E811" s="1" t="n">
        <v>46252</v>
      </c>
      <c r="F811" t="inlineStr">
        <is>
          <t>NORRBOTTENS LÄN</t>
        </is>
      </c>
      <c r="G811" t="inlineStr">
        <is>
          <t>BODEN</t>
        </is>
      </c>
      <c r="I811" t="n">
        <v>7.2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40157-2025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45894</v>
      </c>
      <c r="E812" s="1" t="n">
        <v>46252</v>
      </c>
      <c r="F812" t="inlineStr">
        <is>
          <t>NORRBOTTENS LÄN</t>
        </is>
      </c>
      <c r="G812" t="inlineStr">
        <is>
          <t>BODEN</t>
        </is>
      </c>
      <c r="H812" t="inlineStr">
        <is>
          <t>Övriga statliga verk och myndigheter</t>
        </is>
      </c>
      <c r="I812" t="n">
        <v>17.6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23761-2025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45793</v>
      </c>
      <c r="E813" s="1" t="n">
        <v>46252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23763-2025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45793</v>
      </c>
      <c r="E814" s="1" t="n">
        <v>46252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23724-2025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45793</v>
      </c>
      <c r="E815" s="1" t="n">
        <v>46252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46164</v>
      </c>
      <c r="E816" s="1" t="n">
        <v>46252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23792-2026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46164</v>
      </c>
      <c r="E817" s="1" t="n">
        <v>46252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48420-2024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45590</v>
      </c>
      <c r="E818" s="1" t="n">
        <v>46252</v>
      </c>
      <c r="F818" t="inlineStr">
        <is>
          <t>NORRBOTTENS LÄN</t>
        </is>
      </c>
      <c r="G818" t="inlineStr">
        <is>
          <t>BODEN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48427-2024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45590</v>
      </c>
      <c r="E819" s="1" t="n">
        <v>46252</v>
      </c>
      <c r="F819" t="inlineStr">
        <is>
          <t>NORRBOTTENS LÄN</t>
        </is>
      </c>
      <c r="G819" t="inlineStr">
        <is>
          <t>BODEN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23788-2026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46164</v>
      </c>
      <c r="E820" s="1" t="n">
        <v>46252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23789-2026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46164</v>
      </c>
      <c r="E821" s="1" t="n">
        <v>46252</v>
      </c>
      <c r="F821" t="inlineStr">
        <is>
          <t>NORRBOTTENS LÄN</t>
        </is>
      </c>
      <c r="G821" t="inlineStr">
        <is>
          <t>BODEN</t>
        </is>
      </c>
      <c r="H821" t="inlineStr">
        <is>
          <t>Sveaskog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46168</v>
      </c>
      <c r="E822" s="1" t="n">
        <v>46252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24358-2025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45797</v>
      </c>
      <c r="E823" s="1" t="n">
        <v>46252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24427-2026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46168</v>
      </c>
      <c r="E824" s="1" t="n">
        <v>46252</v>
      </c>
      <c r="F824" t="inlineStr">
        <is>
          <t>NORRBOTTENS LÄN</t>
        </is>
      </c>
      <c r="G824" t="inlineStr">
        <is>
          <t>BODEN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24733-2025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45799</v>
      </c>
      <c r="E825" s="1" t="n">
        <v>46252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24431-2026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46168</v>
      </c>
      <c r="E826" s="1" t="n">
        <v>46252</v>
      </c>
      <c r="F826" t="inlineStr">
        <is>
          <t>NORRBOTTENS LÄN</t>
        </is>
      </c>
      <c r="G826" t="inlineStr">
        <is>
          <t>BODEN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24235-2026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46168</v>
      </c>
      <c r="E827" s="1" t="n">
        <v>46252</v>
      </c>
      <c r="F827" t="inlineStr">
        <is>
          <t>NORRBOTTENS LÄN</t>
        </is>
      </c>
      <c r="G827" t="inlineStr">
        <is>
          <t>BODEN</t>
        </is>
      </c>
      <c r="I827" t="n">
        <v>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24430-2026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46168</v>
      </c>
      <c r="E828" s="1" t="n">
        <v>46252</v>
      </c>
      <c r="F828" t="inlineStr">
        <is>
          <t>NORRBOTTENS LÄN</t>
        </is>
      </c>
      <c r="G828" t="inlineStr">
        <is>
          <t>BODEN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24234-2026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46168</v>
      </c>
      <c r="E829" s="1" t="n">
        <v>46252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24221-2026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46168</v>
      </c>
      <c r="E830" s="1" t="n">
        <v>46252</v>
      </c>
      <c r="F830" t="inlineStr">
        <is>
          <t>NORRBOTTENS LÄN</t>
        </is>
      </c>
      <c r="G830" t="inlineStr">
        <is>
          <t>BODEN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24227-2026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46168</v>
      </c>
      <c r="E831" s="1" t="n">
        <v>46252</v>
      </c>
      <c r="F831" t="inlineStr">
        <is>
          <t>NORRBOTTENS LÄN</t>
        </is>
      </c>
      <c r="G831" t="inlineStr">
        <is>
          <t>BODEN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46252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24538-2025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45798</v>
      </c>
      <c r="E833" s="1" t="n">
        <v>46252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15.8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24225-2026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46168</v>
      </c>
      <c r="E834" s="1" t="n">
        <v>46252</v>
      </c>
      <c r="F834" t="inlineStr">
        <is>
          <t>NORRBOTTENS LÄN</t>
        </is>
      </c>
      <c r="G834" t="inlineStr">
        <is>
          <t>BODEN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49806-2022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44862</v>
      </c>
      <c r="E835" s="1" t="n">
        <v>46252</v>
      </c>
      <c r="F835" t="inlineStr">
        <is>
          <t>NORRBOTTENS LÄN</t>
        </is>
      </c>
      <c r="G835" t="inlineStr">
        <is>
          <t>BODEN</t>
        </is>
      </c>
      <c r="I835" t="n">
        <v>7.9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24699-2025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45798</v>
      </c>
      <c r="E836" s="1" t="n">
        <v>46252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25983-2025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45803</v>
      </c>
      <c r="E837" s="1" t="n">
        <v>46252</v>
      </c>
      <c r="F837" t="inlineStr">
        <is>
          <t>NORRBOTTENS LÄN</t>
        </is>
      </c>
      <c r="G837" t="inlineStr">
        <is>
          <t>BODEN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24805-2026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46172</v>
      </c>
      <c r="E838" s="1" t="n">
        <v>46252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24717-2026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46252</v>
      </c>
      <c r="F839" t="inlineStr">
        <is>
          <t>NORRBOTTENS LÄN</t>
        </is>
      </c>
      <c r="G839" t="inlineStr">
        <is>
          <t>BODEN</t>
        </is>
      </c>
      <c r="I839" t="n">
        <v>6.1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52247-2024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45608</v>
      </c>
      <c r="E840" s="1" t="n">
        <v>46252</v>
      </c>
      <c r="F840" t="inlineStr">
        <is>
          <t>NORRBOTTENS LÄN</t>
        </is>
      </c>
      <c r="G840" t="inlineStr">
        <is>
          <t>BODEN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52248-2024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45608</v>
      </c>
      <c r="E841" s="1" t="n">
        <v>46252</v>
      </c>
      <c r="F841" t="inlineStr">
        <is>
          <t>NORRBOTTENS LÄN</t>
        </is>
      </c>
      <c r="G841" t="inlineStr">
        <is>
          <t>BODEN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48431-2024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45590</v>
      </c>
      <c r="E842" s="1" t="n">
        <v>46252</v>
      </c>
      <c r="F842" t="inlineStr">
        <is>
          <t>NORRBOTTENS LÄN</t>
        </is>
      </c>
      <c r="G842" t="inlineStr">
        <is>
          <t>BODEN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31226-2026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46217</v>
      </c>
      <c r="E843" s="1" t="n">
        <v>46252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31217-2026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46217</v>
      </c>
      <c r="E844" s="1" t="n">
        <v>46252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25042-2026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46174</v>
      </c>
      <c r="E845" s="1" t="n">
        <v>46252</v>
      </c>
      <c r="F845" t="inlineStr">
        <is>
          <t>NORRBOTTENS LÄN</t>
        </is>
      </c>
      <c r="G845" t="inlineStr">
        <is>
          <t>BODEN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19564-2024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45429</v>
      </c>
      <c r="E846" s="1" t="n">
        <v>46252</v>
      </c>
      <c r="F846" t="inlineStr">
        <is>
          <t>NORRBOTTENS LÄN</t>
        </is>
      </c>
      <c r="G846" t="inlineStr">
        <is>
          <t>BODEN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25735-2024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45464</v>
      </c>
      <c r="E847" s="1" t="n">
        <v>46252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61031-2024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45645</v>
      </c>
      <c r="E848" s="1" t="n">
        <v>46252</v>
      </c>
      <c r="F848" t="inlineStr">
        <is>
          <t>NORRBOTTENS LÄN</t>
        </is>
      </c>
      <c r="G848" t="inlineStr">
        <is>
          <t>BODEN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18671-2025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45763</v>
      </c>
      <c r="E849" s="1" t="n">
        <v>46252</v>
      </c>
      <c r="F849" t="inlineStr">
        <is>
          <t>NORRBOTTENS LÄN</t>
        </is>
      </c>
      <c r="G849" t="inlineStr">
        <is>
          <t>BODEN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31211-2026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46217</v>
      </c>
      <c r="E850" s="1" t="n">
        <v>46252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25240-2026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46175</v>
      </c>
      <c r="E851" s="1" t="n">
        <v>46252</v>
      </c>
      <c r="F851" t="inlineStr">
        <is>
          <t>NORRBOTTENS LÄN</t>
        </is>
      </c>
      <c r="G851" t="inlineStr">
        <is>
          <t>BODEN</t>
        </is>
      </c>
      <c r="I851" t="n">
        <v>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46252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45013</v>
      </c>
      <c r="E853" s="1" t="n">
        <v>46252</v>
      </c>
      <c r="F853" t="inlineStr">
        <is>
          <t>NORRBOTTENS LÄN</t>
        </is>
      </c>
      <c r="G853" t="inlineStr">
        <is>
          <t>BODEN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883-2024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46252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52-2025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45667</v>
      </c>
      <c r="E855" s="1" t="n">
        <v>46252</v>
      </c>
      <c r="F855" t="inlineStr">
        <is>
          <t>NORRBOTTENS LÄN</t>
        </is>
      </c>
      <c r="G855" t="inlineStr">
        <is>
          <t>BODEN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190-2023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44945</v>
      </c>
      <c r="E856" s="1" t="n">
        <v>46252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977-2025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46252</v>
      </c>
      <c r="F857" t="inlineStr">
        <is>
          <t>NORRBOTTENS LÄN</t>
        </is>
      </c>
      <c r="G857" t="inlineStr">
        <is>
          <t>BODEN</t>
        </is>
      </c>
      <c r="I857" t="n">
        <v>11.1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46252</v>
      </c>
      <c r="F858" t="inlineStr">
        <is>
          <t>NORRBOTTENS LÄN</t>
        </is>
      </c>
      <c r="G858" t="inlineStr">
        <is>
          <t>BODEN</t>
        </is>
      </c>
      <c r="I858" t="n">
        <v>19.5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1498-2025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45789</v>
      </c>
      <c r="E859" s="1" t="n">
        <v>46252</v>
      </c>
      <c r="F859" t="inlineStr">
        <is>
          <t>NORRBOTTENS LÄN</t>
        </is>
      </c>
      <c r="G859" t="inlineStr">
        <is>
          <t>BODEN</t>
        </is>
      </c>
      <c r="H859" t="inlineStr">
        <is>
          <t>Övriga Aktiebolag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1572-2025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45792</v>
      </c>
      <c r="E860" s="1" t="n">
        <v>46252</v>
      </c>
      <c r="F860" t="inlineStr">
        <is>
          <t>NORRBOTTENS LÄN</t>
        </is>
      </c>
      <c r="G860" t="inlineStr">
        <is>
          <t>BODEN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46252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1633-2025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46252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46252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1734-2025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45810</v>
      </c>
      <c r="E864" s="1" t="n">
        <v>46252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1811-2025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45818</v>
      </c>
      <c r="E865" s="1" t="n">
        <v>46252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2072-2025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45840</v>
      </c>
      <c r="E866" s="1" t="n">
        <v>46252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3580-2025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46018</v>
      </c>
      <c r="E867" s="1" t="n">
        <v>46252</v>
      </c>
      <c r="F867" t="inlineStr">
        <is>
          <t>NORRBOTTENS LÄN</t>
        </is>
      </c>
      <c r="G867" t="inlineStr">
        <is>
          <t>BODEN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46252</v>
      </c>
      <c r="F868" t="inlineStr">
        <is>
          <t>NORRBOTTENS LÄN</t>
        </is>
      </c>
      <c r="G868" t="inlineStr">
        <is>
          <t>BODEN</t>
        </is>
      </c>
      <c r="I868" t="n">
        <v>57.4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1261-2026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46252</v>
      </c>
      <c r="F869" t="inlineStr">
        <is>
          <t>NORRBOTTENS LÄN</t>
        </is>
      </c>
      <c r="G869" t="inlineStr">
        <is>
          <t>BODEN</t>
        </is>
      </c>
      <c r="I869" t="n">
        <v>16.9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1262-2026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46252</v>
      </c>
      <c r="F870" t="inlineStr">
        <is>
          <t>NORRBOTTENS LÄN</t>
        </is>
      </c>
      <c r="G870" t="inlineStr">
        <is>
          <t>BODEN</t>
        </is>
      </c>
      <c r="H870" t="inlineStr">
        <is>
          <t>Kommuner</t>
        </is>
      </c>
      <c r="I870" t="n">
        <v>16.2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1356-2026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46252</v>
      </c>
      <c r="F871" t="inlineStr">
        <is>
          <t>NORRBOTTENS LÄN</t>
        </is>
      </c>
      <c r="G871" t="inlineStr">
        <is>
          <t>BODEN</t>
        </is>
      </c>
      <c r="I871" t="n">
        <v>124.7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46252</v>
      </c>
      <c r="F872" t="inlineStr">
        <is>
          <t>NORRBOTTENS LÄN</t>
        </is>
      </c>
      <c r="G872" t="inlineStr">
        <is>
          <t>BODEN</t>
        </is>
      </c>
      <c r="I872" t="n">
        <v>38.2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>
      <c r="A873" t="inlineStr">
        <is>
          <t>S 1297-2026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46148</v>
      </c>
      <c r="E873" s="1" t="n">
        <v>46252</v>
      </c>
      <c r="F873" t="inlineStr">
        <is>
          <t>NORRBOTTENS LÄN</t>
        </is>
      </c>
      <c r="G873" t="inlineStr">
        <is>
          <t>BODEN</t>
        </is>
      </c>
      <c r="I873" t="n">
        <v>20.5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2026-08-18T01:46:33Z</dcterms:created>
  <dcterms:modified xmlns:dcterms="http://purl.org/dc/terms/" xmlns:xsi="http://www.w3.org/2001/XMLSchema-instance" xsi:type="dcterms:W3CDTF">2026-08-18T01:46:34Z</dcterms:modified>
</cp:coreProperties>
</file>