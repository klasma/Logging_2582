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46286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46286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46286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46286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46286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46286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46286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46286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46286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46286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46286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46286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46286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54167-2025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46286</v>
      </c>
      <c r="F31" t="inlineStr">
        <is>
          <t>NORRBOTTENS LÄN</t>
        </is>
      </c>
      <c r="G31" t="inlineStr">
        <is>
          <t>BODEN</t>
        </is>
      </c>
      <c r="I31" t="n">
        <v>1.1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Lunglav
Stiftgelélav
Järpe
Spillkråka
Vanlig padda</t>
        </is>
      </c>
      <c r="W31">
        <f>HYPERLINK("https://klasma.github.io/Logging_2582/artfynd/A 54167-2025 artfynd.xlsx", "A 54167-2025")</f>
        <v/>
      </c>
      <c r="X31">
        <f>HYPERLINK("https://klasma.github.io/Logging_2582/kartor/A 54167-2025 karta.png", "A 54167-2025")</f>
        <v/>
      </c>
      <c r="Y31">
        <f>HYPERLINK("https://klasma.github.io/Logging_2582/kartor_geotiff/A 54167-2025 georefererad karta.tif", "A 54167-2025")</f>
        <v/>
      </c>
      <c r="AA31">
        <f>HYPERLINK("https://klasma.github.io/Logging_2582/klagomål/A 54167-2025 FSC-klagomål.docx", "A 54167-2025")</f>
        <v/>
      </c>
      <c r="AB31">
        <f>HYPERLINK("https://klasma.github.io/Logging_2582/klagomålsmail/A 54167-2025 FSC-klagomål mail.docx", "A 54167-2025")</f>
        <v/>
      </c>
      <c r="AC31">
        <f>HYPERLINK("https://klasma.github.io/Logging_2582/tillsyn/A 54167-2025 tillsynsbegäran.docx", "A 54167-2025")</f>
        <v/>
      </c>
      <c r="AD31">
        <f>HYPERLINK("https://klasma.github.io/Logging_2582/tillsynsmail/A 54167-2025 tillsynsbegäran mail.docx", "A 54167-2025")</f>
        <v/>
      </c>
      <c r="AE31">
        <f>HYPERLINK("https://klasma.github.io/Logging_2582/fåglar/A 54167-2025 prioriterade fågelarter.docx", "A 54167-2025")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46286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46286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46286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46286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46286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46286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46286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19324-2024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46286</v>
      </c>
      <c r="F39" t="inlineStr">
        <is>
          <t>NORRBOTTENS LÄN</t>
        </is>
      </c>
      <c r="G39" t="inlineStr">
        <is>
          <t>BODEN</t>
        </is>
      </c>
      <c r="I39" t="n">
        <v>3.8</v>
      </c>
      <c r="J39" t="n">
        <v>3</v>
      </c>
      <c r="K39" t="n">
        <v>1</v>
      </c>
      <c r="L39" t="n">
        <v>0</v>
      </c>
      <c r="M39" t="n">
        <v>2</v>
      </c>
      <c r="N39" t="n">
        <v>1</v>
      </c>
      <c r="O39" t="n">
        <v>0</v>
      </c>
      <c r="P39" t="n">
        <v>0</v>
      </c>
      <c r="Q39" t="n">
        <v>3</v>
      </c>
      <c r="R39" t="n">
        <v>3</v>
      </c>
      <c r="S39" t="n">
        <v>5</v>
      </c>
      <c r="T39" t="n">
        <v>6</v>
      </c>
      <c r="U39" t="n">
        <v>5</v>
      </c>
      <c r="V39" s="2" t="inlineStr">
        <is>
          <t>Bitter taggsvamp
Knärot
Norna
Ögonpyrola
Nattviol</t>
        </is>
      </c>
      <c r="W39">
        <f>HYPERLINK("https://klasma.github.io/Logging_2582/artfynd/A 19324-2024 artfynd.xlsx", "A 19324-2024")</f>
        <v/>
      </c>
      <c r="X39">
        <f>HYPERLINK("https://klasma.github.io/Logging_2582/kartor/A 19324-2024 karta.png", "A 19324-2024")</f>
        <v/>
      </c>
      <c r="Y39">
        <f>HYPERLINK("https://klasma.github.io/Logging_2582/kartor_geotiff/A 19324-2024 georefererad karta.tif", "A 19324-2024")</f>
        <v/>
      </c>
      <c r="Z39">
        <f>HYPERLINK("https://klasma.github.io/Logging_2582/knärot/A 19324-2024 karta knärot.png", "A 19324-2024")</f>
        <v/>
      </c>
      <c r="AA39">
        <f>HYPERLINK("https://klasma.github.io/Logging_2582/klagomål/A 19324-2024 FSC-klagomål.docx", "A 19324-2024")</f>
        <v/>
      </c>
      <c r="AB39">
        <f>HYPERLINK("https://klasma.github.io/Logging_2582/klagomålsmail/A 19324-2024 FSC-klagomål mail.docx", "A 19324-2024")</f>
        <v/>
      </c>
      <c r="AC39">
        <f>HYPERLINK("https://klasma.github.io/Logging_2582/tillsyn/A 19324-2024 tillsynsbegäran.docx", "A 19324-2024")</f>
        <v/>
      </c>
      <c r="AD39">
        <f>HYPERLINK("https://klasma.github.io/Logging_2582/tillsynsmail/A 19324-2024 tillsynsbegäran mail.docx", "A 19324-2024")</f>
        <v/>
      </c>
    </row>
    <row r="40" ht="15" customHeight="1">
      <c r="A40" t="inlineStr">
        <is>
          <t>A 31030-2025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46286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11.1</v>
      </c>
      <c r="J40" t="n">
        <v>3</v>
      </c>
      <c r="K40" t="n">
        <v>2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9</v>
      </c>
      <c r="U40" t="n">
        <v>9</v>
      </c>
      <c r="V40" s="2" t="inlineStr">
        <is>
          <t>Knärot
Lunglav
Spindelblomster
Stuplav
Fläcknycklar</t>
        </is>
      </c>
      <c r="W40">
        <f>HYPERLINK("https://klasma.github.io/Logging_2582/artfynd/A 31030-2025 artfynd.xlsx", "A 31030-2025")</f>
        <v/>
      </c>
      <c r="X40">
        <f>HYPERLINK("https://klasma.github.io/Logging_2582/kartor/A 31030-2025 karta.png", "A 31030-2025")</f>
        <v/>
      </c>
      <c r="Y40">
        <f>HYPERLINK("https://klasma.github.io/Logging_2582/kartor_geotiff/A 31030-2025 georefererad karta.tif", "A 31030-2025")</f>
        <v/>
      </c>
      <c r="Z40">
        <f>HYPERLINK("https://klasma.github.io/Logging_2582/knärot/A 31030-2025 karta knärot.png", "A 31030-2025")</f>
        <v/>
      </c>
      <c r="AA40">
        <f>HYPERLINK("https://klasma.github.io/Logging_2582/klagomål/A 31030-2025 FSC-klagomål.docx", "A 31030-2025")</f>
        <v/>
      </c>
      <c r="AB40">
        <f>HYPERLINK("https://klasma.github.io/Logging_2582/klagomålsmail/A 31030-2025 FSC-klagomål mail.docx", "A 31030-2025")</f>
        <v/>
      </c>
      <c r="AC40">
        <f>HYPERLINK("https://klasma.github.io/Logging_2582/tillsyn/A 31030-2025 tillsynsbegäran.docx", "A 31030-2025")</f>
        <v/>
      </c>
      <c r="AD40">
        <f>HYPERLINK("https://klasma.github.io/Logging_2582/tillsynsmail/A 31030-2025 tillsynsbegäran mail.docx", "A 31030-2025")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46286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46286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46286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46286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28197-2025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46286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7.2</v>
      </c>
      <c r="J48" t="n">
        <v>2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7</v>
      </c>
      <c r="U48" t="n">
        <v>7</v>
      </c>
      <c r="V48" s="2" t="inlineStr">
        <is>
          <t>Knärot
Norna
Lunglav
Stuplav</t>
        </is>
      </c>
      <c r="W48">
        <f>HYPERLINK("https://klasma.github.io/Logging_2582/artfynd/A 28197-2025 artfynd.xlsx", "A 28197-2025")</f>
        <v/>
      </c>
      <c r="X48">
        <f>HYPERLINK("https://klasma.github.io/Logging_2582/kartor/A 28197-2025 karta.png", "A 28197-2025")</f>
        <v/>
      </c>
      <c r="Y48">
        <f>HYPERLINK("https://klasma.github.io/Logging_2582/kartor_geotiff/A 28197-2025 georefererad karta.tif", "A 28197-2025")</f>
        <v/>
      </c>
      <c r="Z48">
        <f>HYPERLINK("https://klasma.github.io/Logging_2582/knärot/A 28197-2025 karta knärot.png", "A 28197-2025")</f>
        <v/>
      </c>
      <c r="AA48">
        <f>HYPERLINK("https://klasma.github.io/Logging_2582/klagomål/A 28197-2025 FSC-klagomål.docx", "A 28197-2025")</f>
        <v/>
      </c>
      <c r="AB48">
        <f>HYPERLINK("https://klasma.github.io/Logging_2582/klagomålsmail/A 28197-2025 FSC-klagomål mail.docx", "A 28197-2025")</f>
        <v/>
      </c>
      <c r="AC48">
        <f>HYPERLINK("https://klasma.github.io/Logging_2582/tillsyn/A 28197-2025 tillsynsbegäran.docx", "A 28197-2025")</f>
        <v/>
      </c>
      <c r="AD48">
        <f>HYPERLINK("https://klasma.github.io/Logging_2582/tillsynsmail/A 28197-2025 tillsynsbegäran mail.docx", "A 28197-2025")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46286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46286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46286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46286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43007-2022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46286</v>
      </c>
      <c r="F55" t="inlineStr">
        <is>
          <t>NORRBOTTENS LÄN</t>
        </is>
      </c>
      <c r="G55" t="inlineStr">
        <is>
          <t>BODEN</t>
        </is>
      </c>
      <c r="I55" t="n">
        <v>1.8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Kransmossa
Liljekonvalj
Nattviol</t>
        </is>
      </c>
      <c r="W55">
        <f>HYPERLINK("https://klasma.github.io/Logging_2582/artfynd/A 43007-2022 artfynd.xlsx", "A 43007-2022")</f>
        <v/>
      </c>
      <c r="X55">
        <f>HYPERLINK("https://klasma.github.io/Logging_2582/kartor/A 43007-2022 karta.png", "A 43007-2022")</f>
        <v/>
      </c>
      <c r="Y55">
        <f>HYPERLINK("https://klasma.github.io/Logging_2582/kartor_geotiff/A 43007-2022 georefererad karta.tif", "A 43007-2022")</f>
        <v/>
      </c>
      <c r="AA55">
        <f>HYPERLINK("https://klasma.github.io/Logging_2582/klagomål/A 43007-2022 FSC-klagomål.docx", "A 43007-2022")</f>
        <v/>
      </c>
      <c r="AB55">
        <f>HYPERLINK("https://klasma.github.io/Logging_2582/klagomålsmail/A 43007-2022 FSC-klagomål mail.docx", "A 43007-2022")</f>
        <v/>
      </c>
      <c r="AC55">
        <f>HYPERLINK("https://klasma.github.io/Logging_2582/tillsyn/A 43007-2022 tillsynsbegäran.docx", "A 43007-2022")</f>
        <v/>
      </c>
      <c r="AD55">
        <f>HYPERLINK("https://klasma.github.io/Logging_2582/tillsynsmail/A 43007-2022 tillsynsbegäran mail.docx", "A 43007-2022")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46286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46286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46286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46286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46286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46286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46286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46286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46286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46286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46286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46286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46286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46286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46286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46286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46286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46286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48899-2024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46286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Hässlebrodd
Fläcknycklar</t>
        </is>
      </c>
      <c r="W78">
        <f>HYPERLINK("https://klasma.github.io/Logging_2582/artfynd/A 48899-2024 artfynd.xlsx", "A 48899-2024")</f>
        <v/>
      </c>
      <c r="X78">
        <f>HYPERLINK("https://klasma.github.io/Logging_2582/kartor/A 48899-2024 karta.png", "A 48899-2024")</f>
        <v/>
      </c>
      <c r="Y78">
        <f>HYPERLINK("https://klasma.github.io/Logging_2582/kartor_geotiff/A 48899-2024 georefererad karta.tif", "A 48899-2024")</f>
        <v/>
      </c>
      <c r="AA78">
        <f>HYPERLINK("https://klasma.github.io/Logging_2582/klagomål/A 48899-2024 FSC-klagomål.docx", "A 48899-2024")</f>
        <v/>
      </c>
      <c r="AB78">
        <f>HYPERLINK("https://klasma.github.io/Logging_2582/klagomålsmail/A 48899-2024 FSC-klagomål mail.docx", "A 48899-2024")</f>
        <v/>
      </c>
      <c r="AC78">
        <f>HYPERLINK("https://klasma.github.io/Logging_2582/tillsyn/A 48899-2024 tillsynsbegäran.docx", "A 48899-2024")</f>
        <v/>
      </c>
      <c r="AD78">
        <f>HYPERLINK("https://klasma.github.io/Logging_2582/tillsynsmail/A 48899-2024 tillsynsbegäran mail.docx", "A 48899-2024")</f>
        <v/>
      </c>
    </row>
    <row r="79" ht="15" customHeight="1">
      <c r="A79" t="inlineStr">
        <is>
          <t>A 61210-2024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46286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4</v>
      </c>
      <c r="U79" t="n">
        <v>0</v>
      </c>
      <c r="V79" s="2" t="inlineStr">
        <is>
          <t>Skrovlig taggsvamp
Blå taggsvamp</t>
        </is>
      </c>
      <c r="W79">
        <f>HYPERLINK("https://klasma.github.io/Logging_2582/artfynd/A 61210-2024 artfynd.xlsx", "A 61210-2024")</f>
        <v/>
      </c>
      <c r="X79">
        <f>HYPERLINK("https://klasma.github.io/Logging_2582/kartor/A 61210-2024 karta.png", "A 61210-2024")</f>
        <v/>
      </c>
      <c r="Y79">
        <f>HYPERLINK("https://klasma.github.io/Logging_2582/kartor_geotiff/A 61210-2024 georefererad karta.tif", "A 61210-2024")</f>
        <v/>
      </c>
      <c r="AA79">
        <f>HYPERLINK("https://klasma.github.io/Logging_2582/klagomål/A 61210-2024 FSC-klagomål.docx", "A 61210-2024")</f>
        <v/>
      </c>
      <c r="AB79">
        <f>HYPERLINK("https://klasma.github.io/Logging_2582/klagomålsmail/A 61210-2024 FSC-klagomål mail.docx", "A 61210-2024")</f>
        <v/>
      </c>
      <c r="AC79">
        <f>HYPERLINK("https://klasma.github.io/Logging_2582/tillsyn/A 61210-2024 tillsynsbegäran.docx", "A 61210-2024")</f>
        <v/>
      </c>
      <c r="AD79">
        <f>HYPERLINK("https://klasma.github.io/Logging_2582/tillsynsmail/A 61210-2024 tillsynsbegäran mail.docx", "A 61210-2024")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46286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46286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31758-2025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46286</v>
      </c>
      <c r="F82" t="inlineStr">
        <is>
          <t>NORRBOTTENS LÄN</t>
        </is>
      </c>
      <c r="G82" t="inlineStr">
        <is>
          <t>BODEN</t>
        </is>
      </c>
      <c r="I82" t="n">
        <v>19.9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Garnlav
Tretåig hackspett</t>
        </is>
      </c>
      <c r="W82">
        <f>HYPERLINK("https://klasma.github.io/Logging_2582/artfynd/A 31758-2025 artfynd.xlsx", "A 31758-2025")</f>
        <v/>
      </c>
      <c r="X82">
        <f>HYPERLINK("https://klasma.github.io/Logging_2582/kartor/A 31758-2025 karta.png", "A 31758-2025")</f>
        <v/>
      </c>
      <c r="Y82">
        <f>HYPERLINK("https://klasma.github.io/Logging_2582/kartor_geotiff/A 31758-2025 georefererad karta.tif", "A 31758-2025")</f>
        <v/>
      </c>
      <c r="AA82">
        <f>HYPERLINK("https://klasma.github.io/Logging_2582/klagomål/A 31758-2025 FSC-klagomål.docx", "A 31758-2025")</f>
        <v/>
      </c>
      <c r="AB82">
        <f>HYPERLINK("https://klasma.github.io/Logging_2582/klagomålsmail/A 31758-2025 FSC-klagomål mail.docx", "A 31758-2025")</f>
        <v/>
      </c>
      <c r="AC82">
        <f>HYPERLINK("https://klasma.github.io/Logging_2582/tillsyn/A 31758-2025 tillsynsbegäran.docx", "A 31758-2025")</f>
        <v/>
      </c>
      <c r="AD82">
        <f>HYPERLINK("https://klasma.github.io/Logging_2582/tillsynsmail/A 31758-2025 tillsynsbegäran mail.docx", "A 31758-2025")</f>
        <v/>
      </c>
      <c r="AE82">
        <f>HYPERLINK("https://klasma.github.io/Logging_2582/fåglar/A 31758-2025 prioriterade fågelarter.docx", "A 31758-2025")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46286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46286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46286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46286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34737-2024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46286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4</v>
      </c>
      <c r="U87" t="n">
        <v>1</v>
      </c>
      <c r="V87" s="2" t="inlineStr">
        <is>
          <t>Lunglav
Fläcknycklar</t>
        </is>
      </c>
      <c r="W87">
        <f>HYPERLINK("https://klasma.github.io/Logging_2582/artfynd/A 34737-2024 artfynd.xlsx", "A 34737-2024")</f>
        <v/>
      </c>
      <c r="X87">
        <f>HYPERLINK("https://klasma.github.io/Logging_2582/kartor/A 34737-2024 karta.png", "A 34737-2024")</f>
        <v/>
      </c>
      <c r="Y87">
        <f>HYPERLINK("https://klasma.github.io/Logging_2582/kartor_geotiff/A 34737-2024 georefererad karta.tif", "A 34737-2024")</f>
        <v/>
      </c>
      <c r="AA87">
        <f>HYPERLINK("https://klasma.github.io/Logging_2582/klagomål/A 34737-2024 FSC-klagomål.docx", "A 34737-2024")</f>
        <v/>
      </c>
      <c r="AB87">
        <f>HYPERLINK("https://klasma.github.io/Logging_2582/klagomålsmail/A 34737-2024 FSC-klagomål mail.docx", "A 34737-2024")</f>
        <v/>
      </c>
      <c r="AC87">
        <f>HYPERLINK("https://klasma.github.io/Logging_2582/tillsyn/A 34737-2024 tillsynsbegäran.docx", "A 34737-2024")</f>
        <v/>
      </c>
      <c r="AD87">
        <f>HYPERLINK("https://klasma.github.io/Logging_2582/tillsynsmail/A 34737-2024 tillsynsbegäran mail.docx", "A 34737-2024")</f>
        <v/>
      </c>
    </row>
    <row r="88" ht="15" customHeight="1">
      <c r="A88" t="inlineStr">
        <is>
          <t>A 23794-2026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46164</v>
      </c>
      <c r="E88" s="1" t="n">
        <v>46286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3.1</v>
      </c>
      <c r="J88" t="n">
        <v>2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Plattlummer
Spindelblomster</t>
        </is>
      </c>
      <c r="W88">
        <f>HYPERLINK("https://klasma.github.io/Logging_2582/artfynd/A 23794-2026 artfynd.xlsx", "A 23794-2026")</f>
        <v/>
      </c>
      <c r="X88">
        <f>HYPERLINK("https://klasma.github.io/Logging_2582/kartor/A 23794-2026 karta.png", "A 23794-2026")</f>
        <v/>
      </c>
      <c r="Y88">
        <f>HYPERLINK("https://klasma.github.io/Logging_2582/kartor_geotiff/A 23794-2026 georefererad karta.tif", "A 23794-2026")</f>
        <v/>
      </c>
      <c r="AA88">
        <f>HYPERLINK("https://klasma.github.io/Logging_2582/klagomål/A 23794-2026 FSC-klagomål.docx", "A 23794-2026")</f>
        <v/>
      </c>
      <c r="AB88">
        <f>HYPERLINK("https://klasma.github.io/Logging_2582/klagomålsmail/A 23794-2026 FSC-klagomål mail.docx", "A 23794-2026")</f>
        <v/>
      </c>
      <c r="AC88">
        <f>HYPERLINK("https://klasma.github.io/Logging_2582/tillsyn/A 23794-2026 tillsynsbegäran.docx", "A 23794-2026")</f>
        <v/>
      </c>
      <c r="AD88">
        <f>HYPERLINK("https://klasma.github.io/Logging_2582/tillsynsmail/A 23794-2026 tillsynsbegäran mail.docx", "A 23794-2026")</f>
        <v/>
      </c>
    </row>
    <row r="89" ht="15" customHeight="1">
      <c r="A89" t="inlineStr">
        <is>
          <t>A 34164-2023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45137</v>
      </c>
      <c r="E89" s="1" t="n">
        <v>46286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2.2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Garnlav
Tretåig hackspett</t>
        </is>
      </c>
      <c r="W89">
        <f>HYPERLINK("https://klasma.github.io/Logging_2582/artfynd/A 34164-2023 artfynd.xlsx", "A 34164-2023")</f>
        <v/>
      </c>
      <c r="X89">
        <f>HYPERLINK("https://klasma.github.io/Logging_2582/kartor/A 34164-2023 karta.png", "A 34164-2023")</f>
        <v/>
      </c>
      <c r="Y89">
        <f>HYPERLINK("https://klasma.github.io/Logging_2582/kartor_geotiff/A 34164-2023 georefererad karta.tif", "A 34164-2023")</f>
        <v/>
      </c>
      <c r="AA89">
        <f>HYPERLINK("https://klasma.github.io/Logging_2582/klagomål/A 34164-2023 FSC-klagomål.docx", "A 34164-2023")</f>
        <v/>
      </c>
      <c r="AB89">
        <f>HYPERLINK("https://klasma.github.io/Logging_2582/klagomålsmail/A 34164-2023 FSC-klagomål mail.docx", "A 34164-2023")</f>
        <v/>
      </c>
      <c r="AC89">
        <f>HYPERLINK("https://klasma.github.io/Logging_2582/tillsyn/A 34164-2023 tillsynsbegäran.docx", "A 34164-2023")</f>
        <v/>
      </c>
      <c r="AD89">
        <f>HYPERLINK("https://klasma.github.io/Logging_2582/tillsynsmail/A 34164-2023 tillsynsbegäran mail.docx", "A 34164-2023")</f>
        <v/>
      </c>
      <c r="AE89">
        <f>HYPERLINK("https://klasma.github.io/Logging_2582/fåglar/A 34164-2023 prioriterade fågelarter.docx", "A 34164-2023")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46286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46286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46286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46286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46286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46286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33096-2026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46286</v>
      </c>
      <c r="F96" t="inlineStr">
        <is>
          <t>NORRBOTTENS LÄN</t>
        </is>
      </c>
      <c r="G96" t="inlineStr">
        <is>
          <t>BODEN</t>
        </is>
      </c>
      <c r="I96" t="n">
        <v>36.6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HYPERLINK("https://klasma.github.io/Logging_2582/artfynd/A 33096-2026 artfynd.xlsx", "A 33096-2026")</f>
        <v/>
      </c>
      <c r="X96">
        <f>HYPERLINK("https://klasma.github.io/Logging_2582/kartor/A 33096-2026 karta.png", "A 33096-2026")</f>
        <v/>
      </c>
      <c r="Y96">
        <f>HYPERLINK("https://klasma.github.io/Logging_2582/kartor_geotiff/A 33096-2026 georefererad karta.tif", "A 33096-2026")</f>
        <v/>
      </c>
      <c r="AA96">
        <f>HYPERLINK("https://klasma.github.io/Logging_2582/klagomål/A 33096-2026 FSC-klagomål.docx", "A 33096-2026")</f>
        <v/>
      </c>
      <c r="AB96">
        <f>HYPERLINK("https://klasma.github.io/Logging_2582/klagomålsmail/A 33096-2026 FSC-klagomål mail.docx", "A 33096-2026")</f>
        <v/>
      </c>
      <c r="AC96">
        <f>HYPERLINK("https://klasma.github.io/Logging_2582/tillsyn/A 33096-2026 tillsynsbegäran.docx", "A 33096-2026")</f>
        <v/>
      </c>
      <c r="AD96">
        <f>HYPERLINK("https://klasma.github.io/Logging_2582/tillsynsmail/A 33096-2026 tillsynsbegäran mail.docx", "A 33096-2026")</f>
        <v/>
      </c>
    </row>
    <row r="97" ht="15" customHeight="1">
      <c r="A97" t="inlineStr">
        <is>
          <t>A 60774-2025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45999</v>
      </c>
      <c r="E97" s="1" t="n">
        <v>46286</v>
      </c>
      <c r="F97" t="inlineStr">
        <is>
          <t>NORRBOTTENS LÄN</t>
        </is>
      </c>
      <c r="G97" t="inlineStr">
        <is>
          <t>BODEN</t>
        </is>
      </c>
      <c r="I97" t="n">
        <v>1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Ullticka
Skinnlav</t>
        </is>
      </c>
      <c r="W97">
        <f>HYPERLINK("https://klasma.github.io/Logging_2582/artfynd/A 60774-2025 artfynd.xlsx", "A 60774-2025")</f>
        <v/>
      </c>
      <c r="X97">
        <f>HYPERLINK("https://klasma.github.io/Logging_2582/kartor/A 60774-2025 karta.png", "A 60774-2025")</f>
        <v/>
      </c>
      <c r="Y97">
        <f>HYPERLINK("https://klasma.github.io/Logging_2582/kartor_geotiff/A 60774-2025 georefererad karta.tif", "A 60774-2025")</f>
        <v/>
      </c>
      <c r="AA97">
        <f>HYPERLINK("https://klasma.github.io/Logging_2582/klagomål/A 60774-2025 FSC-klagomål.docx", "A 60774-2025")</f>
        <v/>
      </c>
      <c r="AB97">
        <f>HYPERLINK("https://klasma.github.io/Logging_2582/klagomålsmail/A 60774-2025 FSC-klagomål mail.docx", "A 60774-2025")</f>
        <v/>
      </c>
      <c r="AC97">
        <f>HYPERLINK("https://klasma.github.io/Logging_2582/tillsyn/A 60774-2025 tillsynsbegäran.docx", "A 60774-2025")</f>
        <v/>
      </c>
      <c r="AD97">
        <f>HYPERLINK("https://klasma.github.io/Logging_2582/tillsynsmail/A 60774-2025 tillsynsbegäran mail.docx", "A 60774-2025")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46286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33416-2026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46286</v>
      </c>
      <c r="F99" t="inlineStr">
        <is>
          <t>NORRBOTTENS LÄN</t>
        </is>
      </c>
      <c r="G99" t="inlineStr">
        <is>
          <t>BODEN</t>
        </is>
      </c>
      <c r="H99" t="inlineStr">
        <is>
          <t>Kyrkan</t>
        </is>
      </c>
      <c r="I99" t="n">
        <v>7</v>
      </c>
      <c r="J99" t="n">
        <v>1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Plattlummer</t>
        </is>
      </c>
      <c r="W99">
        <f>HYPERLINK("https://klasma.github.io/Logging_2582/artfynd/A 33416-2026 artfynd.xlsx", "A 33416-2026")</f>
        <v/>
      </c>
      <c r="X99">
        <f>HYPERLINK("https://klasma.github.io/Logging_2582/kartor/A 33416-2026 karta.png", "A 33416-2026")</f>
        <v/>
      </c>
      <c r="Y99">
        <f>HYPERLINK("https://klasma.github.io/Logging_2582/kartor_geotiff/A 33416-2026 georefererad karta.tif", "A 33416-2026")</f>
        <v/>
      </c>
      <c r="AA99">
        <f>HYPERLINK("https://klasma.github.io/Logging_2582/klagomål/A 33416-2026 FSC-klagomål.docx", "A 33416-2026")</f>
        <v/>
      </c>
      <c r="AB99">
        <f>HYPERLINK("https://klasma.github.io/Logging_2582/klagomålsmail/A 33416-2026 FSC-klagomål mail.docx", "A 33416-2026")</f>
        <v/>
      </c>
      <c r="AC99">
        <f>HYPERLINK("https://klasma.github.io/Logging_2582/tillsyn/A 33416-2026 tillsynsbegäran.docx", "A 33416-2026")</f>
        <v/>
      </c>
      <c r="AD99">
        <f>HYPERLINK("https://klasma.github.io/Logging_2582/tillsynsmail/A 33416-2026 tillsynsbegäran mail.docx", "A 33416-2026")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46286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46286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1507-2022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46286</v>
      </c>
      <c r="F102" t="inlineStr">
        <is>
          <t>NORRBOTTENS LÄN</t>
        </is>
      </c>
      <c r="G102" t="inlineStr">
        <is>
          <t>BODEN</t>
        </is>
      </c>
      <c r="H102" t="inlineStr">
        <is>
          <t>Övriga statliga verk och myndigheter</t>
        </is>
      </c>
      <c r="I102" t="n">
        <v>15.4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Gråspett</t>
        </is>
      </c>
      <c r="W102">
        <f>HYPERLINK("https://klasma.github.io/Logging_2582/artfynd/A 1507-2022 artfynd.xlsx", "A 1507-2022")</f>
        <v/>
      </c>
      <c r="X102">
        <f>HYPERLINK("https://klasma.github.io/Logging_2582/kartor/A 1507-2022 karta.png", "A 1507-2022")</f>
        <v/>
      </c>
      <c r="Y102">
        <f>HYPERLINK("https://klasma.github.io/Logging_2582/kartor_geotiff/A 1507-2022 georefererad karta.tif", "A 1507-2022")</f>
        <v/>
      </c>
      <c r="AA102">
        <f>HYPERLINK("https://klasma.github.io/Logging_2582/klagomål/A 1507-2022 FSC-klagomål.docx", "A 1507-2022")</f>
        <v/>
      </c>
      <c r="AB102">
        <f>HYPERLINK("https://klasma.github.io/Logging_2582/klagomålsmail/A 1507-2022 FSC-klagomål mail.docx", "A 1507-2022")</f>
        <v/>
      </c>
      <c r="AC102">
        <f>HYPERLINK("https://klasma.github.io/Logging_2582/tillsyn/A 1507-2022 tillsynsbegäran.docx", "A 1507-2022")</f>
        <v/>
      </c>
      <c r="AD102">
        <f>HYPERLINK("https://klasma.github.io/Logging_2582/tillsynsmail/A 1507-2022 tillsynsbegäran mail.docx", "A 1507-2022")</f>
        <v/>
      </c>
      <c r="AE102">
        <f>HYPERLINK("https://klasma.github.io/Logging_2582/fåglar/A 1507-2022 prioriterade fågelarter.docx", "A 1507-2022")</f>
        <v/>
      </c>
    </row>
    <row r="103" ht="15" customHeight="1">
      <c r="A103" t="inlineStr">
        <is>
          <t>A 22906-2023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45072</v>
      </c>
      <c r="E103" s="1" t="n">
        <v>46286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3.5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Talltita
Utter</t>
        </is>
      </c>
      <c r="W103">
        <f>HYPERLINK("https://klasma.github.io/Logging_2582/artfynd/A 22906-2023 artfynd.xlsx", "A 22906-2023")</f>
        <v/>
      </c>
      <c r="X103">
        <f>HYPERLINK("https://klasma.github.io/Logging_2582/kartor/A 22906-2023 karta.png", "A 22906-2023")</f>
        <v/>
      </c>
      <c r="Y103">
        <f>HYPERLINK("https://klasma.github.io/Logging_2582/kartor_geotiff/A 22906-2023 georefererad karta.tif", "A 22906-2023")</f>
        <v/>
      </c>
      <c r="AA103">
        <f>HYPERLINK("https://klasma.github.io/Logging_2582/klagomål/A 22906-2023 FSC-klagomål.docx", "A 22906-2023")</f>
        <v/>
      </c>
      <c r="AB103">
        <f>HYPERLINK("https://klasma.github.io/Logging_2582/klagomålsmail/A 22906-2023 FSC-klagomål mail.docx", "A 22906-2023")</f>
        <v/>
      </c>
      <c r="AC103">
        <f>HYPERLINK("https://klasma.github.io/Logging_2582/tillsyn/A 22906-2023 tillsynsbegäran.docx", "A 22906-2023")</f>
        <v/>
      </c>
      <c r="AD103">
        <f>HYPERLINK("https://klasma.github.io/Logging_2582/tillsynsmail/A 22906-2023 tillsynsbegäran mail.docx", "A 22906-2023")</f>
        <v/>
      </c>
      <c r="AE103">
        <f>HYPERLINK("https://klasma.github.io/Logging_2582/fåglar/A 22906-2023 prioriterade fågelarter.docx", "A 22906-2023")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46286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46286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35418-2026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46286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8</v>
      </c>
      <c r="U106" t="n">
        <v>8</v>
      </c>
      <c r="V106" s="2" t="inlineStr">
        <is>
          <t>Knärot
Dropptaggsvamp</t>
        </is>
      </c>
      <c r="W106">
        <f>HYPERLINK("https://klasma.github.io/Logging_2582/artfynd/A 35418-2026 artfynd.xlsx", "A 35418-2026")</f>
        <v/>
      </c>
      <c r="X106">
        <f>HYPERLINK("https://klasma.github.io/Logging_2582/kartor/A 35418-2026 karta.png", "A 35418-2026")</f>
        <v/>
      </c>
      <c r="Y106">
        <f>HYPERLINK("https://klasma.github.io/Logging_2582/kartor_geotiff/A 35418-2026 georefererad karta.tif", "A 35418-2026")</f>
        <v/>
      </c>
      <c r="Z106">
        <f>HYPERLINK("https://klasma.github.io/Logging_2582/knärot/A 35418-2026 karta knärot.png", "A 35418-2026")</f>
        <v/>
      </c>
      <c r="AA106">
        <f>HYPERLINK("https://klasma.github.io/Logging_2582/klagomål/A 35418-2026 FSC-klagomål.docx", "A 35418-2026")</f>
        <v/>
      </c>
      <c r="AB106">
        <f>HYPERLINK("https://klasma.github.io/Logging_2582/klagomålsmail/A 35418-2026 FSC-klagomål mail.docx", "A 35418-2026")</f>
        <v/>
      </c>
      <c r="AC106">
        <f>HYPERLINK("https://klasma.github.io/Logging_2582/tillsyn/A 35418-2026 tillsynsbegäran.docx", "A 35418-2026")</f>
        <v/>
      </c>
      <c r="AD106">
        <f>HYPERLINK("https://klasma.github.io/Logging_2582/tillsynsmail/A 35418-2026 tillsynsbegäran mail.docx", "A 35418-2026")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46286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46286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17292-2022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46286</v>
      </c>
      <c r="F109" t="inlineStr">
        <is>
          <t>NORRBOTTENS LÄN</t>
        </is>
      </c>
      <c r="G109" t="inlineStr">
        <is>
          <t>BODEN</t>
        </is>
      </c>
      <c r="H109" t="inlineStr">
        <is>
          <t>Kyrkan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3</v>
      </c>
      <c r="V109" s="2" t="inlineStr">
        <is>
          <t>Garnlav
Revlummer</t>
        </is>
      </c>
      <c r="W109">
        <f>HYPERLINK("https://klasma.github.io/Logging_2582/artfynd/A 17292-2022 artfynd.xlsx", "A 17292-2022")</f>
        <v/>
      </c>
      <c r="X109">
        <f>HYPERLINK("https://klasma.github.io/Logging_2582/kartor/A 17292-2022 karta.png", "A 17292-2022")</f>
        <v/>
      </c>
      <c r="Y109">
        <f>HYPERLINK("https://klasma.github.io/Logging_2582/kartor_geotiff/A 17292-2022 georefererad karta.tif", "A 17292-2022")</f>
        <v/>
      </c>
      <c r="AA109">
        <f>HYPERLINK("https://klasma.github.io/Logging_2582/klagomål/A 17292-2022 FSC-klagomål.docx", "A 17292-2022")</f>
        <v/>
      </c>
      <c r="AB109">
        <f>HYPERLINK("https://klasma.github.io/Logging_2582/klagomålsmail/A 17292-2022 FSC-klagomål mail.docx", "A 17292-2022")</f>
        <v/>
      </c>
      <c r="AC109">
        <f>HYPERLINK("https://klasma.github.io/Logging_2582/tillsyn/A 17292-2022 tillsynsbegäran.docx", "A 17292-2022")</f>
        <v/>
      </c>
      <c r="AD109">
        <f>HYPERLINK("https://klasma.github.io/Logging_2582/tillsynsmail/A 17292-2022 tillsynsbegäran mail.docx", "A 17292-2022")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46286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46286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28867-2025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46286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8.199999999999999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12</v>
      </c>
      <c r="U112" t="n">
        <v>12</v>
      </c>
      <c r="V112" s="2" t="inlineStr">
        <is>
          <t>Knärot
Fläcknycklar</t>
        </is>
      </c>
      <c r="W112">
        <f>HYPERLINK("https://klasma.github.io/Logging_2582/artfynd/A 28867-2025 artfynd.xlsx", "A 28867-2025")</f>
        <v/>
      </c>
      <c r="X112">
        <f>HYPERLINK("https://klasma.github.io/Logging_2582/kartor/A 28867-2025 karta.png", "A 28867-2025")</f>
        <v/>
      </c>
      <c r="Y112">
        <f>HYPERLINK("https://klasma.github.io/Logging_2582/kartor_geotiff/A 28867-2025 georefererad karta.tif", "A 28867-2025")</f>
        <v/>
      </c>
      <c r="Z112">
        <f>HYPERLINK("https://klasma.github.io/Logging_2582/knärot/A 28867-2025 karta knärot.png", "A 28867-2025")</f>
        <v/>
      </c>
      <c r="AA112">
        <f>HYPERLINK("https://klasma.github.io/Logging_2582/klagomål/A 28867-2025 FSC-klagomål.docx", "A 28867-2025")</f>
        <v/>
      </c>
      <c r="AB112">
        <f>HYPERLINK("https://klasma.github.io/Logging_2582/klagomålsmail/A 28867-2025 FSC-klagomål mail.docx", "A 28867-2025")</f>
        <v/>
      </c>
      <c r="AC112">
        <f>HYPERLINK("https://klasma.github.io/Logging_2582/tillsyn/A 28867-2025 tillsynsbegäran.docx", "A 28867-2025")</f>
        <v/>
      </c>
      <c r="AD112">
        <f>HYPERLINK("https://klasma.github.io/Logging_2582/tillsynsmail/A 28867-2025 tillsynsbegäran mail.docx", "A 28867-2025")</f>
        <v/>
      </c>
    </row>
    <row r="113" ht="15" customHeight="1">
      <c r="A113" t="inlineStr">
        <is>
          <t>A 37086-2025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46286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Aktiebolag</t>
        </is>
      </c>
      <c r="I113" t="n">
        <v>22.8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Lunglav
Stuplav</t>
        </is>
      </c>
      <c r="W113">
        <f>HYPERLINK("https://klasma.github.io/Logging_2582/artfynd/A 37086-2025 artfynd.xlsx", "A 37086-2025")</f>
        <v/>
      </c>
      <c r="X113">
        <f>HYPERLINK("https://klasma.github.io/Logging_2582/kartor/A 37086-2025 karta.png", "A 37086-2025")</f>
        <v/>
      </c>
      <c r="Y113">
        <f>HYPERLINK("https://klasma.github.io/Logging_2582/kartor_geotiff/A 37086-2025 georefererad karta.tif", "A 37086-2025")</f>
        <v/>
      </c>
      <c r="AA113">
        <f>HYPERLINK("https://klasma.github.io/Logging_2582/klagomål/A 37086-2025 FSC-klagomål.docx", "A 37086-2025")</f>
        <v/>
      </c>
      <c r="AB113">
        <f>HYPERLINK("https://klasma.github.io/Logging_2582/klagomålsmail/A 37086-2025 FSC-klagomål mail.docx", "A 37086-2025")</f>
        <v/>
      </c>
      <c r="AC113">
        <f>HYPERLINK("https://klasma.github.io/Logging_2582/tillsyn/A 37086-2025 tillsynsbegäran.docx", "A 37086-2025")</f>
        <v/>
      </c>
      <c r="AD113">
        <f>HYPERLINK("https://klasma.github.io/Logging_2582/tillsynsmail/A 37086-2025 tillsynsbegäran mail.docx", "A 37086-2025")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46286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2568-2024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46286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 taggsvamp</t>
        </is>
      </c>
      <c r="W117">
        <f>HYPERLINK("https://klasma.github.io/Logging_2582/artfynd/A 2568-2024 artfynd.xlsx", "A 2568-2024")</f>
        <v/>
      </c>
      <c r="X117">
        <f>HYPERLINK("https://klasma.github.io/Logging_2582/kartor/A 2568-2024 karta.png", "A 2568-2024")</f>
        <v/>
      </c>
      <c r="Y117">
        <f>HYPERLINK("https://klasma.github.io/Logging_2582/kartor_geotiff/A 2568-2024 georefererad karta.tif", "A 2568-2024")</f>
        <v/>
      </c>
      <c r="AA117">
        <f>HYPERLINK("https://klasma.github.io/Logging_2582/klagomål/A 2568-2024 FSC-klagomål.docx", "A 2568-2024")</f>
        <v/>
      </c>
      <c r="AB117">
        <f>HYPERLINK("https://klasma.github.io/Logging_2582/klagomålsmail/A 2568-2024 FSC-klagomål mail.docx", "A 2568-2024")</f>
        <v/>
      </c>
      <c r="AC117">
        <f>HYPERLINK("https://klasma.github.io/Logging_2582/tillsyn/A 2568-2024 tillsynsbegäran.docx", "A 2568-2024")</f>
        <v/>
      </c>
      <c r="AD117">
        <f>HYPERLINK("https://klasma.github.io/Logging_2582/tillsynsmail/A 2568-2024 tillsynsbegäran mail.docx", "A 2568-2024")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46286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46286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46286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68514-2021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46286</v>
      </c>
      <c r="F121" t="inlineStr">
        <is>
          <t>NORRBOTTENS LÄN</t>
        </is>
      </c>
      <c r="G121" t="inlineStr">
        <is>
          <t>BODEN</t>
        </is>
      </c>
      <c r="I121" t="n">
        <v>6.2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HYPERLINK("https://klasma.github.io/Logging_2582/artfynd/A 68514-2021 artfynd.xlsx", "A 68514-2021")</f>
        <v/>
      </c>
      <c r="X121">
        <f>HYPERLINK("https://klasma.github.io/Logging_2582/kartor/A 68514-2021 karta.png", "A 68514-2021")</f>
        <v/>
      </c>
      <c r="Y121">
        <f>HYPERLINK("https://klasma.github.io/Logging_2582/kartor_geotiff/A 68514-2021 georefererad karta.tif", "A 68514-2021")</f>
        <v/>
      </c>
      <c r="Z121">
        <f>HYPERLINK("https://klasma.github.io/Logging_2582/knärot/A 68514-2021 karta knärot.png", "A 68514-2021")</f>
        <v/>
      </c>
      <c r="AA121">
        <f>HYPERLINK("https://klasma.github.io/Logging_2582/klagomål/A 68514-2021 FSC-klagomål.docx", "A 68514-2021")</f>
        <v/>
      </c>
      <c r="AB121">
        <f>HYPERLINK("https://klasma.github.io/Logging_2582/klagomålsmail/A 68514-2021 FSC-klagomål mail.docx", "A 68514-2021")</f>
        <v/>
      </c>
      <c r="AC121">
        <f>HYPERLINK("https://klasma.github.io/Logging_2582/tillsyn/A 68514-2021 tillsynsbegäran.docx", "A 68514-2021")</f>
        <v/>
      </c>
      <c r="AD121">
        <f>HYPERLINK("https://klasma.github.io/Logging_2582/tillsynsmail/A 68514-2021 tillsynsbegäran mail.docx", "A 68514-2021")</f>
        <v/>
      </c>
      <c r="AE121">
        <f>HYPERLINK("https://klasma.github.io/Logging_2582/fåglar/A 68514-2021 prioriterade fågelarter.docx", "A 68514-2021")</f>
        <v/>
      </c>
    </row>
    <row r="122" ht="15" customHeight="1">
      <c r="A122" t="inlineStr">
        <is>
          <t>A 22892-2024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22892-2024 artfynd.xlsx", "A 22892-2024")</f>
        <v/>
      </c>
      <c r="X122">
        <f>HYPERLINK("https://klasma.github.io/Logging_2582/kartor/A 22892-2024 karta.png", "A 22892-2024")</f>
        <v/>
      </c>
      <c r="Y122">
        <f>HYPERLINK("https://klasma.github.io/Logging_2582/kartor_geotiff/A 22892-2024 georefererad karta.tif", "A 22892-2024")</f>
        <v/>
      </c>
      <c r="AA122">
        <f>HYPERLINK("https://klasma.github.io/Logging_2582/klagomål/A 22892-2024 FSC-klagomål.docx", "A 22892-2024")</f>
        <v/>
      </c>
      <c r="AB122">
        <f>HYPERLINK("https://klasma.github.io/Logging_2582/klagomålsmail/A 22892-2024 FSC-klagomål mail.docx", "A 22892-2024")</f>
        <v/>
      </c>
      <c r="AC122">
        <f>HYPERLINK("https://klasma.github.io/Logging_2582/tillsyn/A 22892-2024 tillsynsbegäran.docx", "A 22892-2024")</f>
        <v/>
      </c>
      <c r="AD122">
        <f>HYPERLINK("https://klasma.github.io/Logging_2582/tillsynsmail/A 22892-2024 tillsynsbegäran mail.docx", "A 22892-2024")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46286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46286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46286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26359-2022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46286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Tallticka</t>
        </is>
      </c>
      <c r="W127">
        <f>HYPERLINK("https://klasma.github.io/Logging_2582/artfynd/A 26359-2022 artfynd.xlsx", "A 26359-2022")</f>
        <v/>
      </c>
      <c r="X127">
        <f>HYPERLINK("https://klasma.github.io/Logging_2582/kartor/A 26359-2022 karta.png", "A 26359-2022")</f>
        <v/>
      </c>
      <c r="Y127">
        <f>HYPERLINK("https://klasma.github.io/Logging_2582/kartor_geotiff/A 26359-2022 georefererad karta.tif", "A 26359-2022")</f>
        <v/>
      </c>
      <c r="AA127">
        <f>HYPERLINK("https://klasma.github.io/Logging_2582/klagomål/A 26359-2022 FSC-klagomål.docx", "A 26359-2022")</f>
        <v/>
      </c>
      <c r="AB127">
        <f>HYPERLINK("https://klasma.github.io/Logging_2582/klagomålsmail/A 26359-2022 FSC-klagomål mail.docx", "A 26359-2022")</f>
        <v/>
      </c>
      <c r="AC127">
        <f>HYPERLINK("https://klasma.github.io/Logging_2582/tillsyn/A 26359-2022 tillsynsbegäran.docx", "A 26359-2022")</f>
        <v/>
      </c>
      <c r="AD127">
        <f>HYPERLINK("https://klasma.github.io/Logging_2582/tillsynsmail/A 26359-2022 tillsynsbegäran mail.docx", "A 26359-2022")</f>
        <v/>
      </c>
    </row>
    <row r="128" ht="15" customHeight="1">
      <c r="A128" t="inlineStr">
        <is>
          <t>A 21310-2026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46147</v>
      </c>
      <c r="E128" s="1" t="n">
        <v>46286</v>
      </c>
      <c r="F128" t="inlineStr">
        <is>
          <t>NORRBOTTENS LÄN</t>
        </is>
      </c>
      <c r="G128" t="inlineStr">
        <is>
          <t>BODEN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21310-2026 artfynd.xlsx", "A 21310-2026")</f>
        <v/>
      </c>
      <c r="X128">
        <f>HYPERLINK("https://klasma.github.io/Logging_2582/kartor/A 21310-2026 karta.png", "A 21310-2026")</f>
        <v/>
      </c>
      <c r="Y128">
        <f>HYPERLINK("https://klasma.github.io/Logging_2582/kartor_geotiff/A 21310-2026 georefererad karta.tif", "A 21310-2026")</f>
        <v/>
      </c>
      <c r="AA128">
        <f>HYPERLINK("https://klasma.github.io/Logging_2582/klagomål/A 21310-2026 FSC-klagomål.docx", "A 21310-2026")</f>
        <v/>
      </c>
      <c r="AB128">
        <f>HYPERLINK("https://klasma.github.io/Logging_2582/klagomålsmail/A 21310-2026 FSC-klagomål mail.docx", "A 21310-2026")</f>
        <v/>
      </c>
      <c r="AC128">
        <f>HYPERLINK("https://klasma.github.io/Logging_2582/tillsyn/A 21310-2026 tillsynsbegäran.docx", "A 21310-2026")</f>
        <v/>
      </c>
      <c r="AD128">
        <f>HYPERLINK("https://klasma.github.io/Logging_2582/tillsynsmail/A 21310-2026 tillsynsbegäran mail.docx", "A 21310-2026")</f>
        <v/>
      </c>
    </row>
    <row r="129" ht="15" customHeight="1">
      <c r="A129" t="inlineStr">
        <is>
          <t>A 36743-2024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46286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36743-2024 artfynd.xlsx", "A 36743-2024")</f>
        <v/>
      </c>
      <c r="X129">
        <f>HYPERLINK("https://klasma.github.io/Logging_2582/kartor/A 36743-2024 karta.png", "A 36743-2024")</f>
        <v/>
      </c>
      <c r="Y129">
        <f>HYPERLINK("https://klasma.github.io/Logging_2582/kartor_geotiff/A 36743-2024 georefererad karta.tif", "A 36743-2024")</f>
        <v/>
      </c>
      <c r="AA129">
        <f>HYPERLINK("https://klasma.github.io/Logging_2582/klagomål/A 36743-2024 FSC-klagomål.docx", "A 36743-2024")</f>
        <v/>
      </c>
      <c r="AB129">
        <f>HYPERLINK("https://klasma.github.io/Logging_2582/klagomålsmail/A 36743-2024 FSC-klagomål mail.docx", "A 36743-2024")</f>
        <v/>
      </c>
      <c r="AC129">
        <f>HYPERLINK("https://klasma.github.io/Logging_2582/tillsyn/A 36743-2024 tillsynsbegäran.docx", "A 36743-2024")</f>
        <v/>
      </c>
      <c r="AD129">
        <f>HYPERLINK("https://klasma.github.io/Logging_2582/tillsynsmail/A 36743-2024 tillsynsbegäran mail.docx", "A 36743-2024")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46286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46286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46286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46286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46286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32600-2024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46286</v>
      </c>
      <c r="F135" t="inlineStr">
        <is>
          <t>NORRBOTTENS LÄN</t>
        </is>
      </c>
      <c r="G135" t="inlineStr">
        <is>
          <t>BODEN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32600-2024 artfynd.xlsx", "A 32600-2024")</f>
        <v/>
      </c>
      <c r="X135">
        <f>HYPERLINK("https://klasma.github.io/Logging_2582/kartor/A 32600-2024 karta.png", "A 32600-2024")</f>
        <v/>
      </c>
      <c r="Y135">
        <f>HYPERLINK("https://klasma.github.io/Logging_2582/kartor_geotiff/A 32600-2024 georefererad karta.tif", "A 32600-2024")</f>
        <v/>
      </c>
      <c r="AA135">
        <f>HYPERLINK("https://klasma.github.io/Logging_2582/klagomål/A 32600-2024 FSC-klagomål.docx", "A 32600-2024")</f>
        <v/>
      </c>
      <c r="AB135">
        <f>HYPERLINK("https://klasma.github.io/Logging_2582/klagomålsmail/A 32600-2024 FSC-klagomål mail.docx", "A 32600-2024")</f>
        <v/>
      </c>
      <c r="AC135">
        <f>HYPERLINK("https://klasma.github.io/Logging_2582/tillsyn/A 32600-2024 tillsynsbegäran.docx", "A 32600-2024")</f>
        <v/>
      </c>
      <c r="AD135">
        <f>HYPERLINK("https://klasma.github.io/Logging_2582/tillsynsmail/A 32600-2024 tillsynsbegäran mail.docx", "A 32600-2024")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46286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46286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54563-2025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46286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HYPERLINK("https://klasma.github.io/Logging_2582/artfynd/A 54563-2025 artfynd.xlsx", "A 54563-2025")</f>
        <v/>
      </c>
      <c r="X138">
        <f>HYPERLINK("https://klasma.github.io/Logging_2582/kartor/A 54563-2025 karta.png", "A 54563-2025")</f>
        <v/>
      </c>
      <c r="Y138">
        <f>HYPERLINK("https://klasma.github.io/Logging_2582/kartor_geotiff/A 54563-2025 georefererad karta.tif", "A 54563-2025")</f>
        <v/>
      </c>
      <c r="AA138">
        <f>HYPERLINK("https://klasma.github.io/Logging_2582/klagomål/A 54563-2025 FSC-klagomål.docx", "A 54563-2025")</f>
        <v/>
      </c>
      <c r="AB138">
        <f>HYPERLINK("https://klasma.github.io/Logging_2582/klagomålsmail/A 54563-2025 FSC-klagomål mail.docx", "A 54563-2025")</f>
        <v/>
      </c>
      <c r="AC138">
        <f>HYPERLINK("https://klasma.github.io/Logging_2582/tillsyn/A 54563-2025 tillsynsbegäran.docx", "A 54563-2025")</f>
        <v/>
      </c>
      <c r="AD138">
        <f>HYPERLINK("https://klasma.github.io/Logging_2582/tillsynsmail/A 54563-2025 tillsynsbegäran mail.docx", "A 54563-2025")</f>
        <v/>
      </c>
    </row>
    <row r="139" ht="15" customHeight="1">
      <c r="A139" t="inlineStr">
        <is>
          <t>A 54833-2025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46286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Utter</t>
        </is>
      </c>
      <c r="W139">
        <f>HYPERLINK("https://klasma.github.io/Logging_2582/artfynd/A 54833-2025 artfynd.xlsx", "A 54833-2025")</f>
        <v/>
      </c>
      <c r="X139">
        <f>HYPERLINK("https://klasma.github.io/Logging_2582/kartor/A 54833-2025 karta.png", "A 54833-2025")</f>
        <v/>
      </c>
      <c r="Y139">
        <f>HYPERLINK("https://klasma.github.io/Logging_2582/kartor_geotiff/A 54833-2025 georefererad karta.tif", "A 54833-2025")</f>
        <v/>
      </c>
      <c r="AA139">
        <f>HYPERLINK("https://klasma.github.io/Logging_2582/klagomål/A 54833-2025 FSC-klagomål.docx", "A 54833-2025")</f>
        <v/>
      </c>
      <c r="AB139">
        <f>HYPERLINK("https://klasma.github.io/Logging_2582/klagomålsmail/A 54833-2025 FSC-klagomål mail.docx", "A 54833-2025")</f>
        <v/>
      </c>
      <c r="AC139">
        <f>HYPERLINK("https://klasma.github.io/Logging_2582/tillsyn/A 54833-2025 tillsynsbegäran.docx", "A 54833-2025")</f>
        <v/>
      </c>
      <c r="AD139">
        <f>HYPERLINK("https://klasma.github.io/Logging_2582/tillsynsmail/A 54833-2025 tillsynsbegäran mail.docx", "A 54833-2025")</f>
        <v/>
      </c>
    </row>
    <row r="140" ht="15" customHeight="1">
      <c r="A140" t="inlineStr">
        <is>
          <t>A 665-2023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46286</v>
      </c>
      <c r="F140" t="inlineStr">
        <is>
          <t>NORRBOTTENS LÄN</t>
        </is>
      </c>
      <c r="G140" t="inlineStr">
        <is>
          <t>BODEN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Duvhök</t>
        </is>
      </c>
      <c r="W140">
        <f>HYPERLINK("https://klasma.github.io/Logging_2582/artfynd/A 665-2023 artfynd.xlsx", "A 665-2023")</f>
        <v/>
      </c>
      <c r="X140">
        <f>HYPERLINK("https://klasma.github.io/Logging_2582/kartor/A 665-2023 karta.png", "A 665-2023")</f>
        <v/>
      </c>
      <c r="Y140">
        <f>HYPERLINK("https://klasma.github.io/Logging_2582/kartor_geotiff/A 665-2023 georefererad karta.tif", "A 665-2023")</f>
        <v/>
      </c>
      <c r="AA140">
        <f>HYPERLINK("https://klasma.github.io/Logging_2582/klagomål/A 665-2023 FSC-klagomål.docx", "A 665-2023")</f>
        <v/>
      </c>
      <c r="AB140">
        <f>HYPERLINK("https://klasma.github.io/Logging_2582/klagomålsmail/A 665-2023 FSC-klagomål mail.docx", "A 665-2023")</f>
        <v/>
      </c>
      <c r="AC140">
        <f>HYPERLINK("https://klasma.github.io/Logging_2582/tillsyn/A 665-2023 tillsynsbegäran.docx", "A 665-2023")</f>
        <v/>
      </c>
      <c r="AD140">
        <f>HYPERLINK("https://klasma.github.io/Logging_2582/tillsynsmail/A 665-2023 tillsynsbegäran mail.docx", "A 665-2023")</f>
        <v/>
      </c>
      <c r="AE140">
        <f>HYPERLINK("https://klasma.github.io/Logging_2582/fåglar/A 665-2023 prioriterade fågelarter.docx", "A 665-2023")</f>
        <v/>
      </c>
    </row>
    <row r="141" ht="15" customHeight="1">
      <c r="A141" t="inlineStr">
        <is>
          <t>A 56598-2025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46286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56598-2025 artfynd.xlsx", "A 56598-2025")</f>
        <v/>
      </c>
      <c r="X141">
        <f>HYPERLINK("https://klasma.github.io/Logging_2582/kartor/A 56598-2025 karta.png", "A 56598-2025")</f>
        <v/>
      </c>
      <c r="Y141">
        <f>HYPERLINK("https://klasma.github.io/Logging_2582/kartor_geotiff/A 56598-2025 georefererad karta.tif", "A 56598-2025")</f>
        <v/>
      </c>
      <c r="AA141">
        <f>HYPERLINK("https://klasma.github.io/Logging_2582/klagomål/A 56598-2025 FSC-klagomål.docx", "A 56598-2025")</f>
        <v/>
      </c>
      <c r="AB141">
        <f>HYPERLINK("https://klasma.github.io/Logging_2582/klagomålsmail/A 56598-2025 FSC-klagomål mail.docx", "A 56598-2025")</f>
        <v/>
      </c>
      <c r="AC141">
        <f>HYPERLINK("https://klasma.github.io/Logging_2582/tillsyn/A 56598-2025 tillsynsbegäran.docx", "A 56598-2025")</f>
        <v/>
      </c>
      <c r="AD141">
        <f>HYPERLINK("https://klasma.github.io/Logging_2582/tillsynsmail/A 56598-2025 tillsynsbegäran mail.docx", "A 56598-2025")</f>
        <v/>
      </c>
    </row>
    <row r="142" ht="15" customHeight="1">
      <c r="A142" t="inlineStr">
        <is>
          <t>A 60196-2025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46286</v>
      </c>
      <c r="F142" t="inlineStr">
        <is>
          <t>NORRBOTTENS LÄN</t>
        </is>
      </c>
      <c r="G142" t="inlineStr">
        <is>
          <t>BODEN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HYPERLINK("https://klasma.github.io/Logging_2582/artfynd/A 60196-2025 artfynd.xlsx", "A 60196-2025")</f>
        <v/>
      </c>
      <c r="X142">
        <f>HYPERLINK("https://klasma.github.io/Logging_2582/kartor/A 60196-2025 karta.png", "A 60196-2025")</f>
        <v/>
      </c>
      <c r="Y142">
        <f>HYPERLINK("https://klasma.github.io/Logging_2582/kartor_geotiff/A 60196-2025 georefererad karta.tif", "A 60196-2025")</f>
        <v/>
      </c>
      <c r="AA142">
        <f>HYPERLINK("https://klasma.github.io/Logging_2582/klagomål/A 60196-2025 FSC-klagomål.docx", "A 60196-2025")</f>
        <v/>
      </c>
      <c r="AB142">
        <f>HYPERLINK("https://klasma.github.io/Logging_2582/klagomålsmail/A 60196-2025 FSC-klagomål mail.docx", "A 60196-2025")</f>
        <v/>
      </c>
      <c r="AC142">
        <f>HYPERLINK("https://klasma.github.io/Logging_2582/tillsyn/A 60196-2025 tillsynsbegäran.docx", "A 60196-2025")</f>
        <v/>
      </c>
      <c r="AD142">
        <f>HYPERLINK("https://klasma.github.io/Logging_2582/tillsynsmail/A 60196-2025 tillsynsbegäran mail.docx", "A 60196-2025")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46286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46286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62002-2025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46286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Vitgrynig nållav</t>
        </is>
      </c>
      <c r="W145">
        <f>HYPERLINK("https://klasma.github.io/Logging_2582/artfynd/A 62002-2025 artfynd.xlsx", "A 62002-2025")</f>
        <v/>
      </c>
      <c r="X145">
        <f>HYPERLINK("https://klasma.github.io/Logging_2582/kartor/A 62002-2025 karta.png", "A 62002-2025")</f>
        <v/>
      </c>
      <c r="Y145">
        <f>HYPERLINK("https://klasma.github.io/Logging_2582/kartor_geotiff/A 62002-2025 georefererad karta.tif", "A 62002-2025")</f>
        <v/>
      </c>
      <c r="AA145">
        <f>HYPERLINK("https://klasma.github.io/Logging_2582/klagomål/A 62002-2025 FSC-klagomål.docx", "A 62002-2025")</f>
        <v/>
      </c>
      <c r="AB145">
        <f>HYPERLINK("https://klasma.github.io/Logging_2582/klagomålsmail/A 62002-2025 FSC-klagomål mail.docx", "A 62002-2025")</f>
        <v/>
      </c>
      <c r="AC145">
        <f>HYPERLINK("https://klasma.github.io/Logging_2582/tillsyn/A 62002-2025 tillsynsbegäran.docx", "A 62002-2025")</f>
        <v/>
      </c>
      <c r="AD145">
        <f>HYPERLINK("https://klasma.github.io/Logging_2582/tillsynsmail/A 62002-2025 tillsynsbegäran mail.docx", "A 62002-2025")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46286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41087-2024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45559</v>
      </c>
      <c r="E147" s="1" t="n">
        <v>46286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HYPERLINK("https://klasma.github.io/Logging_2582/artfynd/A 41087-2024 artfynd.xlsx", "A 41087-2024")</f>
        <v/>
      </c>
      <c r="X147">
        <f>HYPERLINK("https://klasma.github.io/Logging_2582/kartor/A 41087-2024 karta.png", "A 41087-2024")</f>
        <v/>
      </c>
      <c r="Y147">
        <f>HYPERLINK("https://klasma.github.io/Logging_2582/kartor_geotiff/A 41087-2024 georefererad karta.tif", "A 41087-2024")</f>
        <v/>
      </c>
      <c r="AA147">
        <f>HYPERLINK("https://klasma.github.io/Logging_2582/klagomål/A 41087-2024 FSC-klagomål.docx", "A 41087-2024")</f>
        <v/>
      </c>
      <c r="AB147">
        <f>HYPERLINK("https://klasma.github.io/Logging_2582/klagomålsmail/A 41087-2024 FSC-klagomål mail.docx", "A 41087-2024")</f>
        <v/>
      </c>
      <c r="AC147">
        <f>HYPERLINK("https://klasma.github.io/Logging_2582/tillsyn/A 41087-2024 tillsynsbegäran.docx", "A 41087-2024")</f>
        <v/>
      </c>
      <c r="AD147">
        <f>HYPERLINK("https://klasma.github.io/Logging_2582/tillsynsmail/A 41087-2024 tillsynsbegäran mail.docx", "A 41087-2024")</f>
        <v/>
      </c>
    </row>
    <row r="148" ht="15" customHeight="1">
      <c r="A148" t="inlineStr">
        <is>
          <t>A 4878-2026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46286</v>
      </c>
      <c r="F148" t="inlineStr">
        <is>
          <t>NORRBOTTENS LÄN</t>
        </is>
      </c>
      <c r="G148" t="inlineStr">
        <is>
          <t>BODEN</t>
        </is>
      </c>
      <c r="I148" t="n">
        <v>1.8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4878-2026 artfynd.xlsx", "A 4878-2026")</f>
        <v/>
      </c>
      <c r="X148">
        <f>HYPERLINK("https://klasma.github.io/Logging_2582/kartor/A 4878-2026 karta.png", "A 4878-2026")</f>
        <v/>
      </c>
      <c r="Y148">
        <f>HYPERLINK("https://klasma.github.io/Logging_2582/kartor_geotiff/A 4878-2026 georefererad karta.tif", "A 4878-2026")</f>
        <v/>
      </c>
      <c r="AA148">
        <f>HYPERLINK("https://klasma.github.io/Logging_2582/klagomål/A 4878-2026 FSC-klagomål.docx", "A 4878-2026")</f>
        <v/>
      </c>
      <c r="AB148">
        <f>HYPERLINK("https://klasma.github.io/Logging_2582/klagomålsmail/A 4878-2026 FSC-klagomål mail.docx", "A 4878-2026")</f>
        <v/>
      </c>
      <c r="AC148">
        <f>HYPERLINK("https://klasma.github.io/Logging_2582/tillsyn/A 4878-2026 tillsynsbegäran.docx", "A 4878-2026")</f>
        <v/>
      </c>
      <c r="AD148">
        <f>HYPERLINK("https://klasma.github.io/Logging_2582/tillsynsmail/A 4878-2026 tillsynsbegäran mail.docx", "A 4878-2026")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46286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46286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38511-2025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46286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5.3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Knärot</t>
        </is>
      </c>
      <c r="W151">
        <f>HYPERLINK("https://klasma.github.io/Logging_2582/artfynd/A 38511-2025 artfynd.xlsx", "A 38511-2025")</f>
        <v/>
      </c>
      <c r="X151">
        <f>HYPERLINK("https://klasma.github.io/Logging_2582/kartor/A 38511-2025 karta.png", "A 38511-2025")</f>
        <v/>
      </c>
      <c r="Y151">
        <f>HYPERLINK("https://klasma.github.io/Logging_2582/kartor_geotiff/A 38511-2025 georefererad karta.tif", "A 38511-2025")</f>
        <v/>
      </c>
      <c r="Z151">
        <f>HYPERLINK("https://klasma.github.io/Logging_2582/knärot/A 38511-2025 karta knärot.png", "A 38511-2025")</f>
        <v/>
      </c>
      <c r="AA151">
        <f>HYPERLINK("https://klasma.github.io/Logging_2582/klagomål/A 38511-2025 FSC-klagomål.docx", "A 38511-2025")</f>
        <v/>
      </c>
      <c r="AB151">
        <f>HYPERLINK("https://klasma.github.io/Logging_2582/klagomålsmail/A 38511-2025 FSC-klagomål mail.docx", "A 38511-2025")</f>
        <v/>
      </c>
      <c r="AC151">
        <f>HYPERLINK("https://klasma.github.io/Logging_2582/tillsyn/A 38511-2025 tillsynsbegäran.docx", "A 38511-2025")</f>
        <v/>
      </c>
      <c r="AD151">
        <f>HYPERLINK("https://klasma.github.io/Logging_2582/tillsynsmail/A 38511-2025 tillsynsbegäran mail.docx", "A 38511-2025")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46286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46286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26690-2026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46286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26690-2026 artfynd.xlsx", "A 26690-2026")</f>
        <v/>
      </c>
      <c r="X154">
        <f>HYPERLINK("https://klasma.github.io/Logging_2582/kartor/A 26690-2026 karta.png", "A 26690-2026")</f>
        <v/>
      </c>
      <c r="Y154">
        <f>HYPERLINK("https://klasma.github.io/Logging_2582/kartor_geotiff/A 26690-2026 georefererad karta.tif", "A 26690-2026")</f>
        <v/>
      </c>
      <c r="Z154">
        <f>HYPERLINK("https://klasma.github.io/Logging_2582/knärot/A 26690-2026 karta knärot.png", "A 26690-2026")</f>
        <v/>
      </c>
      <c r="AA154">
        <f>HYPERLINK("https://klasma.github.io/Logging_2582/klagomål/A 26690-2026 FSC-klagomål.docx", "A 26690-2026")</f>
        <v/>
      </c>
      <c r="AB154">
        <f>HYPERLINK("https://klasma.github.io/Logging_2582/klagomålsmail/A 26690-2026 FSC-klagomål mail.docx", "A 26690-2026")</f>
        <v/>
      </c>
      <c r="AC154">
        <f>HYPERLINK("https://klasma.github.io/Logging_2582/tillsyn/A 26690-2026 tillsynsbegäran.docx", "A 26690-2026")</f>
        <v/>
      </c>
      <c r="AD154">
        <f>HYPERLINK("https://klasma.github.io/Logging_2582/tillsynsmail/A 26690-2026 tillsynsbegäran mail.docx", "A 26690-2026")</f>
        <v/>
      </c>
    </row>
    <row r="155" ht="15" customHeight="1">
      <c r="A155" t="inlineStr">
        <is>
          <t>A 14329-2026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46286</v>
      </c>
      <c r="F155" t="inlineStr">
        <is>
          <t>NORRBOTTENS LÄN</t>
        </is>
      </c>
      <c r="G155" t="inlineStr">
        <is>
          <t>BODEN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HYPERLINK("https://klasma.github.io/Logging_2582/artfynd/A 14329-2026 artfynd.xlsx", "A 14329-2026")</f>
        <v/>
      </c>
      <c r="X155">
        <f>HYPERLINK("https://klasma.github.io/Logging_2582/kartor/A 14329-2026 karta.png", "A 14329-2026")</f>
        <v/>
      </c>
      <c r="Y155">
        <f>HYPERLINK("https://klasma.github.io/Logging_2582/kartor_geotiff/A 14329-2026 georefererad karta.tif", "A 14329-2026")</f>
        <v/>
      </c>
      <c r="AA155">
        <f>HYPERLINK("https://klasma.github.io/Logging_2582/klagomål/A 14329-2026 FSC-klagomål.docx", "A 14329-2026")</f>
        <v/>
      </c>
      <c r="AB155">
        <f>HYPERLINK("https://klasma.github.io/Logging_2582/klagomålsmail/A 14329-2026 FSC-klagomål mail.docx", "A 14329-2026")</f>
        <v/>
      </c>
      <c r="AC155">
        <f>HYPERLINK("https://klasma.github.io/Logging_2582/tillsyn/A 14329-2026 tillsynsbegäran.docx", "A 14329-2026")</f>
        <v/>
      </c>
      <c r="AD155">
        <f>HYPERLINK("https://klasma.github.io/Logging_2582/tillsynsmail/A 14329-2026 tillsynsbegäran mail.docx", "A 14329-2026")</f>
        <v/>
      </c>
      <c r="AE155">
        <f>HYPERLINK("https://klasma.github.io/Logging_2582/fåglar/A 14329-2026 prioriterade fågelarter.docx", "A 14329-2026")</f>
        <v/>
      </c>
    </row>
    <row r="156" ht="15" customHeight="1">
      <c r="A156" t="inlineStr">
        <is>
          <t>A 19396-2022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46286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HYPERLINK("https://klasma.github.io/Logging_2582/artfynd/A 19396-2022 artfynd.xlsx", "A 19396-2022")</f>
        <v/>
      </c>
      <c r="X156">
        <f>HYPERLINK("https://klasma.github.io/Logging_2582/kartor/A 19396-2022 karta.png", "A 19396-2022")</f>
        <v/>
      </c>
      <c r="Y156">
        <f>HYPERLINK("https://klasma.github.io/Logging_2582/kartor_geotiff/A 19396-2022 georefererad karta.tif", "A 19396-2022")</f>
        <v/>
      </c>
      <c r="AA156">
        <f>HYPERLINK("https://klasma.github.io/Logging_2582/klagomål/A 19396-2022 FSC-klagomål.docx", "A 19396-2022")</f>
        <v/>
      </c>
      <c r="AB156">
        <f>HYPERLINK("https://klasma.github.io/Logging_2582/klagomålsmail/A 19396-2022 FSC-klagomål mail.docx", "A 19396-2022")</f>
        <v/>
      </c>
      <c r="AC156">
        <f>HYPERLINK("https://klasma.github.io/Logging_2582/tillsyn/A 19396-2022 tillsynsbegäran.docx", "A 19396-2022")</f>
        <v/>
      </c>
      <c r="AD156">
        <f>HYPERLINK("https://klasma.github.io/Logging_2582/tillsynsmail/A 19396-2022 tillsynsbegäran mail.docx", "A 19396-2022")</f>
        <v/>
      </c>
    </row>
    <row r="157" ht="15" customHeight="1">
      <c r="A157" t="inlineStr">
        <is>
          <t>A 19580-2026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46286</v>
      </c>
      <c r="F157" t="inlineStr">
        <is>
          <t>NORRBOTTENS LÄN</t>
        </is>
      </c>
      <c r="G157" t="inlineStr">
        <is>
          <t>BODEN</t>
        </is>
      </c>
      <c r="I157" t="n">
        <v>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Dropptaggsvamp</t>
        </is>
      </c>
      <c r="W157">
        <f>HYPERLINK("https://klasma.github.io/Logging_2582/artfynd/A 19580-2026 artfynd.xlsx", "A 19580-2026")</f>
        <v/>
      </c>
      <c r="X157">
        <f>HYPERLINK("https://klasma.github.io/Logging_2582/kartor/A 19580-2026 karta.png", "A 19580-2026")</f>
        <v/>
      </c>
      <c r="Y157">
        <f>HYPERLINK("https://klasma.github.io/Logging_2582/kartor_geotiff/A 19580-2026 georefererad karta.tif", "A 19580-2026")</f>
        <v/>
      </c>
      <c r="AA157">
        <f>HYPERLINK("https://klasma.github.io/Logging_2582/klagomål/A 19580-2026 FSC-klagomål.docx", "A 19580-2026")</f>
        <v/>
      </c>
      <c r="AB157">
        <f>HYPERLINK("https://klasma.github.io/Logging_2582/klagomålsmail/A 19580-2026 FSC-klagomål mail.docx", "A 19580-2026")</f>
        <v/>
      </c>
      <c r="AC157">
        <f>HYPERLINK("https://klasma.github.io/Logging_2582/tillsyn/A 19580-2026 tillsynsbegäran.docx", "A 19580-2026")</f>
        <v/>
      </c>
      <c r="AD157">
        <f>HYPERLINK("https://klasma.github.io/Logging_2582/tillsynsmail/A 19580-2026 tillsynsbegäran mail.docx", "A 19580-2026")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46286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46286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34512-2026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46255</v>
      </c>
      <c r="E160" s="1" t="n">
        <v>46286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9.300000000000001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Skarp dropptaggsvamp</t>
        </is>
      </c>
      <c r="W160">
        <f>HYPERLINK("https://klasma.github.io/Logging_2582/artfynd/A 34512-2026 artfynd.xlsx", "A 34512-2026")</f>
        <v/>
      </c>
      <c r="X160">
        <f>HYPERLINK("https://klasma.github.io/Logging_2582/kartor/A 34512-2026 karta.png", "A 34512-2026")</f>
        <v/>
      </c>
      <c r="Y160">
        <f>HYPERLINK("https://klasma.github.io/Logging_2582/kartor_geotiff/A 34512-2026 georefererad karta.tif", "A 34512-2026")</f>
        <v/>
      </c>
      <c r="AA160">
        <f>HYPERLINK("https://klasma.github.io/Logging_2582/klagomål/A 34512-2026 FSC-klagomål.docx", "A 34512-2026")</f>
        <v/>
      </c>
      <c r="AB160">
        <f>HYPERLINK("https://klasma.github.io/Logging_2582/klagomålsmail/A 34512-2026 FSC-klagomål mail.docx", "A 34512-2026")</f>
        <v/>
      </c>
      <c r="AC160">
        <f>HYPERLINK("https://klasma.github.io/Logging_2582/tillsyn/A 34512-2026 tillsynsbegäran.docx", "A 34512-2026")</f>
        <v/>
      </c>
      <c r="AD160">
        <f>HYPERLINK("https://klasma.github.io/Logging_2582/tillsynsmail/A 34512-2026 tillsynsbegäran mail.docx", "A 34512-2026")</f>
        <v/>
      </c>
    </row>
    <row r="161" ht="15" customHeight="1">
      <c r="A161" t="inlineStr">
        <is>
          <t>A 35292-2026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46286</v>
      </c>
      <c r="F161" t="inlineStr">
        <is>
          <t>NORRBOTTENS LÄN</t>
        </is>
      </c>
      <c r="G161" t="inlineStr">
        <is>
          <t>BODEN</t>
        </is>
      </c>
      <c r="I161" t="n">
        <v>4.9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HYPERLINK("https://klasma.github.io/Logging_2582/artfynd/A 35292-2026 artfynd.xlsx", "A 35292-2026")</f>
        <v/>
      </c>
      <c r="X161">
        <f>HYPERLINK("https://klasma.github.io/Logging_2582/kartor/A 35292-2026 karta.png", "A 35292-2026")</f>
        <v/>
      </c>
      <c r="Y161">
        <f>HYPERLINK("https://klasma.github.io/Logging_2582/kartor_geotiff/A 35292-2026 georefererad karta.tif", "A 35292-2026")</f>
        <v/>
      </c>
      <c r="AA161">
        <f>HYPERLINK("https://klasma.github.io/Logging_2582/klagomål/A 35292-2026 FSC-klagomål.docx", "A 35292-2026")</f>
        <v/>
      </c>
      <c r="AB161">
        <f>HYPERLINK("https://klasma.github.io/Logging_2582/klagomålsmail/A 35292-2026 FSC-klagomål mail.docx", "A 35292-2026")</f>
        <v/>
      </c>
      <c r="AC161">
        <f>HYPERLINK("https://klasma.github.io/Logging_2582/tillsyn/A 35292-2026 tillsynsbegäran.docx", "A 35292-2026")</f>
        <v/>
      </c>
      <c r="AD161">
        <f>HYPERLINK("https://klasma.github.io/Logging_2582/tillsynsmail/A 35292-2026 tillsynsbegäran mail.docx", "A 35292-2026")</f>
        <v/>
      </c>
      <c r="AE161">
        <f>HYPERLINK("https://klasma.github.io/Logging_2582/fåglar/A 35292-2026 prioriterade fågelarter.docx", "A 35292-2026")</f>
        <v/>
      </c>
    </row>
    <row r="162" ht="15" customHeight="1">
      <c r="A162" t="inlineStr">
        <is>
          <t>A 35410-2026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46286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9</v>
      </c>
      <c r="U162" t="n">
        <v>9</v>
      </c>
      <c r="V162" s="2" t="inlineStr">
        <is>
          <t>Knärot</t>
        </is>
      </c>
      <c r="W162">
        <f>HYPERLINK("https://klasma.github.io/Logging_2582/artfynd/A 35410-2026 artfynd.xlsx", "A 35410-2026")</f>
        <v/>
      </c>
      <c r="X162">
        <f>HYPERLINK("https://klasma.github.io/Logging_2582/kartor/A 35410-2026 karta.png", "A 35410-2026")</f>
        <v/>
      </c>
      <c r="Y162">
        <f>HYPERLINK("https://klasma.github.io/Logging_2582/kartor_geotiff/A 35410-2026 georefererad karta.tif", "A 35410-2026")</f>
        <v/>
      </c>
      <c r="Z162">
        <f>HYPERLINK("https://klasma.github.io/Logging_2582/knärot/A 35410-2026 karta knärot.png", "A 35410-2026")</f>
        <v/>
      </c>
      <c r="AA162">
        <f>HYPERLINK("https://klasma.github.io/Logging_2582/klagomål/A 35410-2026 FSC-klagomål.docx", "A 35410-2026")</f>
        <v/>
      </c>
      <c r="AB162">
        <f>HYPERLINK("https://klasma.github.io/Logging_2582/klagomålsmail/A 35410-2026 FSC-klagomål mail.docx", "A 35410-2026")</f>
        <v/>
      </c>
      <c r="AC162">
        <f>HYPERLINK("https://klasma.github.io/Logging_2582/tillsyn/A 35410-2026 tillsynsbegäran.docx", "A 35410-2026")</f>
        <v/>
      </c>
      <c r="AD162">
        <f>HYPERLINK("https://klasma.github.io/Logging_2582/tillsynsmail/A 35410-2026 tillsynsbegäran mail.docx", "A 35410-2026")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46286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46286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36734-2026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46286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Fläcknycklar</t>
        </is>
      </c>
      <c r="W165">
        <f>HYPERLINK("https://klasma.github.io/Logging_2582/artfynd/A 36734-2026 artfynd.xlsx", "A 36734-2026")</f>
        <v/>
      </c>
      <c r="X165">
        <f>HYPERLINK("https://klasma.github.io/Logging_2582/kartor/A 36734-2026 karta.png", "A 36734-2026")</f>
        <v/>
      </c>
      <c r="Y165">
        <f>HYPERLINK("https://klasma.github.io/Logging_2582/kartor_geotiff/A 36734-2026 georefererad karta.tif", "A 36734-2026")</f>
        <v/>
      </c>
      <c r="AA165">
        <f>HYPERLINK("https://klasma.github.io/Logging_2582/klagomål/A 36734-2026 FSC-klagomål.docx", "A 36734-2026")</f>
        <v/>
      </c>
      <c r="AB165">
        <f>HYPERLINK("https://klasma.github.io/Logging_2582/klagomålsmail/A 36734-2026 FSC-klagomål mail.docx", "A 36734-2026")</f>
        <v/>
      </c>
      <c r="AC165">
        <f>HYPERLINK("https://klasma.github.io/Logging_2582/tillsyn/A 36734-2026 tillsynsbegäran.docx", "A 36734-2026")</f>
        <v/>
      </c>
      <c r="AD165">
        <f>HYPERLINK("https://klasma.github.io/Logging_2582/tillsynsmail/A 36734-2026 tillsynsbegäran mail.docx", "A 36734-2026")</f>
        <v/>
      </c>
    </row>
    <row r="166" ht="15" customHeight="1">
      <c r="A166" t="inlineStr">
        <is>
          <t>A 36749-2026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46286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Vedflamlav</t>
        </is>
      </c>
      <c r="W166">
        <f>HYPERLINK("https://klasma.github.io/Logging_2582/artfynd/A 36749-2026 artfynd.xlsx", "A 36749-2026")</f>
        <v/>
      </c>
      <c r="X166">
        <f>HYPERLINK("https://klasma.github.io/Logging_2582/kartor/A 36749-2026 karta.png", "A 36749-2026")</f>
        <v/>
      </c>
      <c r="Y166">
        <f>HYPERLINK("https://klasma.github.io/Logging_2582/kartor_geotiff/A 36749-2026 georefererad karta.tif", "A 36749-2026")</f>
        <v/>
      </c>
      <c r="AA166">
        <f>HYPERLINK("https://klasma.github.io/Logging_2582/klagomål/A 36749-2026 FSC-klagomål.docx", "A 36749-2026")</f>
        <v/>
      </c>
      <c r="AB166">
        <f>HYPERLINK("https://klasma.github.io/Logging_2582/klagomålsmail/A 36749-2026 FSC-klagomål mail.docx", "A 36749-2026")</f>
        <v/>
      </c>
      <c r="AC166">
        <f>HYPERLINK("https://klasma.github.io/Logging_2582/tillsyn/A 36749-2026 tillsynsbegäran.docx", "A 36749-2026")</f>
        <v/>
      </c>
      <c r="AD166">
        <f>HYPERLINK("https://klasma.github.io/Logging_2582/tillsynsmail/A 36749-2026 tillsynsbegäran mail.docx", "A 36749-2026")</f>
        <v/>
      </c>
    </row>
    <row r="167" ht="15" customHeight="1">
      <c r="A167" t="inlineStr">
        <is>
          <t>A 36130-2026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46267</v>
      </c>
      <c r="E167" s="1" t="n">
        <v>46286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Vedflamlav</t>
        </is>
      </c>
      <c r="W167">
        <f>HYPERLINK("https://klasma.github.io/Logging_2582/artfynd/A 36130-2026 artfynd.xlsx", "A 36130-2026")</f>
        <v/>
      </c>
      <c r="X167">
        <f>HYPERLINK("https://klasma.github.io/Logging_2582/kartor/A 36130-2026 karta.png", "A 36130-2026")</f>
        <v/>
      </c>
      <c r="Y167">
        <f>HYPERLINK("https://klasma.github.io/Logging_2582/kartor_geotiff/A 36130-2026 georefererad karta.tif", "A 36130-2026")</f>
        <v/>
      </c>
      <c r="AA167">
        <f>HYPERLINK("https://klasma.github.io/Logging_2582/klagomål/A 36130-2026 FSC-klagomål.docx", "A 36130-2026")</f>
        <v/>
      </c>
      <c r="AB167">
        <f>HYPERLINK("https://klasma.github.io/Logging_2582/klagomålsmail/A 36130-2026 FSC-klagomål mail.docx", "A 36130-2026")</f>
        <v/>
      </c>
      <c r="AC167">
        <f>HYPERLINK("https://klasma.github.io/Logging_2582/tillsyn/A 36130-2026 tillsynsbegäran.docx", "A 36130-2026")</f>
        <v/>
      </c>
      <c r="AD167">
        <f>HYPERLINK("https://klasma.github.io/Logging_2582/tillsynsmail/A 36130-2026 tillsynsbegäran mail.docx", "A 36130-2026")</f>
        <v/>
      </c>
    </row>
    <row r="168" ht="15" customHeight="1">
      <c r="A168" t="inlineStr">
        <is>
          <t>A 32159-2026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46236</v>
      </c>
      <c r="E168" s="1" t="n">
        <v>46286</v>
      </c>
      <c r="F168" t="inlineStr">
        <is>
          <t>NORRBOTTENS LÄN</t>
        </is>
      </c>
      <c r="G168" t="inlineStr">
        <is>
          <t>BODEN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Vanlig padda</t>
        </is>
      </c>
      <c r="W168">
        <f>HYPERLINK("https://klasma.github.io/Logging_2582/artfynd/A 32159-2026 artfynd.xlsx", "A 32159-2026")</f>
        <v/>
      </c>
      <c r="X168">
        <f>HYPERLINK("https://klasma.github.io/Logging_2582/kartor/A 32159-2026 karta.png", "A 32159-2026")</f>
        <v/>
      </c>
      <c r="Y168">
        <f>HYPERLINK("https://klasma.github.io/Logging_2582/kartor_geotiff/A 32159-2026 georefererad karta.tif", "A 32159-2026")</f>
        <v/>
      </c>
      <c r="AA168">
        <f>HYPERLINK("https://klasma.github.io/Logging_2582/klagomål/A 32159-2026 FSC-klagomål.docx", "A 32159-2026")</f>
        <v/>
      </c>
      <c r="AB168">
        <f>HYPERLINK("https://klasma.github.io/Logging_2582/klagomålsmail/A 32159-2026 FSC-klagomål mail.docx", "A 32159-2026")</f>
        <v/>
      </c>
      <c r="AC168">
        <f>HYPERLINK("https://klasma.github.io/Logging_2582/tillsyn/A 32159-2026 tillsynsbegäran.docx", "A 32159-2026")</f>
        <v/>
      </c>
      <c r="AD168">
        <f>HYPERLINK("https://klasma.github.io/Logging_2582/tillsynsmail/A 32159-2026 tillsynsbegäran mail.docx", "A 32159-2026")</f>
        <v/>
      </c>
    </row>
    <row r="169" ht="15" customHeight="1">
      <c r="A169" t="inlineStr">
        <is>
          <t>A 16217-2024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46286</v>
      </c>
      <c r="F169" t="inlineStr">
        <is>
          <t>NORRBOTTENS LÄN</t>
        </is>
      </c>
      <c r="G169" t="inlineStr">
        <is>
          <t>BODEN</t>
        </is>
      </c>
      <c r="I169" t="n">
        <v>7.2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Videsparv</t>
        </is>
      </c>
      <c r="W169">
        <f>HYPERLINK("https://klasma.github.io/Logging_2582/artfynd/A 16217-2024 artfynd.xlsx", "A 16217-2024")</f>
        <v/>
      </c>
      <c r="X169">
        <f>HYPERLINK("https://klasma.github.io/Logging_2582/kartor/A 16217-2024 karta.png", "A 16217-2024")</f>
        <v/>
      </c>
      <c r="Y169">
        <f>HYPERLINK("https://klasma.github.io/Logging_2582/kartor_geotiff/A 16217-2024 georefererad karta.tif", "A 16217-2024")</f>
        <v/>
      </c>
      <c r="AA169">
        <f>HYPERLINK("https://klasma.github.io/Logging_2582/klagomål/A 16217-2024 FSC-klagomål.docx", "A 16217-2024")</f>
        <v/>
      </c>
      <c r="AB169">
        <f>HYPERLINK("https://klasma.github.io/Logging_2582/klagomålsmail/A 16217-2024 FSC-klagomål mail.docx", "A 16217-2024")</f>
        <v/>
      </c>
      <c r="AC169">
        <f>HYPERLINK("https://klasma.github.io/Logging_2582/tillsyn/A 16217-2024 tillsynsbegäran.docx", "A 16217-2024")</f>
        <v/>
      </c>
      <c r="AD169">
        <f>HYPERLINK("https://klasma.github.io/Logging_2582/tillsynsmail/A 16217-2024 tillsynsbegäran mail.docx", "A 16217-2024")</f>
        <v/>
      </c>
      <c r="AE169">
        <f>HYPERLINK("https://klasma.github.io/Logging_2582/fåglar/A 16217-2024 prioriterade fågelarter.docx", "A 16217-2024")</f>
        <v/>
      </c>
    </row>
    <row r="170" ht="15" customHeight="1">
      <c r="A170" t="inlineStr">
        <is>
          <t>A 2565-2026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46286</v>
      </c>
      <c r="F170" t="inlineStr">
        <is>
          <t>NORRBOTTENS LÄN</t>
        </is>
      </c>
      <c r="G170" t="inlineStr">
        <is>
          <t>BODEN</t>
        </is>
      </c>
      <c r="H170" t="inlineStr">
        <is>
          <t>Naturvårdsverket</t>
        </is>
      </c>
      <c r="I170" t="n">
        <v>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2</v>
      </c>
      <c r="U170" t="n">
        <v>2</v>
      </c>
      <c r="V170" s="2" t="inlineStr">
        <is>
          <t>Garnlav</t>
        </is>
      </c>
      <c r="W170">
        <f>HYPERLINK("https://klasma.github.io/Logging_2582/artfynd/A 2565-2026 artfynd.xlsx", "A 2565-2026")</f>
        <v/>
      </c>
      <c r="X170">
        <f>HYPERLINK("https://klasma.github.io/Logging_2582/kartor/A 2565-2026 karta.png", "A 2565-2026")</f>
        <v/>
      </c>
      <c r="Y170">
        <f>HYPERLINK("https://klasma.github.io/Logging_2582/kartor_geotiff/A 2565-2026 georefererad karta.tif", "A 2565-2026")</f>
        <v/>
      </c>
      <c r="AA170">
        <f>HYPERLINK("https://klasma.github.io/Logging_2582/klagomål/A 2565-2026 FSC-klagomål.docx", "A 2565-2026")</f>
        <v/>
      </c>
      <c r="AB170">
        <f>HYPERLINK("https://klasma.github.io/Logging_2582/klagomålsmail/A 2565-2026 FSC-klagomål mail.docx", "A 2565-2026")</f>
        <v/>
      </c>
      <c r="AC170">
        <f>HYPERLINK("https://klasma.github.io/Logging_2582/tillsyn/A 2565-2026 tillsynsbegäran.docx", "A 2565-2026")</f>
        <v/>
      </c>
      <c r="AD170">
        <f>HYPERLINK("https://klasma.github.io/Logging_2582/tillsynsmail/A 2565-2026 tillsynsbegäran mail.docx", "A 2565-2026")</f>
        <v/>
      </c>
    </row>
    <row r="171" ht="15" customHeight="1">
      <c r="A171" t="inlineStr">
        <is>
          <t>A 32664-2026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46286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4</v>
      </c>
      <c r="U171" t="n">
        <v>0</v>
      </c>
      <c r="V171" s="2" t="inlineStr">
        <is>
          <t>Lunglav</t>
        </is>
      </c>
      <c r="W171">
        <f>HYPERLINK("https://klasma.github.io/Logging_2582/artfynd/A 32664-2026 artfynd.xlsx", "A 32664-2026")</f>
        <v/>
      </c>
      <c r="X171">
        <f>HYPERLINK("https://klasma.github.io/Logging_2582/kartor/A 32664-2026 karta.png", "A 32664-2026")</f>
        <v/>
      </c>
      <c r="Y171">
        <f>HYPERLINK("https://klasma.github.io/Logging_2582/kartor_geotiff/A 32664-2026 georefererad karta.tif", "A 32664-2026")</f>
        <v/>
      </c>
      <c r="AA171">
        <f>HYPERLINK("https://klasma.github.io/Logging_2582/klagomål/A 32664-2026 FSC-klagomål.docx", "A 32664-2026")</f>
        <v/>
      </c>
      <c r="AB171">
        <f>HYPERLINK("https://klasma.github.io/Logging_2582/klagomålsmail/A 32664-2026 FSC-klagomål mail.docx", "A 32664-2026")</f>
        <v/>
      </c>
      <c r="AC171">
        <f>HYPERLINK("https://klasma.github.io/Logging_2582/tillsyn/A 32664-2026 tillsynsbegäran.docx", "A 32664-2026")</f>
        <v/>
      </c>
      <c r="AD171">
        <f>HYPERLINK("https://klasma.github.io/Logging_2582/tillsynsmail/A 32664-2026 tillsynsbegäran mail.docx", "A 32664-2026")</f>
        <v/>
      </c>
    </row>
    <row r="172" ht="15" customHeight="1">
      <c r="A172" t="inlineStr">
        <is>
          <t>A 32708-2026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46241</v>
      </c>
      <c r="E172" s="1" t="n">
        <v>46286</v>
      </c>
      <c r="F172" t="inlineStr">
        <is>
          <t>NORRBOTTENS LÄN</t>
        </is>
      </c>
      <c r="G172" t="inlineStr">
        <is>
          <t>BODEN</t>
        </is>
      </c>
      <c r="H172" t="inlineStr">
        <is>
          <t>SCA</t>
        </is>
      </c>
      <c r="I172" t="n">
        <v>12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Lunglav</t>
        </is>
      </c>
      <c r="W172">
        <f>HYPERLINK("https://klasma.github.io/Logging_2582/artfynd/A 32708-2026 artfynd.xlsx", "A 32708-2026")</f>
        <v/>
      </c>
      <c r="X172">
        <f>HYPERLINK("https://klasma.github.io/Logging_2582/kartor/A 32708-2026 karta.png", "A 32708-2026")</f>
        <v/>
      </c>
      <c r="Y172">
        <f>HYPERLINK("https://klasma.github.io/Logging_2582/kartor_geotiff/A 32708-2026 georefererad karta.tif", "A 32708-2026")</f>
        <v/>
      </c>
      <c r="AA172">
        <f>HYPERLINK("https://klasma.github.io/Logging_2582/klagomål/A 32708-2026 FSC-klagomål.docx", "A 32708-2026")</f>
        <v/>
      </c>
      <c r="AB172">
        <f>HYPERLINK("https://klasma.github.io/Logging_2582/klagomålsmail/A 32708-2026 FSC-klagomål mail.docx", "A 32708-2026")</f>
        <v/>
      </c>
      <c r="AC172">
        <f>HYPERLINK("https://klasma.github.io/Logging_2582/tillsyn/A 32708-2026 tillsynsbegäran.docx", "A 32708-2026")</f>
        <v/>
      </c>
      <c r="AD172">
        <f>HYPERLINK("https://klasma.github.io/Logging_2582/tillsynsmail/A 32708-2026 tillsynsbegäran mail.docx", "A 32708-2026")</f>
        <v/>
      </c>
    </row>
    <row r="173" ht="15" customHeight="1">
      <c r="A173" t="inlineStr">
        <is>
          <t>A 38395-2026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46286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HYPERLINK("https://klasma.github.io/Logging_2582/artfynd/A 38395-2026 artfynd.xlsx", "A 38395-2026")</f>
        <v/>
      </c>
      <c r="X173">
        <f>HYPERLINK("https://klasma.github.io/Logging_2582/kartor/A 38395-2026 karta.png", "A 38395-2026")</f>
        <v/>
      </c>
      <c r="Y173">
        <f>HYPERLINK("https://klasma.github.io/Logging_2582/kartor_geotiff/A 38395-2026 georefererad karta.tif", "A 38395-2026")</f>
        <v/>
      </c>
      <c r="AA173">
        <f>HYPERLINK("https://klasma.github.io/Logging_2582/klagomål/A 38395-2026 FSC-klagomål.docx", "A 38395-2026")</f>
        <v/>
      </c>
      <c r="AB173">
        <f>HYPERLINK("https://klasma.github.io/Logging_2582/klagomålsmail/A 38395-2026 FSC-klagomål mail.docx", "A 38395-2026")</f>
        <v/>
      </c>
      <c r="AC173">
        <f>HYPERLINK("https://klasma.github.io/Logging_2582/tillsyn/A 38395-2026 tillsynsbegäran.docx", "A 38395-2026")</f>
        <v/>
      </c>
      <c r="AD173">
        <f>HYPERLINK("https://klasma.github.io/Logging_2582/tillsynsmail/A 38395-2026 tillsynsbegäran mail.docx", "A 38395-2026")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46286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46286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46286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46286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46286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46286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46286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46286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46286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46286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46286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46286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46286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46286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44463</v>
      </c>
      <c r="E188" s="1" t="n">
        <v>46286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46286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46286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44462</v>
      </c>
      <c r="E191" s="1" t="n">
        <v>46286</v>
      </c>
      <c r="F191" t="inlineStr">
        <is>
          <t>NORRBOTTENS LÄN</t>
        </is>
      </c>
      <c r="G191" t="inlineStr">
        <is>
          <t>BODEN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44617</v>
      </c>
      <c r="E192" s="1" t="n">
        <v>46286</v>
      </c>
      <c r="F192" t="inlineStr">
        <is>
          <t>NORRBOTTENS LÄN</t>
        </is>
      </c>
      <c r="G192" t="inlineStr">
        <is>
          <t>BODEN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46286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46286</v>
      </c>
      <c r="F194" t="inlineStr">
        <is>
          <t>NORRBOTTENS LÄN</t>
        </is>
      </c>
      <c r="G194" t="inlineStr">
        <is>
          <t>BODEN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46286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46286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46286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46286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46286</v>
      </c>
      <c r="F199" t="inlineStr">
        <is>
          <t>NORRBOTTENS LÄN</t>
        </is>
      </c>
      <c r="G199" t="inlineStr">
        <is>
          <t>BODEN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46286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46286</v>
      </c>
      <c r="F201" t="inlineStr">
        <is>
          <t>NORRBOTTENS LÄN</t>
        </is>
      </c>
      <c r="G201" t="inlineStr">
        <is>
          <t>BODEN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71833-2021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46286</v>
      </c>
      <c r="F202" t="inlineStr">
        <is>
          <t>NORRBOTTENS LÄN</t>
        </is>
      </c>
      <c r="G202" t="inlineStr">
        <is>
          <t>BODEN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46286</v>
      </c>
      <c r="F203" t="inlineStr">
        <is>
          <t>NORRBOTTENS LÄN</t>
        </is>
      </c>
      <c r="G203" t="inlineStr">
        <is>
          <t>BODEN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46286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54818-2021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46286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46286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46286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46286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46286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46286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46286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46286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69124-2021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44530</v>
      </c>
      <c r="E213" s="1" t="n">
        <v>46286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44565</v>
      </c>
      <c r="E214" s="1" t="n">
        <v>46286</v>
      </c>
      <c r="F214" t="inlineStr">
        <is>
          <t>NORRBOTTENS LÄN</t>
        </is>
      </c>
      <c r="G214" t="inlineStr">
        <is>
          <t>BODEN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46286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44566</v>
      </c>
      <c r="E216" s="1" t="n">
        <v>46286</v>
      </c>
      <c r="F216" t="inlineStr">
        <is>
          <t>NORRBOTTENS LÄN</t>
        </is>
      </c>
      <c r="G216" t="inlineStr">
        <is>
          <t>BODEN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44617</v>
      </c>
      <c r="E217" s="1" t="n">
        <v>46286</v>
      </c>
      <c r="F217" t="inlineStr">
        <is>
          <t>NORRBOTTENS LÄN</t>
        </is>
      </c>
      <c r="G217" t="inlineStr">
        <is>
          <t>BODEN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46286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46286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46286</v>
      </c>
      <c r="F220" t="inlineStr">
        <is>
          <t>NORRBOTTENS LÄN</t>
        </is>
      </c>
      <c r="G220" t="inlineStr">
        <is>
          <t>BODEN</t>
        </is>
      </c>
      <c r="H220" t="inlineStr">
        <is>
          <t>Övriga statliga verk och myndigheter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46286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46286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46286</v>
      </c>
      <c r="F224" t="inlineStr">
        <is>
          <t>NORRBOTTENS LÄN</t>
        </is>
      </c>
      <c r="G224" t="inlineStr">
        <is>
          <t>BODEN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56485-2021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46286</v>
      </c>
      <c r="F225" t="inlineStr">
        <is>
          <t>NORRBOTTENS LÄN</t>
        </is>
      </c>
      <c r="G225" t="inlineStr">
        <is>
          <t>BODEN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44529</v>
      </c>
      <c r="E226" s="1" t="n">
        <v>46286</v>
      </c>
      <c r="F226" t="inlineStr">
        <is>
          <t>NORRBOTTENS LÄN</t>
        </is>
      </c>
      <c r="G226" t="inlineStr">
        <is>
          <t>BODEN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46286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46286</v>
      </c>
      <c r="F228" t="inlineStr">
        <is>
          <t>NORRBOTTENS LÄN</t>
        </is>
      </c>
      <c r="G228" t="inlineStr">
        <is>
          <t>BODEN</t>
        </is>
      </c>
      <c r="H228" t="inlineStr">
        <is>
          <t>Kyrkan</t>
        </is>
      </c>
      <c r="I228" t="n">
        <v>16.5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46286</v>
      </c>
      <c r="F229" t="inlineStr">
        <is>
          <t>NORRBOTTENS LÄN</t>
        </is>
      </c>
      <c r="G229" t="inlineStr">
        <is>
          <t>BODEN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46286</v>
      </c>
      <c r="F230" t="inlineStr">
        <is>
          <t>NORRBOTTENS LÄN</t>
        </is>
      </c>
      <c r="G230" t="inlineStr">
        <is>
          <t>BODEN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46286</v>
      </c>
      <c r="F231" t="inlineStr">
        <is>
          <t>NORRBOTTENS LÄN</t>
        </is>
      </c>
      <c r="G231" t="inlineStr">
        <is>
          <t>BODEN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44484</v>
      </c>
      <c r="E232" s="1" t="n">
        <v>46286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44489</v>
      </c>
      <c r="E233" s="1" t="n">
        <v>46286</v>
      </c>
      <c r="F233" t="inlineStr">
        <is>
          <t>NORRBOTTENS LÄN</t>
        </is>
      </c>
      <c r="G233" t="inlineStr">
        <is>
          <t>BODEN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44795</v>
      </c>
      <c r="E234" s="1" t="n">
        <v>46286</v>
      </c>
      <c r="F234" t="inlineStr">
        <is>
          <t>NORRBOTTENS LÄN</t>
        </is>
      </c>
      <c r="G234" t="inlineStr">
        <is>
          <t>BODEN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46286</v>
      </c>
      <c r="F235" t="inlineStr">
        <is>
          <t>NORRBOTTENS LÄN</t>
        </is>
      </c>
      <c r="G235" t="inlineStr">
        <is>
          <t>BODEN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46286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45310</v>
      </c>
      <c r="E237" s="1" t="n">
        <v>46286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52075-2021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46286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73910-2021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46286</v>
      </c>
      <c r="F239" t="inlineStr">
        <is>
          <t>NORRBOTTENS LÄN</t>
        </is>
      </c>
      <c r="G239" t="inlineStr">
        <is>
          <t>BODEN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45022</v>
      </c>
      <c r="E240" s="1" t="n">
        <v>46286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46286</v>
      </c>
      <c r="F241" t="inlineStr">
        <is>
          <t>NORRBOTTENS LÄN</t>
        </is>
      </c>
      <c r="G241" t="inlineStr">
        <is>
          <t>BODEN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46286</v>
      </c>
      <c r="F242" t="inlineStr">
        <is>
          <t>NORRBOTTENS LÄN</t>
        </is>
      </c>
      <c r="G242" t="inlineStr">
        <is>
          <t>BODEN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46286</v>
      </c>
      <c r="F243" t="inlineStr">
        <is>
          <t>NORRBOTTENS LÄN</t>
        </is>
      </c>
      <c r="G243" t="inlineStr">
        <is>
          <t>BODEN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44609</v>
      </c>
      <c r="E244" s="1" t="n">
        <v>46286</v>
      </c>
      <c r="F244" t="inlineStr">
        <is>
          <t>NORRBOTTENS LÄN</t>
        </is>
      </c>
      <c r="G244" t="inlineStr">
        <is>
          <t>BODEN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44881</v>
      </c>
      <c r="E245" s="1" t="n">
        <v>46286</v>
      </c>
      <c r="F245" t="inlineStr">
        <is>
          <t>NORRBOTTENS LÄN</t>
        </is>
      </c>
      <c r="G245" t="inlineStr">
        <is>
          <t>BODEN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46286</v>
      </c>
      <c r="F246" t="inlineStr">
        <is>
          <t>NORRBOTTENS LÄN</t>
        </is>
      </c>
      <c r="G246" t="inlineStr">
        <is>
          <t>BODEN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46286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45125</v>
      </c>
      <c r="E248" s="1" t="n">
        <v>46286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46286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45635</v>
      </c>
      <c r="E250" s="1" t="n">
        <v>46286</v>
      </c>
      <c r="F250" t="inlineStr">
        <is>
          <t>NORRBOTTENS LÄN</t>
        </is>
      </c>
      <c r="G250" t="inlineStr">
        <is>
          <t>BODEN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46286</v>
      </c>
      <c r="F251" t="inlineStr">
        <is>
          <t>NORRBOTTENS LÄN</t>
        </is>
      </c>
      <c r="G251" t="inlineStr">
        <is>
          <t>BODEN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46286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44489</v>
      </c>
      <c r="E253" s="1" t="n">
        <v>46286</v>
      </c>
      <c r="F253" t="inlineStr">
        <is>
          <t>NORRBOTTENS LÄN</t>
        </is>
      </c>
      <c r="G253" t="inlineStr">
        <is>
          <t>BODEN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45600</v>
      </c>
      <c r="E254" s="1" t="n">
        <v>46286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46286</v>
      </c>
      <c r="F255" t="inlineStr">
        <is>
          <t>NORRBOTTENS LÄN</t>
        </is>
      </c>
      <c r="G255" t="inlineStr">
        <is>
          <t>BODEN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46286</v>
      </c>
      <c r="F256" t="inlineStr">
        <is>
          <t>NORRBOTTENS LÄN</t>
        </is>
      </c>
      <c r="G256" t="inlineStr">
        <is>
          <t>BODEN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46286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46286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46286</v>
      </c>
      <c r="F259" t="inlineStr">
        <is>
          <t>NORRBOTTENS LÄN</t>
        </is>
      </c>
      <c r="G259" t="inlineStr">
        <is>
          <t>BODEN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46286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46286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7442-2024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45345</v>
      </c>
      <c r="E262" s="1" t="n">
        <v>46286</v>
      </c>
      <c r="F262" t="inlineStr">
        <is>
          <t>NORRBOTTENS LÄN</t>
        </is>
      </c>
      <c r="G262" t="inlineStr">
        <is>
          <t>BODEN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46286</v>
      </c>
      <c r="F263" t="inlineStr">
        <is>
          <t>NORRBOTTENS LÄN</t>
        </is>
      </c>
      <c r="G263" t="inlineStr">
        <is>
          <t>BODEN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74264-2021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44558</v>
      </c>
      <c r="E264" s="1" t="n">
        <v>46286</v>
      </c>
      <c r="F264" t="inlineStr">
        <is>
          <t>NORRBOTTENS LÄN</t>
        </is>
      </c>
      <c r="G264" t="inlineStr">
        <is>
          <t>BODEN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46286</v>
      </c>
      <c r="F265" t="inlineStr">
        <is>
          <t>NORRBOTTENS LÄN</t>
        </is>
      </c>
      <c r="G265" t="inlineStr">
        <is>
          <t>BODEN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68565-2021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46286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46286</v>
      </c>
      <c r="F267" t="inlineStr">
        <is>
          <t>NORRBOTTENS LÄN</t>
        </is>
      </c>
      <c r="G267" t="inlineStr">
        <is>
          <t>BODEN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45766</v>
      </c>
      <c r="E268" s="1" t="n">
        <v>46286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45285</v>
      </c>
      <c r="E269" s="1" t="n">
        <v>46286</v>
      </c>
      <c r="F269" t="inlineStr">
        <is>
          <t>NORRBOTTENS LÄN</t>
        </is>
      </c>
      <c r="G269" t="inlineStr">
        <is>
          <t>BODEN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46286</v>
      </c>
      <c r="F270" t="inlineStr">
        <is>
          <t>NORRBOTTENS LÄN</t>
        </is>
      </c>
      <c r="G270" t="inlineStr">
        <is>
          <t>BODEN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45397</v>
      </c>
      <c r="E271" s="1" t="n">
        <v>46286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45397</v>
      </c>
      <c r="E272" s="1" t="n">
        <v>46286</v>
      </c>
      <c r="F272" t="inlineStr">
        <is>
          <t>NORRBOTTENS LÄN</t>
        </is>
      </c>
      <c r="G272" t="inlineStr">
        <is>
          <t>BODEN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18866-2025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46286</v>
      </c>
      <c r="F273" t="inlineStr">
        <is>
          <t>NORRBOTTENS LÄN</t>
        </is>
      </c>
      <c r="G273" t="inlineStr">
        <is>
          <t>BODEN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44983</v>
      </c>
      <c r="E274" s="1" t="n">
        <v>46286</v>
      </c>
      <c r="F274" t="inlineStr">
        <is>
          <t>NORRBOTTENS LÄN</t>
        </is>
      </c>
      <c r="G274" t="inlineStr">
        <is>
          <t>BODEN</t>
        </is>
      </c>
      <c r="I274" t="n">
        <v>37.1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44474</v>
      </c>
      <c r="E275" s="1" t="n">
        <v>46286</v>
      </c>
      <c r="F275" t="inlineStr">
        <is>
          <t>NORRBOTTENS LÄN</t>
        </is>
      </c>
      <c r="G275" t="inlineStr">
        <is>
          <t>BODEN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46286</v>
      </c>
      <c r="F276" t="inlineStr">
        <is>
          <t>NORRBOTTENS LÄN</t>
        </is>
      </c>
      <c r="G276" t="inlineStr">
        <is>
          <t>BODEN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46286</v>
      </c>
      <c r="F277" t="inlineStr">
        <is>
          <t>NORRBOTTENS LÄN</t>
        </is>
      </c>
      <c r="G277" t="inlineStr">
        <is>
          <t>BODEN</t>
        </is>
      </c>
      <c r="I277" t="n">
        <v>33.9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46286</v>
      </c>
      <c r="F278" t="inlineStr">
        <is>
          <t>NORRBOTTENS LÄN</t>
        </is>
      </c>
      <c r="G278" t="inlineStr">
        <is>
          <t>BODEN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57873-2021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44484</v>
      </c>
      <c r="E279" s="1" t="n">
        <v>46286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46286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46286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46286</v>
      </c>
      <c r="F282" t="inlineStr">
        <is>
          <t>NORRBOTTENS LÄN</t>
        </is>
      </c>
      <c r="G282" t="inlineStr">
        <is>
          <t>BODEN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45516</v>
      </c>
      <c r="E283" s="1" t="n">
        <v>46286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45516</v>
      </c>
      <c r="E284" s="1" t="n">
        <v>46286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46286</v>
      </c>
      <c r="F285" t="inlineStr">
        <is>
          <t>NORRBOTTENS LÄN</t>
        </is>
      </c>
      <c r="G285" t="inlineStr">
        <is>
          <t>BODEN</t>
        </is>
      </c>
      <c r="H285" t="inlineStr">
        <is>
          <t>Naturvårdsverket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45543</v>
      </c>
      <c r="E286" s="1" t="n">
        <v>46286</v>
      </c>
      <c r="F286" t="inlineStr">
        <is>
          <t>NORRBOTTENS LÄN</t>
        </is>
      </c>
      <c r="G286" t="inlineStr">
        <is>
          <t>BODEN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46286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46286</v>
      </c>
      <c r="F288" t="inlineStr">
        <is>
          <t>NORRBOTTENS LÄN</t>
        </is>
      </c>
      <c r="G288" t="inlineStr">
        <is>
          <t>BODEN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46286</v>
      </c>
      <c r="F289" t="inlineStr">
        <is>
          <t>NORRBOTTENS LÄN</t>
        </is>
      </c>
      <c r="G289" t="inlineStr">
        <is>
          <t>BODEN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46286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46286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statliga verk och myndigheter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45748</v>
      </c>
      <c r="E292" s="1" t="n">
        <v>46286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46286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46286</v>
      </c>
      <c r="F294" t="inlineStr">
        <is>
          <t>NORRBOTTENS LÄN</t>
        </is>
      </c>
      <c r="G294" t="inlineStr">
        <is>
          <t>BODEN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46286</v>
      </c>
      <c r="F295" t="inlineStr">
        <is>
          <t>NORRBOTTENS LÄN</t>
        </is>
      </c>
      <c r="G295" t="inlineStr">
        <is>
          <t>BODEN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45672</v>
      </c>
      <c r="E296" s="1" t="n">
        <v>46286</v>
      </c>
      <c r="F296" t="inlineStr">
        <is>
          <t>NORRBOTTENS LÄN</t>
        </is>
      </c>
      <c r="G296" t="inlineStr">
        <is>
          <t>BODEN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59890-2023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45254</v>
      </c>
      <c r="E297" s="1" t="n">
        <v>46286</v>
      </c>
      <c r="F297" t="inlineStr">
        <is>
          <t>NORRBOTTENS LÄN</t>
        </is>
      </c>
      <c r="G297" t="inlineStr">
        <is>
          <t>BODEN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46286</v>
      </c>
      <c r="F298" t="inlineStr">
        <is>
          <t>NORRBOTTENS LÄN</t>
        </is>
      </c>
      <c r="G298" t="inlineStr">
        <is>
          <t>BODEN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46286</v>
      </c>
      <c r="F299" t="inlineStr">
        <is>
          <t>NORRBOTTENS LÄN</t>
        </is>
      </c>
      <c r="G299" t="inlineStr">
        <is>
          <t>BODEN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46286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44628</v>
      </c>
      <c r="E301" s="1" t="n">
        <v>46286</v>
      </c>
      <c r="F301" t="inlineStr">
        <is>
          <t>NORRBOTTENS LÄN</t>
        </is>
      </c>
      <c r="G301" t="inlineStr">
        <is>
          <t>BODEN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46286</v>
      </c>
      <c r="F302" t="inlineStr">
        <is>
          <t>NORRBOTTENS LÄN</t>
        </is>
      </c>
      <c r="G302" t="inlineStr">
        <is>
          <t>BODEN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46286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46286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45718</v>
      </c>
      <c r="E305" s="1" t="n">
        <v>46286</v>
      </c>
      <c r="F305" t="inlineStr">
        <is>
          <t>NORRBOTTENS LÄN</t>
        </is>
      </c>
      <c r="G305" t="inlineStr">
        <is>
          <t>BODEN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45358</v>
      </c>
      <c r="E306" s="1" t="n">
        <v>46286</v>
      </c>
      <c r="F306" t="inlineStr">
        <is>
          <t>NORRBOTTENS LÄN</t>
        </is>
      </c>
      <c r="G306" t="inlineStr">
        <is>
          <t>BODEN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46286</v>
      </c>
      <c r="F307" t="inlineStr">
        <is>
          <t>NORRBOTTENS LÄN</t>
        </is>
      </c>
      <c r="G307" t="inlineStr">
        <is>
          <t>BODEN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45770</v>
      </c>
      <c r="E308" s="1" t="n">
        <v>46286</v>
      </c>
      <c r="F308" t="inlineStr">
        <is>
          <t>NORRBOTTENS LÄN</t>
        </is>
      </c>
      <c r="G308" t="inlineStr">
        <is>
          <t>BODEN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46286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68611-2021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46286</v>
      </c>
      <c r="F310" t="inlineStr">
        <is>
          <t>NORRBOTTENS LÄN</t>
        </is>
      </c>
      <c r="G310" t="inlineStr">
        <is>
          <t>BODEN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45102</v>
      </c>
      <c r="E311" s="1" t="n">
        <v>46286</v>
      </c>
      <c r="F311" t="inlineStr">
        <is>
          <t>NORRBOTTENS LÄN</t>
        </is>
      </c>
      <c r="G311" t="inlineStr">
        <is>
          <t>BODEN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46286</v>
      </c>
      <c r="F312" t="inlineStr">
        <is>
          <t>NORRBOTTENS LÄN</t>
        </is>
      </c>
      <c r="G312" t="inlineStr">
        <is>
          <t>BODEN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46286</v>
      </c>
      <c r="F313" t="inlineStr">
        <is>
          <t>NORRBOTTENS LÄN</t>
        </is>
      </c>
      <c r="G313" t="inlineStr">
        <is>
          <t>BODEN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60466-2024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45643</v>
      </c>
      <c r="E314" s="1" t="n">
        <v>46286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46286</v>
      </c>
      <c r="F315" t="inlineStr">
        <is>
          <t>NORRBOTTENS LÄN</t>
        </is>
      </c>
      <c r="G315" t="inlineStr">
        <is>
          <t>BODEN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46286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46286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54935-2021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44474</v>
      </c>
      <c r="E318" s="1" t="n">
        <v>46286</v>
      </c>
      <c r="F318" t="inlineStr">
        <is>
          <t>NORRBOTTENS LÄN</t>
        </is>
      </c>
      <c r="G318" t="inlineStr">
        <is>
          <t>BODEN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708-2022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44566</v>
      </c>
      <c r="E319" s="1" t="n">
        <v>46286</v>
      </c>
      <c r="F319" t="inlineStr">
        <is>
          <t>NORRBOTTENS LÄN</t>
        </is>
      </c>
      <c r="G319" t="inlineStr">
        <is>
          <t>BODEN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46286</v>
      </c>
      <c r="F320" t="inlineStr">
        <is>
          <t>NORRBOTTENS LÄN</t>
        </is>
      </c>
      <c r="G320" t="inlineStr">
        <is>
          <t>BODEN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46286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46286</v>
      </c>
      <c r="F322" t="inlineStr">
        <is>
          <t>NORRBOTTENS LÄN</t>
        </is>
      </c>
      <c r="G322" t="inlineStr">
        <is>
          <t>BODEN</t>
        </is>
      </c>
      <c r="I322" t="n">
        <v>11.3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46286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46286</v>
      </c>
      <c r="F324" t="inlineStr">
        <is>
          <t>NORRBOTTENS LÄN</t>
        </is>
      </c>
      <c r="G324" t="inlineStr">
        <is>
          <t>BODEN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45884</v>
      </c>
      <c r="E325" s="1" t="n">
        <v>46286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45132</v>
      </c>
      <c r="E326" s="1" t="n">
        <v>46286</v>
      </c>
      <c r="F326" t="inlineStr">
        <is>
          <t>NORRBOTTENS LÄN</t>
        </is>
      </c>
      <c r="G326" t="inlineStr">
        <is>
          <t>BODEN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45649</v>
      </c>
      <c r="E327" s="1" t="n">
        <v>46286</v>
      </c>
      <c r="F327" t="inlineStr">
        <is>
          <t>NORRBOTTENS LÄN</t>
        </is>
      </c>
      <c r="G327" t="inlineStr">
        <is>
          <t>BODEN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45649</v>
      </c>
      <c r="E328" s="1" t="n">
        <v>46286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46286</v>
      </c>
      <c r="F329" t="inlineStr">
        <is>
          <t>NORRBOTTENS LÄN</t>
        </is>
      </c>
      <c r="G329" t="inlineStr">
        <is>
          <t>BODEN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46286</v>
      </c>
      <c r="F330" t="inlineStr">
        <is>
          <t>NORRBOTTENS LÄN</t>
        </is>
      </c>
      <c r="G330" t="inlineStr">
        <is>
          <t>BODEN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46286</v>
      </c>
      <c r="F331" t="inlineStr">
        <is>
          <t>NORRBOTTENS LÄN</t>
        </is>
      </c>
      <c r="G331" t="inlineStr">
        <is>
          <t>BODEN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46286</v>
      </c>
      <c r="F332" t="inlineStr">
        <is>
          <t>NORRBOTTENS LÄN</t>
        </is>
      </c>
      <c r="G332" t="inlineStr">
        <is>
          <t>BODEN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46286</v>
      </c>
      <c r="F333" t="inlineStr">
        <is>
          <t>NORRBOTTENS LÄN</t>
        </is>
      </c>
      <c r="G333" t="inlineStr">
        <is>
          <t>BODEN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46286</v>
      </c>
      <c r="F334" t="inlineStr">
        <is>
          <t>NORRBOTTENS LÄN</t>
        </is>
      </c>
      <c r="G334" t="inlineStr">
        <is>
          <t>BODEN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45649</v>
      </c>
      <c r="E335" s="1" t="n">
        <v>46286</v>
      </c>
      <c r="F335" t="inlineStr">
        <is>
          <t>NORRBOTTENS LÄN</t>
        </is>
      </c>
      <c r="G335" t="inlineStr">
        <is>
          <t>BODEN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46286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11647-2023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44994</v>
      </c>
      <c r="E337" s="1" t="n">
        <v>46286</v>
      </c>
      <c r="F337" t="inlineStr">
        <is>
          <t>NORRBOTTENS LÄN</t>
        </is>
      </c>
      <c r="G337" t="inlineStr">
        <is>
          <t>BODEN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46286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44486</v>
      </c>
      <c r="E339" s="1" t="n">
        <v>46286</v>
      </c>
      <c r="F339" t="inlineStr">
        <is>
          <t>NORRBOTTENS LÄN</t>
        </is>
      </c>
      <c r="G339" t="inlineStr">
        <is>
          <t>BODEN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46286</v>
      </c>
      <c r="F340" t="inlineStr">
        <is>
          <t>NORRBOTTENS LÄN</t>
        </is>
      </c>
      <c r="G340" t="inlineStr">
        <is>
          <t>BODEN</t>
        </is>
      </c>
      <c r="H340" t="inlineStr">
        <is>
          <t>Övriga Aktiebolag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46286</v>
      </c>
      <c r="F341" t="inlineStr">
        <is>
          <t>NORRBOTTENS LÄN</t>
        </is>
      </c>
      <c r="G341" t="inlineStr">
        <is>
          <t>BODEN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46286</v>
      </c>
      <c r="F342" t="inlineStr">
        <is>
          <t>NORRBOTTENS LÄN</t>
        </is>
      </c>
      <c r="G342" t="inlineStr">
        <is>
          <t>BODEN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46286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10.7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45583</v>
      </c>
      <c r="E344" s="1" t="n">
        <v>46286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45764</v>
      </c>
      <c r="E345" s="1" t="n">
        <v>46286</v>
      </c>
      <c r="F345" t="inlineStr">
        <is>
          <t>NORRBOTTENS LÄN</t>
        </is>
      </c>
      <c r="G345" t="inlineStr">
        <is>
          <t>BODEN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46286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statliga verk och myndigheter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46286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45897</v>
      </c>
      <c r="E348" s="1" t="n">
        <v>46286</v>
      </c>
      <c r="F348" t="inlineStr">
        <is>
          <t>NORRBOTTENS LÄN</t>
        </is>
      </c>
      <c r="G348" t="inlineStr">
        <is>
          <t>BODEN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45897</v>
      </c>
      <c r="E349" s="1" t="n">
        <v>46286</v>
      </c>
      <c r="F349" t="inlineStr">
        <is>
          <t>NORRBOTTENS LÄN</t>
        </is>
      </c>
      <c r="G349" t="inlineStr">
        <is>
          <t>BODEN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45935</v>
      </c>
      <c r="E350" s="1" t="n">
        <v>46286</v>
      </c>
      <c r="F350" t="inlineStr">
        <is>
          <t>NORRBOTTENS LÄN</t>
        </is>
      </c>
      <c r="G350" t="inlineStr">
        <is>
          <t>BODEN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45257</v>
      </c>
      <c r="E351" s="1" t="n">
        <v>46286</v>
      </c>
      <c r="F351" t="inlineStr">
        <is>
          <t>NORRBOTTENS LÄN</t>
        </is>
      </c>
      <c r="G351" t="inlineStr">
        <is>
          <t>BODEN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67068-2021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44522</v>
      </c>
      <c r="E352" s="1" t="n">
        <v>46286</v>
      </c>
      <c r="F352" t="inlineStr">
        <is>
          <t>NORRBOTTENS LÄN</t>
        </is>
      </c>
      <c r="G352" t="inlineStr">
        <is>
          <t>BODEN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46286</v>
      </c>
      <c r="F353" t="inlineStr">
        <is>
          <t>NORRBOTTENS LÄN</t>
        </is>
      </c>
      <c r="G353" t="inlineStr">
        <is>
          <t>BODEN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41601-2025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46286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46286</v>
      </c>
      <c r="F355" t="inlineStr">
        <is>
          <t>NORRBOTTENS LÄN</t>
        </is>
      </c>
      <c r="G355" t="inlineStr">
        <is>
          <t>BODEN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41691-2025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45902</v>
      </c>
      <c r="E356" s="1" t="n">
        <v>46286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32775-2025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45839</v>
      </c>
      <c r="E357" s="1" t="n">
        <v>46286</v>
      </c>
      <c r="F357" t="inlineStr">
        <is>
          <t>NORRBOTTENS LÄN</t>
        </is>
      </c>
      <c r="G357" t="inlineStr">
        <is>
          <t>BODEN</t>
        </is>
      </c>
      <c r="I357" t="n">
        <v>13.6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46286</v>
      </c>
      <c r="F358" t="inlineStr">
        <is>
          <t>NORRBOTTENS LÄN</t>
        </is>
      </c>
      <c r="G358" t="inlineStr">
        <is>
          <t>BODEN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46286</v>
      </c>
      <c r="F359" t="inlineStr">
        <is>
          <t>NORRBOTTENS LÄN</t>
        </is>
      </c>
      <c r="G359" t="inlineStr">
        <is>
          <t>BODEN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45907</v>
      </c>
      <c r="E360" s="1" t="n">
        <v>46286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9.6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45911</v>
      </c>
      <c r="E361" s="1" t="n">
        <v>46286</v>
      </c>
      <c r="F361" t="inlineStr">
        <is>
          <t>NORRBOTTENS LÄN</t>
        </is>
      </c>
      <c r="G361" t="inlineStr">
        <is>
          <t>BODEN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45586</v>
      </c>
      <c r="E362" s="1" t="n">
        <v>46286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12.8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45910</v>
      </c>
      <c r="E363" s="1" t="n">
        <v>46286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45910</v>
      </c>
      <c r="E364" s="1" t="n">
        <v>46286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46286</v>
      </c>
      <c r="F365" t="inlineStr">
        <is>
          <t>NORRBOTTENS LÄN</t>
        </is>
      </c>
      <c r="G365" t="inlineStr">
        <is>
          <t>BODEN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45912</v>
      </c>
      <c r="E366" s="1" t="n">
        <v>46286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46286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46286</v>
      </c>
      <c r="F368" t="inlineStr">
        <is>
          <t>NORRBOTTENS LÄN</t>
        </is>
      </c>
      <c r="G368" t="inlineStr">
        <is>
          <t>BODEN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46286</v>
      </c>
      <c r="F369" t="inlineStr">
        <is>
          <t>NORRBOTTENS LÄN</t>
        </is>
      </c>
      <c r="G369" t="inlineStr">
        <is>
          <t>BODEN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43710-2025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46286</v>
      </c>
      <c r="F370" t="inlineStr">
        <is>
          <t>NORRBOTTENS LÄN</t>
        </is>
      </c>
      <c r="G370" t="inlineStr">
        <is>
          <t>BODEN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46286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46286</v>
      </c>
      <c r="F372" t="inlineStr">
        <is>
          <t>NORRBOTTENS LÄN</t>
        </is>
      </c>
      <c r="G372" t="inlineStr">
        <is>
          <t>BODEN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32276-2024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45512</v>
      </c>
      <c r="E373" s="1" t="n">
        <v>46286</v>
      </c>
      <c r="F373" t="inlineStr">
        <is>
          <t>NORRBOTTENS LÄN</t>
        </is>
      </c>
      <c r="G373" t="inlineStr">
        <is>
          <t>BODEN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46286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46286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44889</v>
      </c>
      <c r="E376" s="1" t="n">
        <v>46286</v>
      </c>
      <c r="F376" t="inlineStr">
        <is>
          <t>NORRBOTTENS LÄN</t>
        </is>
      </c>
      <c r="G376" t="inlineStr">
        <is>
          <t>BODEN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46286</v>
      </c>
      <c r="F377" t="inlineStr">
        <is>
          <t>NORRBOTTENS LÄN</t>
        </is>
      </c>
      <c r="G377" t="inlineStr">
        <is>
          <t>BODEN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46286</v>
      </c>
      <c r="F378" t="inlineStr">
        <is>
          <t>NORRBOTTENS LÄN</t>
        </is>
      </c>
      <c r="G378" t="inlineStr">
        <is>
          <t>BODEN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46286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16222-2024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45406</v>
      </c>
      <c r="E380" s="1" t="n">
        <v>46286</v>
      </c>
      <c r="F380" t="inlineStr">
        <is>
          <t>NORRBOTTENS LÄN</t>
        </is>
      </c>
      <c r="G380" t="inlineStr">
        <is>
          <t>BODEN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46286</v>
      </c>
      <c r="F381" t="inlineStr">
        <is>
          <t>NORRBOTTENS LÄN</t>
        </is>
      </c>
      <c r="G381" t="inlineStr">
        <is>
          <t>BODEN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45922</v>
      </c>
      <c r="E382" s="1" t="n">
        <v>46286</v>
      </c>
      <c r="F382" t="inlineStr">
        <is>
          <t>NORRBOTTENS LÄN</t>
        </is>
      </c>
      <c r="G382" t="inlineStr">
        <is>
          <t>BODEN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45771</v>
      </c>
      <c r="E383" s="1" t="n">
        <v>46286</v>
      </c>
      <c r="F383" t="inlineStr">
        <is>
          <t>NORRBOTTENS LÄN</t>
        </is>
      </c>
      <c r="G383" t="inlineStr">
        <is>
          <t>BODEN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46454-2025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45925</v>
      </c>
      <c r="E384" s="1" t="n">
        <v>46286</v>
      </c>
      <c r="F384" t="inlineStr">
        <is>
          <t>NORRBOTTENS LÄN</t>
        </is>
      </c>
      <c r="G384" t="inlineStr">
        <is>
          <t>BODEN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46286</v>
      </c>
      <c r="F385" t="inlineStr">
        <is>
          <t>NORRBOTTENS LÄN</t>
        </is>
      </c>
      <c r="G385" t="inlineStr">
        <is>
          <t>BODEN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46286</v>
      </c>
      <c r="F386" t="inlineStr">
        <is>
          <t>NORRBOTTENS LÄN</t>
        </is>
      </c>
      <c r="G386" t="inlineStr">
        <is>
          <t>BODEN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46286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46286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46286</v>
      </c>
      <c r="F389" t="inlineStr">
        <is>
          <t>NORRBOTTENS LÄN</t>
        </is>
      </c>
      <c r="G389" t="inlineStr">
        <is>
          <t>BODEN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45969-2025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45924</v>
      </c>
      <c r="E390" s="1" t="n">
        <v>46286</v>
      </c>
      <c r="F390" t="inlineStr">
        <is>
          <t>NORRBOTTENS LÄN</t>
        </is>
      </c>
      <c r="G390" t="inlineStr">
        <is>
          <t>BODEN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46286</v>
      </c>
      <c r="F391" t="inlineStr">
        <is>
          <t>NORRBOTTENS LÄN</t>
        </is>
      </c>
      <c r="G391" t="inlineStr">
        <is>
          <t>BODEN</t>
        </is>
      </c>
      <c r="H391" t="inlineStr">
        <is>
          <t>Övriga Aktiebolag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46770-2025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45926</v>
      </c>
      <c r="E392" s="1" t="n">
        <v>46286</v>
      </c>
      <c r="F392" t="inlineStr">
        <is>
          <t>NORRBOTTENS LÄN</t>
        </is>
      </c>
      <c r="G392" t="inlineStr">
        <is>
          <t>BODEN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46286</v>
      </c>
      <c r="F393" t="inlineStr">
        <is>
          <t>NORRBOTTENS LÄN</t>
        </is>
      </c>
      <c r="G393" t="inlineStr">
        <is>
          <t>BODEN</t>
        </is>
      </c>
      <c r="I393" t="n">
        <v>6.4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45587</v>
      </c>
      <c r="E394" s="1" t="n">
        <v>46286</v>
      </c>
      <c r="F394" t="inlineStr">
        <is>
          <t>NORRBOTTENS LÄN</t>
        </is>
      </c>
      <c r="G394" t="inlineStr">
        <is>
          <t>BODEN</t>
        </is>
      </c>
      <c r="I394" t="n">
        <v>17.2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46286</v>
      </c>
      <c r="F395" t="inlineStr">
        <is>
          <t>NORRBOTTENS LÄN</t>
        </is>
      </c>
      <c r="G395" t="inlineStr">
        <is>
          <t>BODEN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45931</v>
      </c>
      <c r="E396" s="1" t="n">
        <v>46286</v>
      </c>
      <c r="F396" t="inlineStr">
        <is>
          <t>NORRBOTTENS LÄN</t>
        </is>
      </c>
      <c r="G396" t="inlineStr">
        <is>
          <t>BODEN</t>
        </is>
      </c>
      <c r="H396" t="inlineStr">
        <is>
          <t>Övriga Aktiebolag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46286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46286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46286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13714-2022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44648</v>
      </c>
      <c r="E400" s="1" t="n">
        <v>46286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48091-2025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45933</v>
      </c>
      <c r="E401" s="1" t="n">
        <v>46286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45906</v>
      </c>
      <c r="E402" s="1" t="n">
        <v>46286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467-2022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44565</v>
      </c>
      <c r="E403" s="1" t="n">
        <v>46286</v>
      </c>
      <c r="F403" t="inlineStr">
        <is>
          <t>NORRBOTTENS LÄN</t>
        </is>
      </c>
      <c r="G403" t="inlineStr">
        <is>
          <t>BODEN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45933</v>
      </c>
      <c r="E404" s="1" t="n">
        <v>46286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45933</v>
      </c>
      <c r="E405" s="1" t="n">
        <v>46286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46286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46286</v>
      </c>
      <c r="F407" t="inlineStr">
        <is>
          <t>NORRBOTTENS LÄN</t>
        </is>
      </c>
      <c r="G407" t="inlineStr">
        <is>
          <t>BODEN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21279-2026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46147</v>
      </c>
      <c r="E408" s="1" t="n">
        <v>46286</v>
      </c>
      <c r="F408" t="inlineStr">
        <is>
          <t>NORRBOTTENS LÄN</t>
        </is>
      </c>
      <c r="G408" t="inlineStr">
        <is>
          <t>BODEN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40115-2025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45893</v>
      </c>
      <c r="E409" s="1" t="n">
        <v>46286</v>
      </c>
      <c r="F409" t="inlineStr">
        <is>
          <t>NORRBOTTENS LÄN</t>
        </is>
      </c>
      <c r="G409" t="inlineStr">
        <is>
          <t>BODEN</t>
        </is>
      </c>
      <c r="H409" t="inlineStr">
        <is>
          <t>Övriga statliga verk och myndigheter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46286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46286</v>
      </c>
      <c r="F411" t="inlineStr">
        <is>
          <t>NORRBOTTENS LÄN</t>
        </is>
      </c>
      <c r="G411" t="inlineStr">
        <is>
          <t>BODEN</t>
        </is>
      </c>
      <c r="I411" t="n">
        <v>10.2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45574</v>
      </c>
      <c r="E412" s="1" t="n">
        <v>46286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46286</v>
      </c>
      <c r="F413" t="inlineStr">
        <is>
          <t>NORRBOTTENS LÄN</t>
        </is>
      </c>
      <c r="G413" t="inlineStr">
        <is>
          <t>BODEN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46286</v>
      </c>
      <c r="F414" t="inlineStr">
        <is>
          <t>NORRBOTTENS LÄN</t>
        </is>
      </c>
      <c r="G414" t="inlineStr">
        <is>
          <t>BODEN</t>
        </is>
      </c>
      <c r="H414" t="inlineStr">
        <is>
          <t>Övriga statliga verk och myndigheter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49215-2025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46286</v>
      </c>
      <c r="F415" t="inlineStr">
        <is>
          <t>NORRBOTTENS LÄN</t>
        </is>
      </c>
      <c r="G415" t="inlineStr">
        <is>
          <t>BODEN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46286</v>
      </c>
      <c r="F416" t="inlineStr">
        <is>
          <t>NORRBOTTENS LÄN</t>
        </is>
      </c>
      <c r="G416" t="inlineStr">
        <is>
          <t>BODEN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46286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45939</v>
      </c>
      <c r="E418" s="1" t="n">
        <v>46286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45750</v>
      </c>
      <c r="E419" s="1" t="n">
        <v>46286</v>
      </c>
      <c r="F419" t="inlineStr">
        <is>
          <t>NORRBOTTENS LÄN</t>
        </is>
      </c>
      <c r="G419" t="inlineStr">
        <is>
          <t>BODEN</t>
        </is>
      </c>
      <c r="H419" t="inlineStr">
        <is>
          <t>Övriga Aktiebolag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46286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46286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46286</v>
      </c>
      <c r="F422" t="inlineStr">
        <is>
          <t>NORRBOTTENS LÄN</t>
        </is>
      </c>
      <c r="G422" t="inlineStr">
        <is>
          <t>BODEN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46286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50479-2025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46286</v>
      </c>
      <c r="F424" t="inlineStr">
        <is>
          <t>NORRBOTTENS LÄN</t>
        </is>
      </c>
      <c r="G424" t="inlineStr">
        <is>
          <t>BODEN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46286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45944</v>
      </c>
      <c r="E426" s="1" t="n">
        <v>46286</v>
      </c>
      <c r="F426" t="inlineStr">
        <is>
          <t>NORRBOTTENS LÄN</t>
        </is>
      </c>
      <c r="G426" t="inlineStr">
        <is>
          <t>BODEN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46286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46286</v>
      </c>
      <c r="F428" t="inlineStr">
        <is>
          <t>NORRBOTTENS LÄN</t>
        </is>
      </c>
      <c r="G428" t="inlineStr">
        <is>
          <t>BODEN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45945</v>
      </c>
      <c r="E429" s="1" t="n">
        <v>46286</v>
      </c>
      <c r="F429" t="inlineStr">
        <is>
          <t>NORRBOTTENS LÄN</t>
        </is>
      </c>
      <c r="G429" t="inlineStr">
        <is>
          <t>BODEN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46286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46286</v>
      </c>
      <c r="F431" t="inlineStr">
        <is>
          <t>NORRBOTTENS LÄN</t>
        </is>
      </c>
      <c r="G431" t="inlineStr">
        <is>
          <t>BODEN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46286</v>
      </c>
      <c r="F432" t="inlineStr">
        <is>
          <t>NORRBOTTENS LÄN</t>
        </is>
      </c>
      <c r="G432" t="inlineStr">
        <is>
          <t>BODEN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46286</v>
      </c>
      <c r="F433" t="inlineStr">
        <is>
          <t>NORRBOTTENS LÄN</t>
        </is>
      </c>
      <c r="G433" t="inlineStr">
        <is>
          <t>BODEN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46286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46286</v>
      </c>
      <c r="F435" t="inlineStr">
        <is>
          <t>NORRBOTTENS LÄN</t>
        </is>
      </c>
      <c r="G435" t="inlineStr">
        <is>
          <t>BODEN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22264-2026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46150</v>
      </c>
      <c r="E436" s="1" t="n">
        <v>46286</v>
      </c>
      <c r="F436" t="inlineStr">
        <is>
          <t>NORRBOTTENS LÄN</t>
        </is>
      </c>
      <c r="G436" t="inlineStr">
        <is>
          <t>BODEN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46286</v>
      </c>
      <c r="F437" t="inlineStr">
        <is>
          <t>NORRBOTTENS LÄN</t>
        </is>
      </c>
      <c r="G437" t="inlineStr">
        <is>
          <t>BODEN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22259-2026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46150</v>
      </c>
      <c r="E438" s="1" t="n">
        <v>46286</v>
      </c>
      <c r="F438" t="inlineStr">
        <is>
          <t>NORRBOTTENS LÄN</t>
        </is>
      </c>
      <c r="G438" t="inlineStr">
        <is>
          <t>BODEN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44490</v>
      </c>
      <c r="E439" s="1" t="n">
        <v>46286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46286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45953</v>
      </c>
      <c r="E441" s="1" t="n">
        <v>46286</v>
      </c>
      <c r="F441" t="inlineStr">
        <is>
          <t>NORRBOTTENS LÄN</t>
        </is>
      </c>
      <c r="G441" t="inlineStr">
        <is>
          <t>BODEN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45953</v>
      </c>
      <c r="E442" s="1" t="n">
        <v>46286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46286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46286</v>
      </c>
      <c r="F444" t="inlineStr">
        <is>
          <t>NORRBOTTENS LÄN</t>
        </is>
      </c>
      <c r="G444" t="inlineStr">
        <is>
          <t>BODEN</t>
        </is>
      </c>
      <c r="I444" t="n">
        <v>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45770</v>
      </c>
      <c r="E445" s="1" t="n">
        <v>46286</v>
      </c>
      <c r="F445" t="inlineStr">
        <is>
          <t>NORRBOTTENS LÄN</t>
        </is>
      </c>
      <c r="G445" t="inlineStr">
        <is>
          <t>BODEN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45672</v>
      </c>
      <c r="E446" s="1" t="n">
        <v>46286</v>
      </c>
      <c r="F446" t="inlineStr">
        <is>
          <t>NORRBOTTENS LÄN</t>
        </is>
      </c>
      <c r="G446" t="inlineStr">
        <is>
          <t>BODEN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51525-2025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45950</v>
      </c>
      <c r="E447" s="1" t="n">
        <v>46286</v>
      </c>
      <c r="F447" t="inlineStr">
        <is>
          <t>NORRBOTTENS LÄN</t>
        </is>
      </c>
      <c r="G447" t="inlineStr">
        <is>
          <t>BODEN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45955</v>
      </c>
      <c r="E448" s="1" t="n">
        <v>46286</v>
      </c>
      <c r="F448" t="inlineStr">
        <is>
          <t>NORRBOTTENS LÄN</t>
        </is>
      </c>
      <c r="G448" t="inlineStr">
        <is>
          <t>BODEN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45955</v>
      </c>
      <c r="E449" s="1" t="n">
        <v>46286</v>
      </c>
      <c r="F449" t="inlineStr">
        <is>
          <t>NORRBOTTENS LÄN</t>
        </is>
      </c>
      <c r="G449" t="inlineStr">
        <is>
          <t>BODEN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46286</v>
      </c>
      <c r="F450" t="inlineStr">
        <is>
          <t>NORRBOTTENS LÄN</t>
        </is>
      </c>
      <c r="G450" t="inlineStr">
        <is>
          <t>BODEN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45590</v>
      </c>
      <c r="E451" s="1" t="n">
        <v>46286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45591</v>
      </c>
      <c r="E452" s="1" t="n">
        <v>46286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48472-2024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45591</v>
      </c>
      <c r="E453" s="1" t="n">
        <v>46286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53623-2025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45960</v>
      </c>
      <c r="E454" s="1" t="n">
        <v>46286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18569-2024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46286</v>
      </c>
      <c r="F455" t="inlineStr">
        <is>
          <t>NORRBOTTENS LÄN</t>
        </is>
      </c>
      <c r="G455" t="inlineStr">
        <is>
          <t>BODEN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45408</v>
      </c>
      <c r="E456" s="1" t="n">
        <v>46286</v>
      </c>
      <c r="F456" t="inlineStr">
        <is>
          <t>NORRBOTTENS LÄN</t>
        </is>
      </c>
      <c r="G456" t="inlineStr">
        <is>
          <t>BODEN</t>
        </is>
      </c>
      <c r="I456" t="n">
        <v>14.9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53893-2025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45961</v>
      </c>
      <c r="E457" s="1" t="n">
        <v>46286</v>
      </c>
      <c r="F457" t="inlineStr">
        <is>
          <t>NORRBOTTENS LÄN</t>
        </is>
      </c>
      <c r="G457" t="inlineStr">
        <is>
          <t>BODEN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54416-2025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46286</v>
      </c>
      <c r="F458" t="inlineStr">
        <is>
          <t>NORRBOTTENS LÄN</t>
        </is>
      </c>
      <c r="G458" t="inlineStr">
        <is>
          <t>BODEN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46286</v>
      </c>
      <c r="F459" t="inlineStr">
        <is>
          <t>NORRBOTTENS LÄN</t>
        </is>
      </c>
      <c r="G459" t="inlineStr">
        <is>
          <t>BODEN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46286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44657</v>
      </c>
      <c r="E461" s="1" t="n">
        <v>46286</v>
      </c>
      <c r="F461" t="inlineStr">
        <is>
          <t>NORRBOTTENS LÄN</t>
        </is>
      </c>
      <c r="G461" t="inlineStr">
        <is>
          <t>BODEN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46286</v>
      </c>
      <c r="F462" t="inlineStr">
        <is>
          <t>NORRBOTTENS LÄN</t>
        </is>
      </c>
      <c r="G462" t="inlineStr">
        <is>
          <t>BODEN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46286</v>
      </c>
      <c r="F463" t="inlineStr">
        <is>
          <t>NORRBOTTENS LÄN</t>
        </is>
      </c>
      <c r="G463" t="inlineStr">
        <is>
          <t>BODEN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46286</v>
      </c>
      <c r="F464" t="inlineStr">
        <is>
          <t>NORRBOTTENS LÄN</t>
        </is>
      </c>
      <c r="G464" t="inlineStr">
        <is>
          <t>BODEN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45964</v>
      </c>
      <c r="E465" s="1" t="n">
        <v>46286</v>
      </c>
      <c r="F465" t="inlineStr">
        <is>
          <t>NORRBOTTENS LÄN</t>
        </is>
      </c>
      <c r="G465" t="inlineStr">
        <is>
          <t>BODEN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46286</v>
      </c>
      <c r="F466" t="inlineStr">
        <is>
          <t>NORRBOTTENS LÄN</t>
        </is>
      </c>
      <c r="G466" t="inlineStr">
        <is>
          <t>BODEN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46286</v>
      </c>
      <c r="F467" t="inlineStr">
        <is>
          <t>NORRBOTTENS LÄN</t>
        </is>
      </c>
      <c r="G467" t="inlineStr">
        <is>
          <t>BODEN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45639</v>
      </c>
      <c r="E468" s="1" t="n">
        <v>46286</v>
      </c>
      <c r="F468" t="inlineStr">
        <is>
          <t>NORRBOTTENS LÄN</t>
        </is>
      </c>
      <c r="G468" t="inlineStr">
        <is>
          <t>BODEN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46564-2022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44847</v>
      </c>
      <c r="E469" s="1" t="n">
        <v>46286</v>
      </c>
      <c r="F469" t="inlineStr">
        <is>
          <t>NORRBOTTENS LÄN</t>
        </is>
      </c>
      <c r="G469" t="inlineStr">
        <is>
          <t>BODEN</t>
        </is>
      </c>
      <c r="I469" t="n">
        <v>28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46286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49162-2023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45210</v>
      </c>
      <c r="E471" s="1" t="n">
        <v>46286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46286</v>
      </c>
      <c r="F472" t="inlineStr">
        <is>
          <t>NORRBOTTENS LÄN</t>
        </is>
      </c>
      <c r="G472" t="inlineStr">
        <is>
          <t>BODEN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46286</v>
      </c>
      <c r="F473" t="inlineStr">
        <is>
          <t>NORRBOTTENS LÄN</t>
        </is>
      </c>
      <c r="G473" t="inlineStr">
        <is>
          <t>BODEN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44573</v>
      </c>
      <c r="E474" s="1" t="n">
        <v>46286</v>
      </c>
      <c r="F474" t="inlineStr">
        <is>
          <t>NORRBOTTENS LÄN</t>
        </is>
      </c>
      <c r="G474" t="inlineStr">
        <is>
          <t>BODEN</t>
        </is>
      </c>
      <c r="H474" t="inlineStr">
        <is>
          <t>Övriga statliga verk och myndigheter</t>
        </is>
      </c>
      <c r="I474" t="n">
        <v>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48950-2022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44859</v>
      </c>
      <c r="E475" s="1" t="n">
        <v>46286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45972</v>
      </c>
      <c r="E476" s="1" t="n">
        <v>46286</v>
      </c>
      <c r="F476" t="inlineStr">
        <is>
          <t>NORRBOTTENS LÄN</t>
        </is>
      </c>
      <c r="G476" t="inlineStr">
        <is>
          <t>BODEN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45544</v>
      </c>
      <c r="E477" s="1" t="n">
        <v>46286</v>
      </c>
      <c r="F477" t="inlineStr">
        <is>
          <t>NORRBOTTENS LÄN</t>
        </is>
      </c>
      <c r="G477" t="inlineStr">
        <is>
          <t>BODEN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46286</v>
      </c>
      <c r="F478" t="inlineStr">
        <is>
          <t>NORRBOTTENS LÄN</t>
        </is>
      </c>
      <c r="G478" t="inlineStr">
        <is>
          <t>BODEN</t>
        </is>
      </c>
      <c r="I478" t="n">
        <v>17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46286</v>
      </c>
      <c r="F479" t="inlineStr">
        <is>
          <t>NORRBOTTENS LÄN</t>
        </is>
      </c>
      <c r="G479" t="inlineStr">
        <is>
          <t>BODEN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46286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46286</v>
      </c>
      <c r="F481" t="inlineStr">
        <is>
          <t>NORRBOTTENS LÄN</t>
        </is>
      </c>
      <c r="G481" t="inlineStr">
        <is>
          <t>BODEN</t>
        </is>
      </c>
      <c r="H481" t="inlineStr">
        <is>
          <t>Naturvårdsverket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19068-2024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45427</v>
      </c>
      <c r="E482" s="1" t="n">
        <v>46286</v>
      </c>
      <c r="F482" t="inlineStr">
        <is>
          <t>NORRBOTTENS LÄN</t>
        </is>
      </c>
      <c r="G482" t="inlineStr">
        <is>
          <t>BODEN</t>
        </is>
      </c>
      <c r="I482" t="n">
        <v>22.1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46286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46286</v>
      </c>
      <c r="F484" t="inlineStr">
        <is>
          <t>NORRBOTTENS LÄN</t>
        </is>
      </c>
      <c r="G484" t="inlineStr">
        <is>
          <t>BODEN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56947-2025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46286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10.4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21329-2024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45440</v>
      </c>
      <c r="E486" s="1" t="n">
        <v>46286</v>
      </c>
      <c r="F486" t="inlineStr">
        <is>
          <t>NORRBOTTENS LÄN</t>
        </is>
      </c>
      <c r="G486" t="inlineStr">
        <is>
          <t>BODEN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44963</v>
      </c>
      <c r="E487" s="1" t="n">
        <v>46286</v>
      </c>
      <c r="F487" t="inlineStr">
        <is>
          <t>NORRBOTTENS LÄN</t>
        </is>
      </c>
      <c r="G487" t="inlineStr">
        <is>
          <t>BODEN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46286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46286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45505</v>
      </c>
      <c r="E490" s="1" t="n">
        <v>46286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44979</v>
      </c>
      <c r="E491" s="1" t="n">
        <v>46286</v>
      </c>
      <c r="F491" t="inlineStr">
        <is>
          <t>NORRBOTTENS LÄN</t>
        </is>
      </c>
      <c r="G491" t="inlineStr">
        <is>
          <t>BODEN</t>
        </is>
      </c>
      <c r="H491" t="inlineStr">
        <is>
          <t>Övriga statliga verk och myndigheter</t>
        </is>
      </c>
      <c r="I491" t="n">
        <v>18.8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45984</v>
      </c>
      <c r="E492" s="1" t="n">
        <v>46286</v>
      </c>
      <c r="F492" t="inlineStr">
        <is>
          <t>NORRBOTTENS LÄN</t>
        </is>
      </c>
      <c r="G492" t="inlineStr">
        <is>
          <t>BODEN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46286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46286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46286</v>
      </c>
      <c r="F495" t="inlineStr">
        <is>
          <t>NORRBOTTENS LÄN</t>
        </is>
      </c>
      <c r="G495" t="inlineStr">
        <is>
          <t>BODEN</t>
        </is>
      </c>
      <c r="H495" t="inlineStr">
        <is>
          <t>Övriga Aktiebolag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45818</v>
      </c>
      <c r="E496" s="1" t="n">
        <v>46286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45744</v>
      </c>
      <c r="E497" s="1" t="n">
        <v>46286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46286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46286</v>
      </c>
      <c r="F499" t="inlineStr">
        <is>
          <t>NORRBOTTENS LÄN</t>
        </is>
      </c>
      <c r="G499" t="inlineStr">
        <is>
          <t>BODEN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45988</v>
      </c>
      <c r="E500" s="1" t="n">
        <v>46286</v>
      </c>
      <c r="F500" t="inlineStr">
        <is>
          <t>NORRBOTTENS LÄN</t>
        </is>
      </c>
      <c r="G500" t="inlineStr">
        <is>
          <t>BODEN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46286</v>
      </c>
      <c r="F501" t="inlineStr">
        <is>
          <t>NORRBOTTENS LÄN</t>
        </is>
      </c>
      <c r="G501" t="inlineStr">
        <is>
          <t>BODEN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46286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46286</v>
      </c>
      <c r="F503" t="inlineStr">
        <is>
          <t>NORRBOTTENS LÄN</t>
        </is>
      </c>
      <c r="G503" t="inlineStr">
        <is>
          <t>BODEN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68591-2021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44529</v>
      </c>
      <c r="E504" s="1" t="n">
        <v>46286</v>
      </c>
      <c r="F504" t="inlineStr">
        <is>
          <t>NORRBOTTENS LÄN</t>
        </is>
      </c>
      <c r="G504" t="inlineStr">
        <is>
          <t>BODEN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44567-2024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45574</v>
      </c>
      <c r="E505" s="1" t="n">
        <v>46286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46286</v>
      </c>
      <c r="F506" t="inlineStr">
        <is>
          <t>NORRBOTTENS LÄN</t>
        </is>
      </c>
      <c r="G506" t="inlineStr">
        <is>
          <t>BODEN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45764</v>
      </c>
      <c r="E507" s="1" t="n">
        <v>46286</v>
      </c>
      <c r="F507" t="inlineStr">
        <is>
          <t>NORRBOTTENS LÄN</t>
        </is>
      </c>
      <c r="G507" t="inlineStr">
        <is>
          <t>BODEN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45014</v>
      </c>
      <c r="E508" s="1" t="n">
        <v>46286</v>
      </c>
      <c r="F508" t="inlineStr">
        <is>
          <t>NORRBOTTENS LÄN</t>
        </is>
      </c>
      <c r="G508" t="inlineStr">
        <is>
          <t>BODEN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46286</v>
      </c>
      <c r="F509" t="inlineStr">
        <is>
          <t>NORRBOTTENS LÄN</t>
        </is>
      </c>
      <c r="G509" t="inlineStr">
        <is>
          <t>BODEN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46286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46286</v>
      </c>
      <c r="F511" t="inlineStr">
        <is>
          <t>NORRBOTTENS LÄN</t>
        </is>
      </c>
      <c r="G511" t="inlineStr">
        <is>
          <t>BODEN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46286</v>
      </c>
      <c r="F512" t="inlineStr">
        <is>
          <t>NORRBOTTENS LÄN</t>
        </is>
      </c>
      <c r="G512" t="inlineStr">
        <is>
          <t>BODEN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46286</v>
      </c>
      <c r="F513" t="inlineStr">
        <is>
          <t>NORRBOTTENS LÄN</t>
        </is>
      </c>
      <c r="G513" t="inlineStr">
        <is>
          <t>BODEN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46286</v>
      </c>
      <c r="F514" t="inlineStr">
        <is>
          <t>NORRBOTTENS LÄN</t>
        </is>
      </c>
      <c r="G514" t="inlineStr">
        <is>
          <t>BODEN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46286</v>
      </c>
      <c r="F515" t="inlineStr">
        <is>
          <t>NORRBOTTENS LÄN</t>
        </is>
      </c>
      <c r="G515" t="inlineStr">
        <is>
          <t>BODEN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46286</v>
      </c>
      <c r="F516" t="inlineStr">
        <is>
          <t>NORRBOTTENS LÄN</t>
        </is>
      </c>
      <c r="G516" t="inlineStr">
        <is>
          <t>BODEN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46286</v>
      </c>
      <c r="F517" t="inlineStr">
        <is>
          <t>NORRBOTTENS LÄN</t>
        </is>
      </c>
      <c r="G517" t="inlineStr">
        <is>
          <t>BODEN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46286</v>
      </c>
      <c r="F518" t="inlineStr">
        <is>
          <t>NORRBOTTENS LÄN</t>
        </is>
      </c>
      <c r="G518" t="inlineStr">
        <is>
          <t>BODEN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46286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44964</v>
      </c>
      <c r="E520" s="1" t="n">
        <v>46286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45674</v>
      </c>
      <c r="E521" s="1" t="n">
        <v>46286</v>
      </c>
      <c r="F521" t="inlineStr">
        <is>
          <t>NORRBOTTENS LÄN</t>
        </is>
      </c>
      <c r="G521" t="inlineStr">
        <is>
          <t>BODEN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46286</v>
      </c>
      <c r="F522" t="inlineStr">
        <is>
          <t>NORRBOTTENS LÄN</t>
        </is>
      </c>
      <c r="G522" t="inlineStr">
        <is>
          <t>BODEN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45770</v>
      </c>
      <c r="E523" s="1" t="n">
        <v>46286</v>
      </c>
      <c r="F523" t="inlineStr">
        <is>
          <t>NORRBOTTENS LÄN</t>
        </is>
      </c>
      <c r="G523" t="inlineStr">
        <is>
          <t>BODEN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59893-2023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45254</v>
      </c>
      <c r="E524" s="1" t="n">
        <v>46286</v>
      </c>
      <c r="F524" t="inlineStr">
        <is>
          <t>NORRBOTTENS LÄN</t>
        </is>
      </c>
      <c r="G524" t="inlineStr">
        <is>
          <t>BODEN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46286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46286</v>
      </c>
      <c r="F526" t="inlineStr">
        <is>
          <t>NORRBOTTENS LÄN</t>
        </is>
      </c>
      <c r="G526" t="inlineStr">
        <is>
          <t>BODEN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40157-2025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45894</v>
      </c>
      <c r="E527" s="1" t="n">
        <v>46286</v>
      </c>
      <c r="F527" t="inlineStr">
        <is>
          <t>NORRBOTTENS LÄN</t>
        </is>
      </c>
      <c r="G527" t="inlineStr">
        <is>
          <t>BODEN</t>
        </is>
      </c>
      <c r="H527" t="inlineStr">
        <is>
          <t>Övriga statliga verk och myndigheter</t>
        </is>
      </c>
      <c r="I527" t="n">
        <v>17.6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61384-2025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46001</v>
      </c>
      <c r="E528" s="1" t="n">
        <v>46286</v>
      </c>
      <c r="F528" t="inlineStr">
        <is>
          <t>NORRBOTTENS LÄN</t>
        </is>
      </c>
      <c r="G528" t="inlineStr">
        <is>
          <t>BODEN</t>
        </is>
      </c>
      <c r="I528" t="n">
        <v>17.1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35040-2022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44796</v>
      </c>
      <c r="E529" s="1" t="n">
        <v>46286</v>
      </c>
      <c r="F529" t="inlineStr">
        <is>
          <t>NORRBOTTENS LÄN</t>
        </is>
      </c>
      <c r="G529" t="inlineStr">
        <is>
          <t>BODEN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46001</v>
      </c>
      <c r="E530" s="1" t="n">
        <v>46286</v>
      </c>
      <c r="F530" t="inlineStr">
        <is>
          <t>NORRBOTTENS LÄN</t>
        </is>
      </c>
      <c r="G530" t="inlineStr">
        <is>
          <t>BODEN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46286</v>
      </c>
      <c r="F531" t="inlineStr">
        <is>
          <t>NORRBOTTENS LÄN</t>
        </is>
      </c>
      <c r="G531" t="inlineStr">
        <is>
          <t>BODEN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23790-2026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46164</v>
      </c>
      <c r="E532" s="1" t="n">
        <v>46286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46286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46286</v>
      </c>
      <c r="F534" t="inlineStr">
        <is>
          <t>NORRBOTTENS LÄN</t>
        </is>
      </c>
      <c r="G534" t="inlineStr">
        <is>
          <t>BODEN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46286</v>
      </c>
      <c r="F535" t="inlineStr">
        <is>
          <t>NORRBOTTENS LÄN</t>
        </is>
      </c>
      <c r="G535" t="inlineStr">
        <is>
          <t>BODEN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23788-2026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46286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45694</v>
      </c>
      <c r="E537" s="1" t="n">
        <v>46286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46286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46286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46286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46008</v>
      </c>
      <c r="E541" s="1" t="n">
        <v>46286</v>
      </c>
      <c r="F541" t="inlineStr">
        <is>
          <t>NORRBOTTENS LÄN</t>
        </is>
      </c>
      <c r="G541" t="inlineStr">
        <is>
          <t>BODEN</t>
        </is>
      </c>
      <c r="I541" t="n">
        <v>10.1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46286</v>
      </c>
      <c r="F542" t="inlineStr">
        <is>
          <t>NORRBOTTENS LÄN</t>
        </is>
      </c>
      <c r="G542" t="inlineStr">
        <is>
          <t>BODEN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45523</v>
      </c>
      <c r="E543" s="1" t="n">
        <v>46286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46286</v>
      </c>
      <c r="F544" t="inlineStr">
        <is>
          <t>NORRBOTTENS LÄN</t>
        </is>
      </c>
      <c r="G544" t="inlineStr">
        <is>
          <t>BODEN</t>
        </is>
      </c>
      <c r="I544" t="n">
        <v>16.1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45054</v>
      </c>
      <c r="E545" s="1" t="n">
        <v>46286</v>
      </c>
      <c r="F545" t="inlineStr">
        <is>
          <t>NORRBOTTENS LÄN</t>
        </is>
      </c>
      <c r="G545" t="inlineStr">
        <is>
          <t>BODEN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21335-2024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46286</v>
      </c>
      <c r="F546" t="inlineStr">
        <is>
          <t>NORRBOTTENS LÄN</t>
        </is>
      </c>
      <c r="G546" t="inlineStr">
        <is>
          <t>BODEN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46286</v>
      </c>
      <c r="F547" t="inlineStr">
        <is>
          <t>NORRBOTTENS LÄN</t>
        </is>
      </c>
      <c r="G547" t="inlineStr">
        <is>
          <t>BODEN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25916-2023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45085</v>
      </c>
      <c r="E548" s="1" t="n">
        <v>46286</v>
      </c>
      <c r="F548" t="inlineStr">
        <is>
          <t>NORRBOTTENS LÄN</t>
        </is>
      </c>
      <c r="G548" t="inlineStr">
        <is>
          <t>BODEN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46286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statliga verk och myndigheter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63399-2025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46012</v>
      </c>
      <c r="E550" s="1" t="n">
        <v>46286</v>
      </c>
      <c r="F550" t="inlineStr">
        <is>
          <t>NORRBOTTENS LÄN</t>
        </is>
      </c>
      <c r="G550" t="inlineStr">
        <is>
          <t>BODEN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46012</v>
      </c>
      <c r="E551" s="1" t="n">
        <v>46286</v>
      </c>
      <c r="F551" t="inlineStr">
        <is>
          <t>NORRBOTTENS LÄN</t>
        </is>
      </c>
      <c r="G551" t="inlineStr">
        <is>
          <t>BODEN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46012</v>
      </c>
      <c r="E552" s="1" t="n">
        <v>46286</v>
      </c>
      <c r="F552" t="inlineStr">
        <is>
          <t>NORRBOTTENS LÄN</t>
        </is>
      </c>
      <c r="G552" t="inlineStr">
        <is>
          <t>BODEN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46286</v>
      </c>
      <c r="F553" t="inlineStr">
        <is>
          <t>NORRBOTTENS LÄN</t>
        </is>
      </c>
      <c r="G553" t="inlineStr">
        <is>
          <t>BODEN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46286</v>
      </c>
      <c r="F554" t="inlineStr">
        <is>
          <t>NORRBOTTENS LÄN</t>
        </is>
      </c>
      <c r="G554" t="inlineStr">
        <is>
          <t>BODEN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64649-2023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45281</v>
      </c>
      <c r="E555" s="1" t="n">
        <v>46286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46286</v>
      </c>
      <c r="F556" t="inlineStr">
        <is>
          <t>NORRBOTTENS LÄN</t>
        </is>
      </c>
      <c r="G556" t="inlineStr">
        <is>
          <t>BODEN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46286</v>
      </c>
      <c r="F557" t="inlineStr">
        <is>
          <t>NORRBOTTENS LÄN</t>
        </is>
      </c>
      <c r="G557" t="inlineStr">
        <is>
          <t>BODEN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46286</v>
      </c>
      <c r="F558" t="inlineStr">
        <is>
          <t>NORRBOTTENS LÄN</t>
        </is>
      </c>
      <c r="G558" t="inlineStr">
        <is>
          <t>BODEN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46286</v>
      </c>
      <c r="F559" t="inlineStr">
        <is>
          <t>NORRBOTTENS LÄN</t>
        </is>
      </c>
      <c r="G559" t="inlineStr">
        <is>
          <t>BODEN</t>
        </is>
      </c>
      <c r="I559" t="n">
        <v>16.1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46286</v>
      </c>
      <c r="F560" t="inlineStr">
        <is>
          <t>NORRBOTTENS LÄN</t>
        </is>
      </c>
      <c r="G560" t="inlineStr">
        <is>
          <t>BODEN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46286</v>
      </c>
      <c r="F561" t="inlineStr">
        <is>
          <t>NORRBOTTENS LÄN</t>
        </is>
      </c>
      <c r="G561" t="inlineStr">
        <is>
          <t>BODEN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46286</v>
      </c>
      <c r="F562" t="inlineStr">
        <is>
          <t>NORRBOTTENS LÄN</t>
        </is>
      </c>
      <c r="G562" t="inlineStr">
        <is>
          <t>BODEN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49127-2023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45210</v>
      </c>
      <c r="E563" s="1" t="n">
        <v>46286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46286</v>
      </c>
      <c r="F564" t="inlineStr">
        <is>
          <t>NORRBOTTENS LÄN</t>
        </is>
      </c>
      <c r="G564" t="inlineStr">
        <is>
          <t>BODEN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46286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31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46286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46286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67438-2021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44524</v>
      </c>
      <c r="E568" s="1" t="n">
        <v>46286</v>
      </c>
      <c r="F568" t="inlineStr">
        <is>
          <t>NORRBOTTENS LÄN</t>
        </is>
      </c>
      <c r="G568" t="inlineStr">
        <is>
          <t>BODEN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46172</v>
      </c>
      <c r="E569" s="1" t="n">
        <v>46286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63841-2025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46020</v>
      </c>
      <c r="E570" s="1" t="n">
        <v>46286</v>
      </c>
      <c r="F570" t="inlineStr">
        <is>
          <t>NORRBOTTENS LÄN</t>
        </is>
      </c>
      <c r="G570" t="inlineStr">
        <is>
          <t>BODEN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49859-2023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46286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46171</v>
      </c>
      <c r="E572" s="1" t="n">
        <v>46286</v>
      </c>
      <c r="F572" t="inlineStr">
        <is>
          <t>NORRBOTTENS LÄN</t>
        </is>
      </c>
      <c r="G572" t="inlineStr">
        <is>
          <t>BODEN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44706</v>
      </c>
      <c r="E573" s="1" t="n">
        <v>46286</v>
      </c>
      <c r="F573" t="inlineStr">
        <is>
          <t>NORRBOTTENS LÄN</t>
        </is>
      </c>
      <c r="G573" t="inlineStr">
        <is>
          <t>BODEN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44747</v>
      </c>
      <c r="E574" s="1" t="n">
        <v>46286</v>
      </c>
      <c r="F574" t="inlineStr">
        <is>
          <t>NORRBOTTENS LÄN</t>
        </is>
      </c>
      <c r="G574" t="inlineStr">
        <is>
          <t>BODEN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46286</v>
      </c>
      <c r="F575" t="inlineStr">
        <is>
          <t>NORRBOTTENS LÄN</t>
        </is>
      </c>
      <c r="G575" t="inlineStr">
        <is>
          <t>BODEN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44673</v>
      </c>
      <c r="E576" s="1" t="n">
        <v>46286</v>
      </c>
      <c r="F576" t="inlineStr">
        <is>
          <t>NORRBOTTENS LÄN</t>
        </is>
      </c>
      <c r="G576" t="inlineStr">
        <is>
          <t>BODEN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45548</v>
      </c>
      <c r="E577" s="1" t="n">
        <v>46286</v>
      </c>
      <c r="F577" t="inlineStr">
        <is>
          <t>NORRBOTTENS LÄN</t>
        </is>
      </c>
      <c r="G577" t="inlineStr">
        <is>
          <t>BODEN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46042</v>
      </c>
      <c r="E578" s="1" t="n">
        <v>46286</v>
      </c>
      <c r="F578" t="inlineStr">
        <is>
          <t>NORRBOTTENS LÄN</t>
        </is>
      </c>
      <c r="G578" t="inlineStr">
        <is>
          <t>BODEN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14995-2022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44657</v>
      </c>
      <c r="E579" s="1" t="n">
        <v>46286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15000-2022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44657</v>
      </c>
      <c r="E580" s="1" t="n">
        <v>46286</v>
      </c>
      <c r="F580" t="inlineStr">
        <is>
          <t>NORRBOTTENS LÄN</t>
        </is>
      </c>
      <c r="G580" t="inlineStr">
        <is>
          <t>BODEN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46286</v>
      </c>
      <c r="F581" t="inlineStr">
        <is>
          <t>NORRBOTTENS LÄN</t>
        </is>
      </c>
      <c r="G581" t="inlineStr">
        <is>
          <t>BODEN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44966</v>
      </c>
      <c r="E582" s="1" t="n">
        <v>46286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46286</v>
      </c>
      <c r="F583" t="inlineStr">
        <is>
          <t>NORRBOTTENS LÄN</t>
        </is>
      </c>
      <c r="G583" t="inlineStr">
        <is>
          <t>BODEN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46286</v>
      </c>
      <c r="F584" t="inlineStr">
        <is>
          <t>NORRBOTTENS LÄN</t>
        </is>
      </c>
      <c r="G584" t="inlineStr">
        <is>
          <t>BODEN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46286</v>
      </c>
      <c r="F585" t="inlineStr">
        <is>
          <t>NORRBOTTENS LÄN</t>
        </is>
      </c>
      <c r="G585" t="inlineStr">
        <is>
          <t>BODEN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46286</v>
      </c>
      <c r="F586" t="inlineStr">
        <is>
          <t>NORRBOTTENS LÄN</t>
        </is>
      </c>
      <c r="G586" t="inlineStr">
        <is>
          <t>BODEN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48592-2024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45593</v>
      </c>
      <c r="E587" s="1" t="n">
        <v>46286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46286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46286</v>
      </c>
      <c r="F589" t="inlineStr">
        <is>
          <t>NORRBOTTENS LÄN</t>
        </is>
      </c>
      <c r="G589" t="inlineStr">
        <is>
          <t>BODEN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46286</v>
      </c>
      <c r="F590" t="inlineStr">
        <is>
          <t>NORRBOTTENS LÄN</t>
        </is>
      </c>
      <c r="G590" t="inlineStr">
        <is>
          <t>BODEN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46286</v>
      </c>
      <c r="F591" t="inlineStr">
        <is>
          <t>NORRBOTTENS LÄN</t>
        </is>
      </c>
      <c r="G591" t="inlineStr">
        <is>
          <t>BODEN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46286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46286</v>
      </c>
      <c r="F593" t="inlineStr">
        <is>
          <t>NORRBOTTENS LÄN</t>
        </is>
      </c>
      <c r="G593" t="inlineStr">
        <is>
          <t>BODEN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46059</v>
      </c>
      <c r="E594" s="1" t="n">
        <v>46286</v>
      </c>
      <c r="F594" t="inlineStr">
        <is>
          <t>NORRBOTTENS LÄN</t>
        </is>
      </c>
      <c r="G594" t="inlineStr">
        <is>
          <t>BODEN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46286</v>
      </c>
      <c r="F595" t="inlineStr">
        <is>
          <t>NORRBOTTENS LÄN</t>
        </is>
      </c>
      <c r="G595" t="inlineStr">
        <is>
          <t>BODEN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45429</v>
      </c>
      <c r="E596" s="1" t="n">
        <v>46286</v>
      </c>
      <c r="F596" t="inlineStr">
        <is>
          <t>NORRBOTTENS LÄN</t>
        </is>
      </c>
      <c r="G596" t="inlineStr">
        <is>
          <t>BODEN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46286</v>
      </c>
      <c r="F597" t="inlineStr">
        <is>
          <t>NORRBOTTENS LÄN</t>
        </is>
      </c>
      <c r="G597" t="inlineStr">
        <is>
          <t>BODEN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46286</v>
      </c>
      <c r="F598" t="inlineStr">
        <is>
          <t>NORRBOTTENS LÄN</t>
        </is>
      </c>
      <c r="G598" t="inlineStr">
        <is>
          <t>BODEN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46286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46286</v>
      </c>
      <c r="F600" t="inlineStr">
        <is>
          <t>NORRBOTTENS LÄN</t>
        </is>
      </c>
      <c r="G600" t="inlineStr">
        <is>
          <t>BODEN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46286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46286</v>
      </c>
      <c r="F602" t="inlineStr">
        <is>
          <t>NORRBOTTENS LÄN</t>
        </is>
      </c>
      <c r="G602" t="inlineStr">
        <is>
          <t>BODEN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8433-2026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46286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46286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46286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46286</v>
      </c>
      <c r="F606" t="inlineStr">
        <is>
          <t>NORRBOTTENS LÄN</t>
        </is>
      </c>
      <c r="G606" t="inlineStr">
        <is>
          <t>BODEN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36915-2023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46286</v>
      </c>
      <c r="F607" t="inlineStr">
        <is>
          <t>NORRBOTTENS LÄN</t>
        </is>
      </c>
      <c r="G607" t="inlineStr">
        <is>
          <t>BODEN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46286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8.5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26056-2026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46286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45509</v>
      </c>
      <c r="E610" s="1" t="n">
        <v>46286</v>
      </c>
      <c r="F610" t="inlineStr">
        <is>
          <t>NORRBOTTENS LÄN</t>
        </is>
      </c>
      <c r="G610" t="inlineStr">
        <is>
          <t>BODEN</t>
        </is>
      </c>
      <c r="I610" t="n">
        <v>11.1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59688-2023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45256</v>
      </c>
      <c r="E611" s="1" t="n">
        <v>46286</v>
      </c>
      <c r="F611" t="inlineStr">
        <is>
          <t>NORRBOTTENS LÄN</t>
        </is>
      </c>
      <c r="G611" t="inlineStr">
        <is>
          <t>BODEN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42196-2024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46286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45653</v>
      </c>
      <c r="E613" s="1" t="n">
        <v>46286</v>
      </c>
      <c r="F613" t="inlineStr">
        <is>
          <t>NORRBOTTENS LÄN</t>
        </is>
      </c>
      <c r="G613" t="inlineStr">
        <is>
          <t>BODEN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46286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46286</v>
      </c>
      <c r="F615" t="inlineStr">
        <is>
          <t>NORRBOTTENS LÄN</t>
        </is>
      </c>
      <c r="G615" t="inlineStr">
        <is>
          <t>BODEN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46286</v>
      </c>
      <c r="F616" t="inlineStr">
        <is>
          <t>NORRBOTTENS LÄN</t>
        </is>
      </c>
      <c r="G616" t="inlineStr">
        <is>
          <t>BODEN</t>
        </is>
      </c>
      <c r="I616" t="n">
        <v>7.7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46076</v>
      </c>
      <c r="E617" s="1" t="n">
        <v>46286</v>
      </c>
      <c r="F617" t="inlineStr">
        <is>
          <t>NORRBOTTENS LÄN</t>
        </is>
      </c>
      <c r="G617" t="inlineStr">
        <is>
          <t>BODEN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46286</v>
      </c>
      <c r="F618" t="inlineStr">
        <is>
          <t>NORRBOTTENS LÄN</t>
        </is>
      </c>
      <c r="G618" t="inlineStr">
        <is>
          <t>BODEN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57968-2023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45247</v>
      </c>
      <c r="E619" s="1" t="n">
        <v>46286</v>
      </c>
      <c r="F619" t="inlineStr">
        <is>
          <t>NORRBOTTENS LÄN</t>
        </is>
      </c>
      <c r="G619" t="inlineStr">
        <is>
          <t>BODEN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46286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46286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  <c r="Z621">
        <f>HYPERLINK("https://klasma.github.io/Logging_2582/knärot/A 26776-2026 karta knärot.png", "A 26776-2026")</f>
        <v/>
      </c>
      <c r="AA621">
        <f>HYPERLINK("https://klasma.github.io/Logging_2582/klagomål/A 26776-2026 FSC-klagomål.docx", "A 26776-2026")</f>
        <v/>
      </c>
      <c r="AB621">
        <f>HYPERLINK("https://klasma.github.io/Logging_2582/klagomålsmail/A 26776-2026 FSC-klagomål mail.docx", "A 26776-2026")</f>
        <v/>
      </c>
      <c r="AC621">
        <f>HYPERLINK("https://klasma.github.io/Logging_2582/tillsyn/A 26776-2026 tillsynsbegäran.docx", "A 26776-2026")</f>
        <v/>
      </c>
      <c r="AD621">
        <f>HYPERLINK("https://klasma.github.io/Logging_2582/tillsynsmail/A 26776-2026 tillsynsbegäran mail.docx", "A 26776-2026")</f>
        <v/>
      </c>
    </row>
    <row r="622" ht="15" customHeight="1">
      <c r="A622" t="inlineStr">
        <is>
          <t>A 26375-2026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46286</v>
      </c>
      <c r="F622" t="inlineStr">
        <is>
          <t>NORRBOTTENS LÄN</t>
        </is>
      </c>
      <c r="G622" t="inlineStr">
        <is>
          <t>BODEN</t>
        </is>
      </c>
      <c r="I622" t="n">
        <v>18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46286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46286</v>
      </c>
      <c r="F624" t="inlineStr">
        <is>
          <t>NORRBOTTENS LÄN</t>
        </is>
      </c>
      <c r="G624" t="inlineStr">
        <is>
          <t>BODEN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11633-2026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46286</v>
      </c>
      <c r="F625" t="inlineStr">
        <is>
          <t>NORRBOTTENS LÄN</t>
        </is>
      </c>
      <c r="G625" t="inlineStr">
        <is>
          <t>BODEN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46286</v>
      </c>
      <c r="F626" t="inlineStr">
        <is>
          <t>NORRBOTTENS LÄN</t>
        </is>
      </c>
      <c r="G626" t="inlineStr">
        <is>
          <t>BODEN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46286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42.2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31007-2024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45499</v>
      </c>
      <c r="E628" s="1" t="n">
        <v>46286</v>
      </c>
      <c r="F628" t="inlineStr">
        <is>
          <t>NORRBOTTENS LÄN</t>
        </is>
      </c>
      <c r="G628" t="inlineStr">
        <is>
          <t>BODEN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11636-2026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46286</v>
      </c>
      <c r="F629" t="inlineStr">
        <is>
          <t>NORRBOTTENS LÄN</t>
        </is>
      </c>
      <c r="G629" t="inlineStr">
        <is>
          <t>BODEN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46286</v>
      </c>
      <c r="F630" t="inlineStr">
        <is>
          <t>NORRBOTTENS LÄN</t>
        </is>
      </c>
      <c r="G630" t="inlineStr">
        <is>
          <t>BODEN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46286</v>
      </c>
      <c r="F631" t="inlineStr">
        <is>
          <t>NORRBOTTENS LÄN</t>
        </is>
      </c>
      <c r="G631" t="inlineStr">
        <is>
          <t>BODEN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37384-2023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45156</v>
      </c>
      <c r="E632" s="1" t="n">
        <v>46286</v>
      </c>
      <c r="F632" t="inlineStr">
        <is>
          <t>NORRBOTTENS LÄN</t>
        </is>
      </c>
      <c r="G632" t="inlineStr">
        <is>
          <t>BODEN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46286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12893-2022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44642</v>
      </c>
      <c r="E634" s="1" t="n">
        <v>46286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45070</v>
      </c>
      <c r="E635" s="1" t="n">
        <v>46286</v>
      </c>
      <c r="F635" t="inlineStr">
        <is>
          <t>NORRBOTTENS LÄN</t>
        </is>
      </c>
      <c r="G635" t="inlineStr">
        <is>
          <t>BODEN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58373-2022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44901</v>
      </c>
      <c r="E636" s="1" t="n">
        <v>46286</v>
      </c>
      <c r="F636" t="inlineStr">
        <is>
          <t>NORRBOTTENS LÄN</t>
        </is>
      </c>
      <c r="G636" t="inlineStr">
        <is>
          <t>BODEN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46286</v>
      </c>
      <c r="F637" t="inlineStr">
        <is>
          <t>NORRBOTTENS LÄN</t>
        </is>
      </c>
      <c r="G637" t="inlineStr">
        <is>
          <t>BODEN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45929-2023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45195</v>
      </c>
      <c r="E638" s="1" t="n">
        <v>46286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46286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61750-2024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45649</v>
      </c>
      <c r="E640" s="1" t="n">
        <v>46286</v>
      </c>
      <c r="F640" t="inlineStr">
        <is>
          <t>NORRBOTTENS LÄN</t>
        </is>
      </c>
      <c r="G640" t="inlineStr">
        <is>
          <t>BODEN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46286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47922-2024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45589</v>
      </c>
      <c r="E642" s="1" t="n">
        <v>46286</v>
      </c>
      <c r="F642" t="inlineStr">
        <is>
          <t>NORRBOTTENS LÄN</t>
        </is>
      </c>
      <c r="G642" t="inlineStr">
        <is>
          <t>BODEN</t>
        </is>
      </c>
      <c r="H642" t="inlineStr">
        <is>
          <t>Naturvårdsverket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47924-2024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45589</v>
      </c>
      <c r="E643" s="1" t="n">
        <v>46286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45376-2025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45922</v>
      </c>
      <c r="E644" s="1" t="n">
        <v>46286</v>
      </c>
      <c r="F644" t="inlineStr">
        <is>
          <t>NORRBOTTENS LÄN</t>
        </is>
      </c>
      <c r="G644" t="inlineStr">
        <is>
          <t>BODEN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46286</v>
      </c>
      <c r="F645" t="inlineStr">
        <is>
          <t>NORRBOTTENS LÄN</t>
        </is>
      </c>
      <c r="G645" t="inlineStr">
        <is>
          <t>BODEN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45761</v>
      </c>
      <c r="E646" s="1" t="n">
        <v>46286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14245-2026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46099</v>
      </c>
      <c r="E647" s="1" t="n">
        <v>46286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27749-2026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46286</v>
      </c>
      <c r="F648" t="inlineStr">
        <is>
          <t>NORRBOTTENS LÄN</t>
        </is>
      </c>
      <c r="G648" t="inlineStr">
        <is>
          <t>BODEN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46286</v>
      </c>
      <c r="F649" t="inlineStr">
        <is>
          <t>NORRBOTTENS LÄN</t>
        </is>
      </c>
      <c r="G649" t="inlineStr">
        <is>
          <t>BODEN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45460</v>
      </c>
      <c r="E650" s="1" t="n">
        <v>46286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Aktiebolag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46286</v>
      </c>
      <c r="F651" t="inlineStr">
        <is>
          <t>NORRBOTTENS LÄN</t>
        </is>
      </c>
      <c r="G651" t="inlineStr">
        <is>
          <t>BODEN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60337-2024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45643</v>
      </c>
      <c r="E652" s="1" t="n">
        <v>46286</v>
      </c>
      <c r="F652" t="inlineStr">
        <is>
          <t>NORRBOTTENS LÄN</t>
        </is>
      </c>
      <c r="G652" t="inlineStr">
        <is>
          <t>BODEN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46197</v>
      </c>
      <c r="E653" s="1" t="n">
        <v>46286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46286</v>
      </c>
      <c r="F654" t="inlineStr">
        <is>
          <t>NORRBOTTENS LÄN</t>
        </is>
      </c>
      <c r="G654" t="inlineStr">
        <is>
          <t>BODEN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8028-2024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45350</v>
      </c>
      <c r="E655" s="1" t="n">
        <v>46286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46286</v>
      </c>
      <c r="F656" t="inlineStr">
        <is>
          <t>NORRBOTTENS LÄN</t>
        </is>
      </c>
      <c r="G656" t="inlineStr">
        <is>
          <t>BODEN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25627-2022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44732</v>
      </c>
      <c r="E657" s="1" t="n">
        <v>46286</v>
      </c>
      <c r="F657" t="inlineStr">
        <is>
          <t>NORRBOTTENS LÄN</t>
        </is>
      </c>
      <c r="G657" t="inlineStr">
        <is>
          <t>BODEN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46197</v>
      </c>
      <c r="E658" s="1" t="n">
        <v>46286</v>
      </c>
      <c r="F658" t="inlineStr">
        <is>
          <t>NORRBOTTENS LÄN</t>
        </is>
      </c>
      <c r="G658" t="inlineStr">
        <is>
          <t>BODEN</t>
        </is>
      </c>
      <c r="I658" t="n">
        <v>8.9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45677</v>
      </c>
      <c r="E659" s="1" t="n">
        <v>46286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28490-2026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46197</v>
      </c>
      <c r="E660" s="1" t="n">
        <v>46286</v>
      </c>
      <c r="F660" t="inlineStr">
        <is>
          <t>NORRBOTTENS LÄN</t>
        </is>
      </c>
      <c r="G660" t="inlineStr">
        <is>
          <t>BODEN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61107-2022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44908</v>
      </c>
      <c r="E661" s="1" t="n">
        <v>46286</v>
      </c>
      <c r="F661" t="inlineStr">
        <is>
          <t>NORRBOTTENS LÄN</t>
        </is>
      </c>
      <c r="G661" t="inlineStr">
        <is>
          <t>BODEN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46286</v>
      </c>
      <c r="F662" t="inlineStr">
        <is>
          <t>NORRBOTTENS LÄN</t>
        </is>
      </c>
      <c r="G662" t="inlineStr">
        <is>
          <t>BODEN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28496-2026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46197</v>
      </c>
      <c r="E663" s="1" t="n">
        <v>46286</v>
      </c>
      <c r="F663" t="inlineStr">
        <is>
          <t>NORRBOTTENS LÄN</t>
        </is>
      </c>
      <c r="G663" t="inlineStr">
        <is>
          <t>BODEN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50327-2023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45216</v>
      </c>
      <c r="E664" s="1" t="n">
        <v>46286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24400-2022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44726</v>
      </c>
      <c r="E665" s="1" t="n">
        <v>46286</v>
      </c>
      <c r="F665" t="inlineStr">
        <is>
          <t>NORRBOTTENS LÄN</t>
        </is>
      </c>
      <c r="G665" t="inlineStr">
        <is>
          <t>BODEN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706-2022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44566</v>
      </c>
      <c r="E666" s="1" t="n">
        <v>46286</v>
      </c>
      <c r="F666" t="inlineStr">
        <is>
          <t>NORRBOTTENS LÄN</t>
        </is>
      </c>
      <c r="G666" t="inlineStr">
        <is>
          <t>BODEN</t>
        </is>
      </c>
      <c r="I666" t="n">
        <v>12.4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28615-2026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46286</v>
      </c>
      <c r="F667" t="inlineStr">
        <is>
          <t>NORRBOTTENS LÄN</t>
        </is>
      </c>
      <c r="G667" t="inlineStr">
        <is>
          <t>BODEN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45035-2022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44841</v>
      </c>
      <c r="E668" s="1" t="n">
        <v>46286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8873-2024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46286</v>
      </c>
      <c r="F669" t="inlineStr">
        <is>
          <t>NORRBOTTENS LÄN</t>
        </is>
      </c>
      <c r="G669" t="inlineStr">
        <is>
          <t>BODEN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29152-2026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46202</v>
      </c>
      <c r="E670" s="1" t="n">
        <v>46286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29155-2026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46202</v>
      </c>
      <c r="E671" s="1" t="n">
        <v>46286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57575-2025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45980</v>
      </c>
      <c r="E672" s="1" t="n">
        <v>46286</v>
      </c>
      <c r="F672" t="inlineStr">
        <is>
          <t>NORRBOTTENS LÄN</t>
        </is>
      </c>
      <c r="G672" t="inlineStr">
        <is>
          <t>BODEN</t>
        </is>
      </c>
      <c r="I672" t="n">
        <v>19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46286</v>
      </c>
      <c r="F673" t="inlineStr">
        <is>
          <t>NORRBOTTENS LÄN</t>
        </is>
      </c>
      <c r="G673" t="inlineStr">
        <is>
          <t>BODEN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46286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46286</v>
      </c>
      <c r="F675" t="inlineStr">
        <is>
          <t>NORRBOTTENS LÄN</t>
        </is>
      </c>
      <c r="G675" t="inlineStr">
        <is>
          <t>BODEN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46126</v>
      </c>
      <c r="E676" s="1" t="n">
        <v>46286</v>
      </c>
      <c r="F676" t="inlineStr">
        <is>
          <t>NORRBOTTENS LÄN</t>
        </is>
      </c>
      <c r="G676" t="inlineStr">
        <is>
          <t>BODEN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18401-2026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46126</v>
      </c>
      <c r="E677" s="1" t="n">
        <v>46286</v>
      </c>
      <c r="F677" t="inlineStr">
        <is>
          <t>NORRBOTTENS LÄN</t>
        </is>
      </c>
      <c r="G677" t="inlineStr">
        <is>
          <t>BODEN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26022-2022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44734</v>
      </c>
      <c r="E678" s="1" t="n">
        <v>46286</v>
      </c>
      <c r="F678" t="inlineStr">
        <is>
          <t>NORRBOTTENS LÄN</t>
        </is>
      </c>
      <c r="G678" t="inlineStr">
        <is>
          <t>BODEN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46202</v>
      </c>
      <c r="E679" s="1" t="n">
        <v>46286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61969-2024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45653</v>
      </c>
      <c r="E680" s="1" t="n">
        <v>46286</v>
      </c>
      <c r="F680" t="inlineStr">
        <is>
          <t>NORRBOTTENS LÄN</t>
        </is>
      </c>
      <c r="G680" t="inlineStr">
        <is>
          <t>BODEN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18448-2026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46286</v>
      </c>
      <c r="F681" t="inlineStr">
        <is>
          <t>NORRBOTTENS LÄN</t>
        </is>
      </c>
      <c r="G681" t="inlineStr">
        <is>
          <t>BODEN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46286</v>
      </c>
      <c r="F682" t="inlineStr">
        <is>
          <t>NORRBOTTENS LÄN</t>
        </is>
      </c>
      <c r="G682" t="inlineStr">
        <is>
          <t>BODEN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45544</v>
      </c>
      <c r="E683" s="1" t="n">
        <v>46286</v>
      </c>
      <c r="F683" t="inlineStr">
        <is>
          <t>NORRBOTTENS LÄN</t>
        </is>
      </c>
      <c r="G683" t="inlineStr">
        <is>
          <t>BODEN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34760-2022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44795</v>
      </c>
      <c r="E684" s="1" t="n">
        <v>46286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38874-2023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45161</v>
      </c>
      <c r="E685" s="1" t="n">
        <v>46286</v>
      </c>
      <c r="F685" t="inlineStr">
        <is>
          <t>NORRBOTTENS LÄN</t>
        </is>
      </c>
      <c r="G685" t="inlineStr">
        <is>
          <t>BODEN</t>
        </is>
      </c>
      <c r="I685" t="n">
        <v>15.5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46286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19050-2026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46132</v>
      </c>
      <c r="E687" s="1" t="n">
        <v>46286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46286</v>
      </c>
      <c r="F688" t="inlineStr">
        <is>
          <t>NORRBOTTENS LÄN</t>
        </is>
      </c>
      <c r="G688" t="inlineStr">
        <is>
          <t>BODEN</t>
        </is>
      </c>
      <c r="I688" t="n">
        <v>11.7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46286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46286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46286</v>
      </c>
      <c r="F691" t="inlineStr">
        <is>
          <t>NORRBOTTENS LÄN</t>
        </is>
      </c>
      <c r="G691" t="inlineStr">
        <is>
          <t>BODEN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46286</v>
      </c>
      <c r="F692" t="inlineStr">
        <is>
          <t>NORRBOTTENS LÄN</t>
        </is>
      </c>
      <c r="G692" t="inlineStr">
        <is>
          <t>BODEN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33326-2026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46246</v>
      </c>
      <c r="E693" s="1" t="n">
        <v>46286</v>
      </c>
      <c r="F693" t="inlineStr">
        <is>
          <t>NORRBOTTENS LÄN</t>
        </is>
      </c>
      <c r="G693" t="inlineStr">
        <is>
          <t>BODEN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62589-2025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46007</v>
      </c>
      <c r="E694" s="1" t="n">
        <v>46286</v>
      </c>
      <c r="F694" t="inlineStr">
        <is>
          <t>NORRBOTTENS LÄN</t>
        </is>
      </c>
      <c r="G694" t="inlineStr">
        <is>
          <t>BODEN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45448-2023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45194</v>
      </c>
      <c r="E695" s="1" t="n">
        <v>46286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46136</v>
      </c>
      <c r="E696" s="1" t="n">
        <v>46286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61103-2022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44908</v>
      </c>
      <c r="E697" s="1" t="n">
        <v>46286</v>
      </c>
      <c r="F697" t="inlineStr">
        <is>
          <t>NORRBOTTENS LÄN</t>
        </is>
      </c>
      <c r="G697" t="inlineStr">
        <is>
          <t>BODEN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46286</v>
      </c>
      <c r="F698" t="inlineStr">
        <is>
          <t>NORRBOTTENS LÄN</t>
        </is>
      </c>
      <c r="G698" t="inlineStr">
        <is>
          <t>BODEN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45358</v>
      </c>
      <c r="E699" s="1" t="n">
        <v>46286</v>
      </c>
      <c r="F699" t="inlineStr">
        <is>
          <t>NORRBOTTENS LÄN</t>
        </is>
      </c>
      <c r="G699" t="inlineStr">
        <is>
          <t>BODEN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46286</v>
      </c>
      <c r="F700" t="inlineStr">
        <is>
          <t>NORRBOTTENS LÄN</t>
        </is>
      </c>
      <c r="G700" t="inlineStr">
        <is>
          <t>BODEN</t>
        </is>
      </c>
      <c r="I700" t="n">
        <v>38.7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29555-2026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46204</v>
      </c>
      <c r="E701" s="1" t="n">
        <v>46286</v>
      </c>
      <c r="F701" t="inlineStr">
        <is>
          <t>NORRBOTTENS LÄN</t>
        </is>
      </c>
      <c r="G701" t="inlineStr">
        <is>
          <t>BODEN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45680</v>
      </c>
      <c r="E702" s="1" t="n">
        <v>46286</v>
      </c>
      <c r="F702" t="inlineStr">
        <is>
          <t>NORRBOTTENS LÄN</t>
        </is>
      </c>
      <c r="G702" t="inlineStr">
        <is>
          <t>BODEN</t>
        </is>
      </c>
      <c r="H702" t="inlineStr">
        <is>
          <t>Naturvårdsverket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62017-2025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46003</v>
      </c>
      <c r="E703" s="1" t="n">
        <v>46286</v>
      </c>
      <c r="F703" t="inlineStr">
        <is>
          <t>NORRBOTTENS LÄN</t>
        </is>
      </c>
      <c r="G703" t="inlineStr">
        <is>
          <t>BODEN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57600-2021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44484</v>
      </c>
      <c r="E704" s="1" t="n">
        <v>46286</v>
      </c>
      <c r="F704" t="inlineStr">
        <is>
          <t>NORRBOTTENS LÄN</t>
        </is>
      </c>
      <c r="G704" t="inlineStr">
        <is>
          <t>BODEN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46286</v>
      </c>
      <c r="F705" t="inlineStr">
        <is>
          <t>NORRBOTTENS LÄN</t>
        </is>
      </c>
      <c r="G705" t="inlineStr">
        <is>
          <t>BODEN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43648-2023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45187</v>
      </c>
      <c r="E706" s="1" t="n">
        <v>46286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55540-2022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44887</v>
      </c>
      <c r="E707" s="1" t="n">
        <v>46286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45166</v>
      </c>
      <c r="E708" s="1" t="n">
        <v>46286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61921-2024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45653</v>
      </c>
      <c r="E709" s="1" t="n">
        <v>46286</v>
      </c>
      <c r="F709" t="inlineStr">
        <is>
          <t>NORRBOTTENS LÄN</t>
        </is>
      </c>
      <c r="G709" t="inlineStr">
        <is>
          <t>BODEN</t>
        </is>
      </c>
      <c r="I709" t="n">
        <v>47.3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41212-2023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46286</v>
      </c>
      <c r="F710" t="inlineStr">
        <is>
          <t>NORRBOTTENS LÄN</t>
        </is>
      </c>
      <c r="G710" t="inlineStr">
        <is>
          <t>BODEN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45323</v>
      </c>
      <c r="E711" s="1" t="n">
        <v>46286</v>
      </c>
      <c r="F711" t="inlineStr">
        <is>
          <t>NORRBOTTENS LÄN</t>
        </is>
      </c>
      <c r="G711" t="inlineStr">
        <is>
          <t>BODEN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877-2023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44931</v>
      </c>
      <c r="E712" s="1" t="n">
        <v>46286</v>
      </c>
      <c r="F712" t="inlineStr">
        <is>
          <t>NORRBOTTENS LÄN</t>
        </is>
      </c>
      <c r="G712" t="inlineStr">
        <is>
          <t>BODEN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12801-2023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46286</v>
      </c>
      <c r="F713" t="inlineStr">
        <is>
          <t>NORRBOTTENS LÄN</t>
        </is>
      </c>
      <c r="G713" t="inlineStr">
        <is>
          <t>BODEN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33864-2026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46251</v>
      </c>
      <c r="E714" s="1" t="n">
        <v>46286</v>
      </c>
      <c r="F714" t="inlineStr">
        <is>
          <t>NORRBOTTENS LÄN</t>
        </is>
      </c>
      <c r="G714" t="inlineStr">
        <is>
          <t>BODEN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20041-2025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45772</v>
      </c>
      <c r="E715" s="1" t="n">
        <v>46286</v>
      </c>
      <c r="F715" t="inlineStr">
        <is>
          <t>NORRBOTTENS LÄN</t>
        </is>
      </c>
      <c r="G715" t="inlineStr">
        <is>
          <t>BODEN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19582-2025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45770</v>
      </c>
      <c r="E716" s="1" t="n">
        <v>46286</v>
      </c>
      <c r="F716" t="inlineStr">
        <is>
          <t>NORRBOTTENS LÄN</t>
        </is>
      </c>
      <c r="G716" t="inlineStr">
        <is>
          <t>BODEN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45708</v>
      </c>
      <c r="E717" s="1" t="n">
        <v>46286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Aktiebolag</t>
        </is>
      </c>
      <c r="I717" t="n">
        <v>15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30077-2026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46206</v>
      </c>
      <c r="E718" s="1" t="n">
        <v>46286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44964</v>
      </c>
      <c r="E719" s="1" t="n">
        <v>46286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46286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46286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5.2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30332-2026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46208</v>
      </c>
      <c r="E722" s="1" t="n">
        <v>46286</v>
      </c>
      <c r="F722" t="inlineStr">
        <is>
          <t>NORRBOTTENS LÄN</t>
        </is>
      </c>
      <c r="G722" t="inlineStr">
        <is>
          <t>BODEN</t>
        </is>
      </c>
      <c r="I722" t="n">
        <v>9.800000000000001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46286</v>
      </c>
      <c r="F723" t="inlineStr">
        <is>
          <t>NORRBOTTENS LÄN</t>
        </is>
      </c>
      <c r="G723" t="inlineStr">
        <is>
          <t>BODEN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46206</v>
      </c>
      <c r="E724" s="1" t="n">
        <v>46286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15.2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17417-2023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45035</v>
      </c>
      <c r="E725" s="1" t="n">
        <v>46286</v>
      </c>
      <c r="F725" t="inlineStr">
        <is>
          <t>NORRBOTTENS LÄN</t>
        </is>
      </c>
      <c r="G725" t="inlineStr">
        <is>
          <t>BODEN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30745-2026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46211</v>
      </c>
      <c r="E726" s="1" t="n">
        <v>46286</v>
      </c>
      <c r="F726" t="inlineStr">
        <is>
          <t>NORRBOTTENS LÄN</t>
        </is>
      </c>
      <c r="G726" t="inlineStr">
        <is>
          <t>BODEN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28074-2024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45476</v>
      </c>
      <c r="E727" s="1" t="n">
        <v>46286</v>
      </c>
      <c r="F727" t="inlineStr">
        <is>
          <t>NORRBOTTENS LÄN</t>
        </is>
      </c>
      <c r="G727" t="inlineStr">
        <is>
          <t>BODEN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45093</v>
      </c>
      <c r="E728" s="1" t="n">
        <v>46286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54590-2022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44883</v>
      </c>
      <c r="E729" s="1" t="n">
        <v>46286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34022-2026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46252</v>
      </c>
      <c r="E730" s="1" t="n">
        <v>46286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19.5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46209</v>
      </c>
      <c r="E731" s="1" t="n">
        <v>46286</v>
      </c>
      <c r="F731" t="inlineStr">
        <is>
          <t>NORRBOTTENS LÄN</t>
        </is>
      </c>
      <c r="G731" t="inlineStr">
        <is>
          <t>BODEN</t>
        </is>
      </c>
      <c r="H731" t="inlineStr">
        <is>
          <t>Kommuner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30430-2026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46209</v>
      </c>
      <c r="E732" s="1" t="n">
        <v>46286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35115-2024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45529</v>
      </c>
      <c r="E733" s="1" t="n">
        <v>46286</v>
      </c>
      <c r="F733" t="inlineStr">
        <is>
          <t>NORRBOTTENS LÄN</t>
        </is>
      </c>
      <c r="G733" t="inlineStr">
        <is>
          <t>BODEN</t>
        </is>
      </c>
      <c r="I733" t="n">
        <v>6.3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30105-2023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45099</v>
      </c>
      <c r="E734" s="1" t="n">
        <v>46286</v>
      </c>
      <c r="F734" t="inlineStr">
        <is>
          <t>NORRBOTTENS LÄN</t>
        </is>
      </c>
      <c r="G734" t="inlineStr">
        <is>
          <t>BODEN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57604-2021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44484</v>
      </c>
      <c r="E735" s="1" t="n">
        <v>46286</v>
      </c>
      <c r="F735" t="inlineStr">
        <is>
          <t>NORRBOTTENS LÄN</t>
        </is>
      </c>
      <c r="G735" t="inlineStr">
        <is>
          <t>BODEN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34158-2026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46253</v>
      </c>
      <c r="E736" s="1" t="n">
        <v>46286</v>
      </c>
      <c r="F736" t="inlineStr">
        <is>
          <t>NORRBOTTENS LÄN</t>
        </is>
      </c>
      <c r="G736" t="inlineStr">
        <is>
          <t>BODEN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46286</v>
      </c>
      <c r="F737" t="inlineStr">
        <is>
          <t>NORRBOTTENS LÄN</t>
        </is>
      </c>
      <c r="G737" t="inlineStr">
        <is>
          <t>BODEN</t>
        </is>
      </c>
      <c r="H737" t="inlineStr">
        <is>
          <t>Kommuner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23706-2024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45454</v>
      </c>
      <c r="E738" s="1" t="n">
        <v>46286</v>
      </c>
      <c r="F738" t="inlineStr">
        <is>
          <t>NORRBOTTENS LÄN</t>
        </is>
      </c>
      <c r="G738" t="inlineStr">
        <is>
          <t>BODEN</t>
        </is>
      </c>
      <c r="I738" t="n">
        <v>10.9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8776-2022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44614</v>
      </c>
      <c r="E739" s="1" t="n">
        <v>46286</v>
      </c>
      <c r="F739" t="inlineStr">
        <is>
          <t>NORRBOTTENS LÄN</t>
        </is>
      </c>
      <c r="G739" t="inlineStr">
        <is>
          <t>BODEN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25387-2023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46286</v>
      </c>
      <c r="F740" t="inlineStr">
        <is>
          <t>NORRBOTTENS LÄN</t>
        </is>
      </c>
      <c r="G740" t="inlineStr">
        <is>
          <t>BODEN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18428-2025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45762</v>
      </c>
      <c r="E741" s="1" t="n">
        <v>46286</v>
      </c>
      <c r="F741" t="inlineStr">
        <is>
          <t>NORRBOTTENS LÄN</t>
        </is>
      </c>
      <c r="G741" t="inlineStr">
        <is>
          <t>BODEN</t>
        </is>
      </c>
      <c r="I741" t="n">
        <v>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34333-2026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46254</v>
      </c>
      <c r="E742" s="1" t="n">
        <v>46286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18.5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45646</v>
      </c>
      <c r="E743" s="1" t="n">
        <v>46286</v>
      </c>
      <c r="F743" t="inlineStr">
        <is>
          <t>NORRBOTTENS LÄN</t>
        </is>
      </c>
      <c r="G743" t="inlineStr">
        <is>
          <t>BODEN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48129-2023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45205</v>
      </c>
      <c r="E744" s="1" t="n">
        <v>46286</v>
      </c>
      <c r="F744" t="inlineStr">
        <is>
          <t>NORRBOTTENS LÄN</t>
        </is>
      </c>
      <c r="G744" t="inlineStr">
        <is>
          <t>BODEN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54616-2023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45233</v>
      </c>
      <c r="E745" s="1" t="n">
        <v>46286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46254</v>
      </c>
      <c r="E746" s="1" t="n">
        <v>46286</v>
      </c>
      <c r="F746" t="inlineStr">
        <is>
          <t>NORRBOTTENS LÄN</t>
        </is>
      </c>
      <c r="G746" t="inlineStr">
        <is>
          <t>BODEN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46286</v>
      </c>
      <c r="F747" t="inlineStr">
        <is>
          <t>NORRBOTTENS LÄN</t>
        </is>
      </c>
      <c r="G747" t="inlineStr">
        <is>
          <t>BODEN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34517-2026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46255</v>
      </c>
      <c r="E748" s="1" t="n">
        <v>46286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12562-2024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45379</v>
      </c>
      <c r="E749" s="1" t="n">
        <v>46286</v>
      </c>
      <c r="F749" t="inlineStr">
        <is>
          <t>NORRBOTTENS LÄN</t>
        </is>
      </c>
      <c r="G749" t="inlineStr">
        <is>
          <t>BODEN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20260-2025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45773</v>
      </c>
      <c r="E750" s="1" t="n">
        <v>46286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34898-2026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46259</v>
      </c>
      <c r="E751" s="1" t="n">
        <v>46286</v>
      </c>
      <c r="F751" t="inlineStr">
        <is>
          <t>NORRBOTTENS LÄN</t>
        </is>
      </c>
      <c r="G751" t="inlineStr">
        <is>
          <t>BODEN</t>
        </is>
      </c>
      <c r="H751" t="inlineStr">
        <is>
          <t>Naturvårdsverket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11651-2023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44994</v>
      </c>
      <c r="E752" s="1" t="n">
        <v>46286</v>
      </c>
      <c r="F752" t="inlineStr">
        <is>
          <t>NORRBOTTENS LÄN</t>
        </is>
      </c>
      <c r="G752" t="inlineStr">
        <is>
          <t>BODEN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34897-2026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46259</v>
      </c>
      <c r="E753" s="1" t="n">
        <v>46286</v>
      </c>
      <c r="F753" t="inlineStr">
        <is>
          <t>NORRBOTTENS LÄN</t>
        </is>
      </c>
      <c r="G753" t="inlineStr">
        <is>
          <t>BODEN</t>
        </is>
      </c>
      <c r="H753" t="inlineStr">
        <is>
          <t>Naturvårdsverket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35060-2026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46259</v>
      </c>
      <c r="E754" s="1" t="n">
        <v>46286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44.8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718-2022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44568</v>
      </c>
      <c r="E755" s="1" t="n">
        <v>46286</v>
      </c>
      <c r="F755" t="inlineStr">
        <is>
          <t>NORRBOTTENS LÄN</t>
        </is>
      </c>
      <c r="G755" t="inlineStr">
        <is>
          <t>BODEN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43969-2024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45572</v>
      </c>
      <c r="E756" s="1" t="n">
        <v>46286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19048-2025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45764</v>
      </c>
      <c r="E757" s="1" t="n">
        <v>46286</v>
      </c>
      <c r="F757" t="inlineStr">
        <is>
          <t>NORRBOTTENS LÄN</t>
        </is>
      </c>
      <c r="G757" t="inlineStr">
        <is>
          <t>BODEN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45764</v>
      </c>
      <c r="E758" s="1" t="n">
        <v>46286</v>
      </c>
      <c r="F758" t="inlineStr">
        <is>
          <t>NORRBOTTENS LÄN</t>
        </is>
      </c>
      <c r="G758" t="inlineStr">
        <is>
          <t>BODEN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54718-2024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45618</v>
      </c>
      <c r="E759" s="1" t="n">
        <v>46286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28357-2023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45099</v>
      </c>
      <c r="E760" s="1" t="n">
        <v>46286</v>
      </c>
      <c r="F760" t="inlineStr">
        <is>
          <t>NORRBOTTENS LÄN</t>
        </is>
      </c>
      <c r="G760" t="inlineStr">
        <is>
          <t>BODEN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46286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46052-2025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46286</v>
      </c>
      <c r="F762" t="inlineStr">
        <is>
          <t>NORRBOTTENS LÄN</t>
        </is>
      </c>
      <c r="G762" t="inlineStr">
        <is>
          <t>BODEN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35381-2026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46286</v>
      </c>
      <c r="F763" t="inlineStr">
        <is>
          <t>NORRBOTTENS LÄN</t>
        </is>
      </c>
      <c r="G763" t="inlineStr">
        <is>
          <t>BODEN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46286</v>
      </c>
      <c r="F764" t="inlineStr">
        <is>
          <t>NORRBOTTENS LÄN</t>
        </is>
      </c>
      <c r="G764" t="inlineStr">
        <is>
          <t>BODEN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46286</v>
      </c>
      <c r="F765" t="inlineStr">
        <is>
          <t>NORRBOTTENS LÄN</t>
        </is>
      </c>
      <c r="G765" t="inlineStr">
        <is>
          <t>BODEN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44812</v>
      </c>
      <c r="E766" s="1" t="n">
        <v>46286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46217</v>
      </c>
      <c r="E767" s="1" t="n">
        <v>46286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40117-2025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45894</v>
      </c>
      <c r="E768" s="1" t="n">
        <v>46286</v>
      </c>
      <c r="F768" t="inlineStr">
        <is>
          <t>NORRBOTTENS LÄN</t>
        </is>
      </c>
      <c r="G768" t="inlineStr">
        <is>
          <t>BODEN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46286</v>
      </c>
      <c r="F769" t="inlineStr">
        <is>
          <t>NORRBOTTENS LÄN</t>
        </is>
      </c>
      <c r="G769" t="inlineStr">
        <is>
          <t>BODEN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  <c r="Z769">
        <f>HYPERLINK("https://klasma.github.io/Logging_2582/knärot/A 35295-2026 karta knärot.png", "A 35295-2026")</f>
        <v/>
      </c>
      <c r="AA769">
        <f>HYPERLINK("https://klasma.github.io/Logging_2582/klagomål/A 35295-2026 FSC-klagomål.docx", "A 35295-2026")</f>
        <v/>
      </c>
      <c r="AB769">
        <f>HYPERLINK("https://klasma.github.io/Logging_2582/klagomålsmail/A 35295-2026 FSC-klagomål mail.docx", "A 35295-2026")</f>
        <v/>
      </c>
      <c r="AC769">
        <f>HYPERLINK("https://klasma.github.io/Logging_2582/tillsyn/A 35295-2026 tillsynsbegäran.docx", "A 35295-2026")</f>
        <v/>
      </c>
      <c r="AD769">
        <f>HYPERLINK("https://klasma.github.io/Logging_2582/tillsynsmail/A 35295-2026 tillsynsbegäran mail.docx", "A 35295-2026")</f>
        <v/>
      </c>
    </row>
    <row r="770" ht="15" customHeight="1">
      <c r="A770" t="inlineStr">
        <is>
          <t>A 40624-2022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44823</v>
      </c>
      <c r="E770" s="1" t="n">
        <v>46286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46286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46286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31217-2026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46217</v>
      </c>
      <c r="E773" s="1" t="n">
        <v>46286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56457-2024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45625</v>
      </c>
      <c r="E774" s="1" t="n">
        <v>46286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48107-2022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44856</v>
      </c>
      <c r="E775" s="1" t="n">
        <v>46286</v>
      </c>
      <c r="F775" t="inlineStr">
        <is>
          <t>NORRBOTTENS LÄN</t>
        </is>
      </c>
      <c r="G775" t="inlineStr">
        <is>
          <t>BODEN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14743-2023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45013</v>
      </c>
      <c r="E776" s="1" t="n">
        <v>46286</v>
      </c>
      <c r="F776" t="inlineStr">
        <is>
          <t>NORRBOTTENS LÄN</t>
        </is>
      </c>
      <c r="G776" t="inlineStr">
        <is>
          <t>BODEN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3462-2022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44585</v>
      </c>
      <c r="E777" s="1" t="n">
        <v>46286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46286</v>
      </c>
      <c r="F778" t="inlineStr">
        <is>
          <t>NORRBOTTENS LÄN</t>
        </is>
      </c>
      <c r="G778" t="inlineStr">
        <is>
          <t>BODEN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49113-2023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45204</v>
      </c>
      <c r="E779" s="1" t="n">
        <v>46286</v>
      </c>
      <c r="F779" t="inlineStr">
        <is>
          <t>NORRBOTTENS LÄN</t>
        </is>
      </c>
      <c r="G779" t="inlineStr">
        <is>
          <t>BODEN</t>
        </is>
      </c>
      <c r="I779" t="n">
        <v>5.6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4630-2025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45687</v>
      </c>
      <c r="E780" s="1" t="n">
        <v>46286</v>
      </c>
      <c r="F780" t="inlineStr">
        <is>
          <t>NORRBOTTENS LÄN</t>
        </is>
      </c>
      <c r="G780" t="inlineStr">
        <is>
          <t>BODEN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35902-2026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46286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12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36187-2026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46267</v>
      </c>
      <c r="E782" s="1" t="n">
        <v>46286</v>
      </c>
      <c r="F782" t="inlineStr">
        <is>
          <t>NORRBOTTENS LÄN</t>
        </is>
      </c>
      <c r="G782" t="inlineStr">
        <is>
          <t>BODEN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46267</v>
      </c>
      <c r="E783" s="1" t="n">
        <v>46286</v>
      </c>
      <c r="F783" t="inlineStr">
        <is>
          <t>NORRBOTTENS LÄN</t>
        </is>
      </c>
      <c r="G783" t="inlineStr">
        <is>
          <t>BODEN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46286</v>
      </c>
      <c r="F784" t="inlineStr">
        <is>
          <t>NORRBOTTENS LÄN</t>
        </is>
      </c>
      <c r="G784" t="inlineStr">
        <is>
          <t>BODEN</t>
        </is>
      </c>
      <c r="I784" t="n">
        <v>7.2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44935</v>
      </c>
      <c r="E785" s="1" t="n">
        <v>46286</v>
      </c>
      <c r="F785" t="inlineStr">
        <is>
          <t>NORRBOTTENS LÄN</t>
        </is>
      </c>
      <c r="G785" t="inlineStr">
        <is>
          <t>BODEN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23232-2024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46286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61588-2024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46286</v>
      </c>
      <c r="F787" t="inlineStr">
        <is>
          <t>NORRBOTTENS LÄN</t>
        </is>
      </c>
      <c r="G787" t="inlineStr">
        <is>
          <t>BODEN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46286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45478</v>
      </c>
      <c r="E789" s="1" t="n">
        <v>46286</v>
      </c>
      <c r="F789" t="inlineStr">
        <is>
          <t>NORRBOTTENS LÄN</t>
        </is>
      </c>
      <c r="G789" t="inlineStr">
        <is>
          <t>BODEN</t>
        </is>
      </c>
      <c r="I789" t="n">
        <v>7.5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36406-2026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46268</v>
      </c>
      <c r="E790" s="1" t="n">
        <v>46286</v>
      </c>
      <c r="F790" t="inlineStr">
        <is>
          <t>NORRBOTTENS LÄN</t>
        </is>
      </c>
      <c r="G790" t="inlineStr">
        <is>
          <t>BODEN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31652-2026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46225</v>
      </c>
      <c r="E791" s="1" t="n">
        <v>46286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36398-2026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46268</v>
      </c>
      <c r="E792" s="1" t="n">
        <v>46286</v>
      </c>
      <c r="F792" t="inlineStr">
        <is>
          <t>NORRBOTTENS LÄN</t>
        </is>
      </c>
      <c r="G792" t="inlineStr">
        <is>
          <t>BODEN</t>
        </is>
      </c>
      <c r="H792" t="inlineStr">
        <is>
          <t>Kommuner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46286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46029</v>
      </c>
      <c r="E794" s="1" t="n">
        <v>46286</v>
      </c>
      <c r="F794" t="inlineStr">
        <is>
          <t>NORRBOTTENS LÄN</t>
        </is>
      </c>
      <c r="G794" t="inlineStr">
        <is>
          <t>BODEN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46286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45778</v>
      </c>
      <c r="E796" s="1" t="n">
        <v>46286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45782</v>
      </c>
      <c r="E797" s="1" t="n">
        <v>46286</v>
      </c>
      <c r="F797" t="inlineStr">
        <is>
          <t>NORRBOTTENS LÄN</t>
        </is>
      </c>
      <c r="G797" t="inlineStr">
        <is>
          <t>BODEN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37029-2026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46286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36241-2026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46286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36623-2026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46270</v>
      </c>
      <c r="E800" s="1" t="n">
        <v>46286</v>
      </c>
      <c r="F800" t="inlineStr">
        <is>
          <t>NORRBOTTENS LÄN</t>
        </is>
      </c>
      <c r="G800" t="inlineStr">
        <is>
          <t>BODEN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37101-2026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46274</v>
      </c>
      <c r="E801" s="1" t="n">
        <v>46286</v>
      </c>
      <c r="F801" t="inlineStr">
        <is>
          <t>NORRBOTTENS LÄN</t>
        </is>
      </c>
      <c r="G801" t="inlineStr">
        <is>
          <t>BODEN</t>
        </is>
      </c>
      <c r="I801" t="n">
        <v>9.800000000000001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37119-2026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46286</v>
      </c>
      <c r="F802" t="inlineStr">
        <is>
          <t>NORRBOTTENS LÄN</t>
        </is>
      </c>
      <c r="G802" t="inlineStr">
        <is>
          <t>BODEN</t>
        </is>
      </c>
      <c r="I802" t="n">
        <v>12.3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46286</v>
      </c>
      <c r="F803" t="inlineStr">
        <is>
          <t>NORRBOTTENS LÄN</t>
        </is>
      </c>
      <c r="G803" t="inlineStr">
        <is>
          <t>BODEN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37472-2026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46275</v>
      </c>
      <c r="E804" s="1" t="n">
        <v>46286</v>
      </c>
      <c r="F804" t="inlineStr">
        <is>
          <t>NORRBOTTENS LÄN</t>
        </is>
      </c>
      <c r="G804" t="inlineStr">
        <is>
          <t>BODEN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37103-2026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46286</v>
      </c>
      <c r="F805" t="inlineStr">
        <is>
          <t>NORRBOTTENS LÄN</t>
        </is>
      </c>
      <c r="G805" t="inlineStr">
        <is>
          <t>BODEN</t>
        </is>
      </c>
      <c r="I805" t="n">
        <v>6.4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37162-2026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46274</v>
      </c>
      <c r="E806" s="1" t="n">
        <v>46286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46286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37459-2026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46275</v>
      </c>
      <c r="E808" s="1" t="n">
        <v>46286</v>
      </c>
      <c r="F808" t="inlineStr">
        <is>
          <t>NORRBOTTENS LÄN</t>
        </is>
      </c>
      <c r="G808" t="inlineStr">
        <is>
          <t>BODEN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37475-2026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46275</v>
      </c>
      <c r="E809" s="1" t="n">
        <v>46286</v>
      </c>
      <c r="F809" t="inlineStr">
        <is>
          <t>NORRBOTTENS LÄN</t>
        </is>
      </c>
      <c r="G809" t="inlineStr">
        <is>
          <t>BODEN</t>
        </is>
      </c>
      <c r="I809" t="n">
        <v>23.1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46234</v>
      </c>
      <c r="E810" s="1" t="n">
        <v>46286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37588-2026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46276</v>
      </c>
      <c r="E811" s="1" t="n">
        <v>46286</v>
      </c>
      <c r="F811" t="inlineStr">
        <is>
          <t>NORRBOTTENS LÄN</t>
        </is>
      </c>
      <c r="G811" t="inlineStr">
        <is>
          <t>BODEN</t>
        </is>
      </c>
      <c r="I811" t="n">
        <v>8.300000000000001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37589-2026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46276</v>
      </c>
      <c r="E812" s="1" t="n">
        <v>46286</v>
      </c>
      <c r="F812" t="inlineStr">
        <is>
          <t>NORRBOTTENS LÄN</t>
        </is>
      </c>
      <c r="G812" t="inlineStr">
        <is>
          <t>BODEN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32088-2026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46234</v>
      </c>
      <c r="E813" s="1" t="n">
        <v>46286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46234</v>
      </c>
      <c r="E814" s="1" t="n">
        <v>46286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36115-2023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46286</v>
      </c>
      <c r="F815" t="inlineStr">
        <is>
          <t>NORRBOTTENS LÄN</t>
        </is>
      </c>
      <c r="G815" t="inlineStr">
        <is>
          <t>BODEN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22372-2025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45786</v>
      </c>
      <c r="E816" s="1" t="n">
        <v>46286</v>
      </c>
      <c r="F816" t="inlineStr">
        <is>
          <t>NORRBOTTENS LÄN</t>
        </is>
      </c>
      <c r="G816" t="inlineStr">
        <is>
          <t>BODEN</t>
        </is>
      </c>
      <c r="H816" t="inlineStr">
        <is>
          <t>Kommuner</t>
        </is>
      </c>
      <c r="I816" t="n">
        <v>16.3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38259-2026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46281</v>
      </c>
      <c r="E817" s="1" t="n">
        <v>46286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38212-2026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46281</v>
      </c>
      <c r="E818" s="1" t="n">
        <v>46286</v>
      </c>
      <c r="F818" t="inlineStr">
        <is>
          <t>NORRBOTTENS LÄN</t>
        </is>
      </c>
      <c r="G818" t="inlineStr">
        <is>
          <t>BODEN</t>
        </is>
      </c>
      <c r="H818" t="inlineStr">
        <is>
          <t>Övriga Aktiebolag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46238</v>
      </c>
      <c r="E819" s="1" t="n">
        <v>46286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38280-2026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46281</v>
      </c>
      <c r="E820" s="1" t="n">
        <v>46286</v>
      </c>
      <c r="F820" t="inlineStr">
        <is>
          <t>NORRBOTTENS LÄN</t>
        </is>
      </c>
      <c r="G820" t="inlineStr">
        <is>
          <t>BODEN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46238</v>
      </c>
      <c r="E821" s="1" t="n">
        <v>46286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23321-2025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45791</v>
      </c>
      <c r="E822" s="1" t="n">
        <v>46286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10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38272-2026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46286</v>
      </c>
      <c r="F823" t="inlineStr">
        <is>
          <t>NORRBOTTENS LÄN</t>
        </is>
      </c>
      <c r="G823" t="inlineStr">
        <is>
          <t>BODEN</t>
        </is>
      </c>
      <c r="H823" t="inlineStr">
        <is>
          <t>Övriga Aktiebolag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12558-2024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45379</v>
      </c>
      <c r="E824" s="1" t="n">
        <v>46286</v>
      </c>
      <c r="F824" t="inlineStr">
        <is>
          <t>NORRBOTTENS LÄN</t>
        </is>
      </c>
      <c r="G824" t="inlineStr">
        <is>
          <t>BODEN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23761-2025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45793</v>
      </c>
      <c r="E825" s="1" t="n">
        <v>46286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23763-2025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45793</v>
      </c>
      <c r="E826" s="1" t="n">
        <v>46286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23724-2025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46286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38576-2026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46283</v>
      </c>
      <c r="E828" s="1" t="n">
        <v>46286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48420-2024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45590</v>
      </c>
      <c r="E829" s="1" t="n">
        <v>46286</v>
      </c>
      <c r="F829" t="inlineStr">
        <is>
          <t>NORRBOTTENS LÄN</t>
        </is>
      </c>
      <c r="G829" t="inlineStr">
        <is>
          <t>BODEN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48427-2024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45590</v>
      </c>
      <c r="E830" s="1" t="n">
        <v>46286</v>
      </c>
      <c r="F830" t="inlineStr">
        <is>
          <t>NORRBOTTENS LÄN</t>
        </is>
      </c>
      <c r="G830" t="inlineStr">
        <is>
          <t>BODEN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46286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26.6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32674-2026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46240</v>
      </c>
      <c r="E832" s="1" t="n">
        <v>46286</v>
      </c>
      <c r="F832" t="inlineStr">
        <is>
          <t>NORRBOTTENS LÄN</t>
        </is>
      </c>
      <c r="G832" t="inlineStr">
        <is>
          <t>BODEN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24358-2025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45797</v>
      </c>
      <c r="E833" s="1" t="n">
        <v>46286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45799</v>
      </c>
      <c r="E834" s="1" t="n">
        <v>46286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32678-2026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46240</v>
      </c>
      <c r="E835" s="1" t="n">
        <v>46286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7.4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46286</v>
      </c>
      <c r="F836" t="inlineStr">
        <is>
          <t>NORRBOTTENS LÄN</t>
        </is>
      </c>
      <c r="G836" t="inlineStr">
        <is>
          <t>BODEN</t>
        </is>
      </c>
      <c r="H836" t="inlineStr">
        <is>
          <t>Naturvårdsverket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38574-2026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46283</v>
      </c>
      <c r="E837" s="1" t="n">
        <v>46286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24545-2025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45798</v>
      </c>
      <c r="E838" s="1" t="n">
        <v>46286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46286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15.8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49806-2022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44862</v>
      </c>
      <c r="E840" s="1" t="n">
        <v>46286</v>
      </c>
      <c r="F840" t="inlineStr">
        <is>
          <t>NORRBOTTENS LÄN</t>
        </is>
      </c>
      <c r="G840" t="inlineStr">
        <is>
          <t>BODEN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45798</v>
      </c>
      <c r="E841" s="1" t="n">
        <v>46286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25983-2025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46286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52247-2024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45608</v>
      </c>
      <c r="E843" s="1" t="n">
        <v>46286</v>
      </c>
      <c r="F843" t="inlineStr">
        <is>
          <t>NORRBOTTENS LÄN</t>
        </is>
      </c>
      <c r="G843" t="inlineStr">
        <is>
          <t>BODEN</t>
        </is>
      </c>
      <c r="I843" t="n">
        <v>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52248-2024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45608</v>
      </c>
      <c r="E844" s="1" t="n">
        <v>46286</v>
      </c>
      <c r="F844" t="inlineStr">
        <is>
          <t>NORRBOTTENS LÄN</t>
        </is>
      </c>
      <c r="G844" t="inlineStr">
        <is>
          <t>BODEN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48431-2024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45590</v>
      </c>
      <c r="E845" s="1" t="n">
        <v>46286</v>
      </c>
      <c r="F845" t="inlineStr">
        <is>
          <t>NORRBOTTENS LÄN</t>
        </is>
      </c>
      <c r="G845" t="inlineStr">
        <is>
          <t>BODEN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19564-2024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45429</v>
      </c>
      <c r="E846" s="1" t="n">
        <v>46286</v>
      </c>
      <c r="F846" t="inlineStr">
        <is>
          <t>NORRBOTTENS LÄN</t>
        </is>
      </c>
      <c r="G846" t="inlineStr">
        <is>
          <t>BODEN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45464</v>
      </c>
      <c r="E847" s="1" t="n">
        <v>46286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61031-2024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45645</v>
      </c>
      <c r="E848" s="1" t="n">
        <v>46286</v>
      </c>
      <c r="F848" t="inlineStr">
        <is>
          <t>NORRBOTTENS LÄN</t>
        </is>
      </c>
      <c r="G848" t="inlineStr">
        <is>
          <t>BODEN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18671-2025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45763</v>
      </c>
      <c r="E849" s="1" t="n">
        <v>46286</v>
      </c>
      <c r="F849" t="inlineStr">
        <is>
          <t>NORRBOTTENS LÄN</t>
        </is>
      </c>
      <c r="G849" t="inlineStr">
        <is>
          <t>BODEN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38652-2024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45546</v>
      </c>
      <c r="E850" s="1" t="n">
        <v>46286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56474-2023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45243</v>
      </c>
      <c r="E851" s="1" t="n">
        <v>46286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45813</v>
      </c>
      <c r="E852" s="1" t="n">
        <v>46286</v>
      </c>
      <c r="F852" t="inlineStr">
        <is>
          <t>NORRBOTTENS LÄN</t>
        </is>
      </c>
      <c r="G852" t="inlineStr">
        <is>
          <t>BODEN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27543-2025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45813</v>
      </c>
      <c r="E853" s="1" t="n">
        <v>46286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27508-2025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45813</v>
      </c>
      <c r="E854" s="1" t="n">
        <v>46286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3090-2024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45316</v>
      </c>
      <c r="E855" s="1" t="n">
        <v>46286</v>
      </c>
      <c r="F855" t="inlineStr">
        <is>
          <t>NORRBOTTENS LÄN</t>
        </is>
      </c>
      <c r="G855" t="inlineStr">
        <is>
          <t>BODEN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45481</v>
      </c>
      <c r="E856" s="1" t="n">
        <v>46286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45766</v>
      </c>
      <c r="E857" s="1" t="n">
        <v>46286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28297-2025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45818</v>
      </c>
      <c r="E858" s="1" t="n">
        <v>46286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45427</v>
      </c>
      <c r="E859" s="1" t="n">
        <v>46286</v>
      </c>
      <c r="F859" t="inlineStr">
        <is>
          <t>NORRBOTTENS LÄN</t>
        </is>
      </c>
      <c r="G859" t="inlineStr">
        <is>
          <t>BODEN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28134-2025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45818</v>
      </c>
      <c r="E860" s="1" t="n">
        <v>46286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44625-2024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46286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28270-2025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45818</v>
      </c>
      <c r="E862" s="1" t="n">
        <v>46286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30089-2025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45826</v>
      </c>
      <c r="E863" s="1" t="n">
        <v>46286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45832</v>
      </c>
      <c r="E864" s="1" t="n">
        <v>46286</v>
      </c>
      <c r="F864" t="inlineStr">
        <is>
          <t>NORRBOTTENS LÄN</t>
        </is>
      </c>
      <c r="G864" t="inlineStr">
        <is>
          <t>BODEN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31487-2025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45833</v>
      </c>
      <c r="E865" s="1" t="n">
        <v>46286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9.800000000000001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31531-2025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46286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32052-2025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45835</v>
      </c>
      <c r="E867" s="1" t="n">
        <v>46286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25926-2025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45803</v>
      </c>
      <c r="E868" s="1" t="n">
        <v>46286</v>
      </c>
      <c r="F868" t="inlineStr">
        <is>
          <t>NORRBOTTENS LÄN</t>
        </is>
      </c>
      <c r="G868" t="inlineStr">
        <is>
          <t>BODEN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33130-2025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45840</v>
      </c>
      <c r="E869" s="1" t="n">
        <v>46286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33276-2025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45840</v>
      </c>
      <c r="E870" s="1" t="n">
        <v>46286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15486-2025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45747</v>
      </c>
      <c r="E871" s="1" t="n">
        <v>46286</v>
      </c>
      <c r="F871" t="inlineStr">
        <is>
          <t>NORRBOTTENS LÄN</t>
        </is>
      </c>
      <c r="G871" t="inlineStr">
        <is>
          <t>BODEN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33981-2025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45843</v>
      </c>
      <c r="E872" s="1" t="n">
        <v>46286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51280-2024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45603</v>
      </c>
      <c r="E873" s="1" t="n">
        <v>46286</v>
      </c>
      <c r="F873" t="inlineStr">
        <is>
          <t>NORRBOTTENS LÄN</t>
        </is>
      </c>
      <c r="G873" t="inlineStr">
        <is>
          <t>BODEN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35561-2025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45856</v>
      </c>
      <c r="E874" s="1" t="n">
        <v>46286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45796</v>
      </c>
      <c r="E875" s="1" t="n">
        <v>46286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2601-2025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45674</v>
      </c>
      <c r="E876" s="1" t="n">
        <v>46286</v>
      </c>
      <c r="F876" t="inlineStr">
        <is>
          <t>NORRBOTTENS LÄN</t>
        </is>
      </c>
      <c r="G876" t="inlineStr">
        <is>
          <t>BODEN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49728-2024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45596</v>
      </c>
      <c r="E877" s="1" t="n">
        <v>46286</v>
      </c>
      <c r="F877" t="inlineStr">
        <is>
          <t>NORRBOTTENS LÄN</t>
        </is>
      </c>
      <c r="G877" t="inlineStr">
        <is>
          <t>BODEN</t>
        </is>
      </c>
      <c r="I877" t="n">
        <v>22.7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46286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46286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46286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46286</v>
      </c>
      <c r="F881" t="inlineStr">
        <is>
          <t>NORRBOTTENS LÄN</t>
        </is>
      </c>
      <c r="G881" t="inlineStr">
        <is>
          <t>BODEN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46286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45877</v>
      </c>
      <c r="E883" s="1" t="n">
        <v>46286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45880</v>
      </c>
      <c r="E884" s="1" t="n">
        <v>46286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46286</v>
      </c>
      <c r="F885" t="inlineStr">
        <is>
          <t>NORRBOTTENS LÄN</t>
        </is>
      </c>
      <c r="G885" t="inlineStr">
        <is>
          <t>BODEN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46286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38288-2025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46286</v>
      </c>
      <c r="F887" t="inlineStr">
        <is>
          <t>NORRBOTTENS LÄN</t>
        </is>
      </c>
      <c r="G887" t="inlineStr">
        <is>
          <t>BODEN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46286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46286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46286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46286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46286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46286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46286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46286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46286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46286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46286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46286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46286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46286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46286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46286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46286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46286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46286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46286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46286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46286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2026-09-21T01:59:20Z</dcterms:created>
  <dcterms:modified xmlns:dcterms="http://purl.org/dc/terms/" xmlns:xsi="http://www.w3.org/2001/XMLSchema-instance" xsi:type="dcterms:W3CDTF">2026-09-21T01:59:21Z</dcterms:modified>
</cp:coreProperties>
</file>