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46230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46230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46230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46230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46230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46230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46230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46230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46230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t="n">
        <v>0</v>
      </c>
      <c r="V16" s="2" t="inlineStr">
        <is>
          <t>Knärot
Dropptaggsvamp
Höstlåsbräken
Orange taggsvamp
Tallticka
Grönpyrola
Skinnlav
Vedticka</t>
        </is>
      </c>
      <c r="W16">
        <f>HYPERLINK("https://klasma.github.io/Logging_2582/artfynd/A 19812-2025 artfynd.xlsx", "A 19812-2025")</f>
        <v/>
      </c>
      <c r="X16">
        <f>HYPERLINK("https://klasma.github.io/Logging_2582/kartor/A 19812-2025 karta.png", "A 19812-2025")</f>
        <v/>
      </c>
      <c r="Y16">
        <f>HYPERLINK("https://klasma.github.io/Logging_2582/kartor_geotiff/A 19812-2025 georefererad karta.tif", "A 19812-2025")</f>
        <v/>
      </c>
      <c r="Z16">
        <f>HYPERLINK("https://klasma.github.io/Logging_2582/knärot/A 19812-2025 karta knärot.png", "A 19812-2025")</f>
        <v/>
      </c>
      <c r="AA16">
        <f>HYPERLINK("https://klasma.github.io/Logging_2582/klagomål/A 19812-2025 FSC-klagomål.docx", "A 19812-2025")</f>
        <v/>
      </c>
      <c r="AB16">
        <f>HYPERLINK("https://klasma.github.io/Logging_2582/klagomålsmail/A 19812-2025 FSC-klagomål mail.docx", "A 19812-2025")</f>
        <v/>
      </c>
      <c r="AC16">
        <f>HYPERLINK("https://klasma.github.io/Logging_2582/tillsyn/A 19812-2025 tillsynsbegäran.docx", "A 19812-2025")</f>
        <v/>
      </c>
      <c r="AD16">
        <f>HYPERLINK("https://klasma.github.io/Logging_2582/tillsynsmail/A 19812-2025 tillsynsbegäran mail.docx", "A 19812-2025")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46230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46230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46230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46230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46230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46230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46230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46230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46230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46230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46230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32325-2024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45512</v>
      </c>
      <c r="E28" s="1" t="n">
        <v>46230</v>
      </c>
      <c r="F28" t="inlineStr">
        <is>
          <t>NORRBOTTENS LÄN</t>
        </is>
      </c>
      <c r="G28" t="inlineStr">
        <is>
          <t>BODEN</t>
        </is>
      </c>
      <c r="H28" t="inlineStr">
        <is>
          <t>Övriga Aktiebolag</t>
        </is>
      </c>
      <c r="I28" t="n">
        <v>36.5</v>
      </c>
      <c r="J28" t="n">
        <v>1</v>
      </c>
      <c r="K28" t="n">
        <v>2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5</v>
      </c>
      <c r="T28" t="n">
        <v>7</v>
      </c>
      <c r="U28" t="n">
        <v>7</v>
      </c>
      <c r="V28" s="2" t="inlineStr">
        <is>
          <t>Garnlav
Knärot
Gammelgransskål
Luddlav
Skinnlav</t>
        </is>
      </c>
      <c r="W28">
        <f>HYPERLINK("https://klasma.github.io/Logging_2582/artfynd/A 32325-2024 artfynd.xlsx", "A 32325-2024")</f>
        <v/>
      </c>
      <c r="X28">
        <f>HYPERLINK("https://klasma.github.io/Logging_2582/kartor/A 32325-2024 karta.png", "A 32325-2024")</f>
        <v/>
      </c>
      <c r="Y28">
        <f>HYPERLINK("https://klasma.github.io/Logging_2582/kartor_geotiff/A 32325-2024 georefererad karta.tif", "A 32325-2024")</f>
        <v/>
      </c>
      <c r="Z28">
        <f>HYPERLINK("https://klasma.github.io/Logging_2582/knärot/A 32325-2024 karta knärot.png", "A 32325-2024")</f>
        <v/>
      </c>
      <c r="AA28">
        <f>HYPERLINK("https://klasma.github.io/Logging_2582/klagomål/A 32325-2024 FSC-klagomål.docx", "A 32325-2024")</f>
        <v/>
      </c>
      <c r="AB28">
        <f>HYPERLINK("https://klasma.github.io/Logging_2582/klagomålsmail/A 32325-2024 FSC-klagomål mail.docx", "A 32325-2024")</f>
        <v/>
      </c>
      <c r="AC28">
        <f>HYPERLINK("https://klasma.github.io/Logging_2582/tillsyn/A 32325-2024 tillsynsbegäran.docx", "A 32325-2024")</f>
        <v/>
      </c>
      <c r="AD28">
        <f>HYPERLINK("https://klasma.github.io/Logging_2582/tillsynsmail/A 32325-2024 tillsynsbegäran mail.docx", "A 32325-2024")</f>
        <v/>
      </c>
    </row>
    <row r="29" ht="15" customHeight="1">
      <c r="A29" t="inlineStr">
        <is>
          <t>A 43709-2025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46230</v>
      </c>
      <c r="F29" t="inlineStr">
        <is>
          <t>NORRBOTTENS LÄN</t>
        </is>
      </c>
      <c r="G29" t="inlineStr">
        <is>
          <t>BODEN</t>
        </is>
      </c>
      <c r="I29" t="n">
        <v>7.7</v>
      </c>
      <c r="J29" t="n">
        <v>4</v>
      </c>
      <c r="K29" t="n">
        <v>1</v>
      </c>
      <c r="L29" t="n">
        <v>2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Vitryggig hackspett
Talltita
Tretåig hackspett
Björksplintborre
Spillkråka</t>
        </is>
      </c>
      <c r="W29">
        <f>HYPERLINK("https://klasma.github.io/Logging_2582/artfynd/A 43709-2025 artfynd.xlsx", "A 43709-2025")</f>
        <v/>
      </c>
      <c r="X29">
        <f>HYPERLINK("https://klasma.github.io/Logging_2582/kartor/A 43709-2025 karta.png", "A 43709-2025")</f>
        <v/>
      </c>
      <c r="Y29">
        <f>HYPERLINK("https://klasma.github.io/Logging_2582/kartor_geotiff/A 43709-2025 georefererad karta.tif", "A 43709-2025")</f>
        <v/>
      </c>
      <c r="AA29">
        <f>HYPERLINK("https://klasma.github.io/Logging_2582/klagomål/A 43709-2025 FSC-klagomål.docx", "A 43709-2025")</f>
        <v/>
      </c>
      <c r="AB29">
        <f>HYPERLINK("https://klasma.github.io/Logging_2582/klagomålsmail/A 43709-2025 FSC-klagomål mail.docx", "A 43709-2025")</f>
        <v/>
      </c>
      <c r="AC29">
        <f>HYPERLINK("https://klasma.github.io/Logging_2582/tillsyn/A 43709-2025 tillsynsbegäran.docx", "A 43709-2025")</f>
        <v/>
      </c>
      <c r="AD29">
        <f>HYPERLINK("https://klasma.github.io/Logging_2582/tillsynsmail/A 43709-2025 tillsynsbegäran mail.docx", "A 43709-2025")</f>
        <v/>
      </c>
      <c r="AE29">
        <f>HYPERLINK("https://klasma.github.io/Logging_2582/fåglar/A 43709-2025 prioriterade fågelarter.docx", "A 43709-2025")</f>
        <v/>
      </c>
    </row>
    <row r="30" ht="15" customHeight="1">
      <c r="A30" t="inlineStr">
        <is>
          <t>A 39868-2025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45893</v>
      </c>
      <c r="E30" s="1" t="n">
        <v>46230</v>
      </c>
      <c r="F30" t="inlineStr">
        <is>
          <t>NORRBOTTENS LÄN</t>
        </is>
      </c>
      <c r="G30" t="inlineStr">
        <is>
          <t>BODEN</t>
        </is>
      </c>
      <c r="H30" t="inlineStr">
        <is>
          <t>Övriga statliga verk och myndigheter</t>
        </is>
      </c>
      <c r="I30" t="n">
        <v>3.1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Nötkråka
Talltita
Gråspett
Järpe
Spillkråka</t>
        </is>
      </c>
      <c r="W30">
        <f>HYPERLINK("https://klasma.github.io/Logging_2582/artfynd/A 39868-2025 artfynd.xlsx", "A 39868-2025")</f>
        <v/>
      </c>
      <c r="X30">
        <f>HYPERLINK("https://klasma.github.io/Logging_2582/kartor/A 39868-2025 karta.png", "A 39868-2025")</f>
        <v/>
      </c>
      <c r="Y30">
        <f>HYPERLINK("https://klasma.github.io/Logging_2582/kartor_geotiff/A 39868-2025 georefererad karta.tif", "A 39868-2025")</f>
        <v/>
      </c>
      <c r="AA30">
        <f>HYPERLINK("https://klasma.github.io/Logging_2582/klagomål/A 39868-2025 FSC-klagomål.docx", "A 39868-2025")</f>
        <v/>
      </c>
      <c r="AB30">
        <f>HYPERLINK("https://klasma.github.io/Logging_2582/klagomålsmail/A 39868-2025 FSC-klagomål mail.docx", "A 39868-2025")</f>
        <v/>
      </c>
      <c r="AC30">
        <f>HYPERLINK("https://klasma.github.io/Logging_2582/tillsyn/A 39868-2025 tillsynsbegäran.docx", "A 39868-2025")</f>
        <v/>
      </c>
      <c r="AD30">
        <f>HYPERLINK("https://klasma.github.io/Logging_2582/tillsynsmail/A 39868-2025 tillsynsbegäran mail.docx", "A 39868-2025")</f>
        <v/>
      </c>
      <c r="AE30">
        <f>HYPERLINK("https://klasma.github.io/Logging_2582/fåglar/A 39868-2025 prioriterade fågelarter.docx", "A 39868-2025")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46230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31197-2026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46209</v>
      </c>
      <c r="E32" s="1" t="n">
        <v>46230</v>
      </c>
      <c r="F32" t="inlineStr">
        <is>
          <t>NORRBOTTENS LÄN</t>
        </is>
      </c>
      <c r="G32" t="inlineStr">
        <is>
          <t>BODEN</t>
        </is>
      </c>
      <c r="H32" t="inlineStr">
        <is>
          <t>Kommuner</t>
        </is>
      </c>
      <c r="I32" t="n">
        <v>2.7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6</v>
      </c>
      <c r="U32" t="n">
        <v>0</v>
      </c>
      <c r="V32" s="2" t="inlineStr">
        <is>
          <t>Tornseglare
Älvstarr
Grönsiska
Svartvit flugsnappare
Vanlig groda</t>
        </is>
      </c>
      <c r="W32">
        <f>HYPERLINK("https://klasma.github.io/Logging_2582/artfynd/A 31197-2026 artfynd.xlsx", "A 31197-2026")</f>
        <v/>
      </c>
      <c r="X32">
        <f>HYPERLINK("https://klasma.github.io/Logging_2582/kartor/A 31197-2026 karta.png", "A 31197-2026")</f>
        <v/>
      </c>
      <c r="Y32">
        <f>HYPERLINK("https://klasma.github.io/Logging_2582/kartor_geotiff/A 31197-2026 georefererad karta.tif", "A 31197-2026")</f>
        <v/>
      </c>
      <c r="AA32">
        <f>HYPERLINK("https://klasma.github.io/Logging_2582/klagomål/A 31197-2026 FSC-klagomål.docx", "A 31197-2026")</f>
        <v/>
      </c>
      <c r="AB32">
        <f>HYPERLINK("https://klasma.github.io/Logging_2582/klagomålsmail/A 31197-2026 FSC-klagomål mail.docx", "A 31197-2026")</f>
        <v/>
      </c>
      <c r="AC32">
        <f>HYPERLINK("https://klasma.github.io/Logging_2582/tillsyn/A 31197-2026 tillsynsbegäran.docx", "A 31197-2026")</f>
        <v/>
      </c>
      <c r="AD32">
        <f>HYPERLINK("https://klasma.github.io/Logging_2582/tillsynsmail/A 31197-2026 tillsynsbegäran mail.docx", "A 31197-2026")</f>
        <v/>
      </c>
      <c r="AE32">
        <f>HYPERLINK("https://klasma.github.io/Logging_2582/fåglar/A 31197-2026 prioriterade fågelarter.docx", "A 31197-2026")</f>
        <v/>
      </c>
    </row>
    <row r="33" ht="15" customHeight="1">
      <c r="A33" t="inlineStr">
        <is>
          <t>A 30513-2026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46210</v>
      </c>
      <c r="E33" s="1" t="n">
        <v>46230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10.2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14</v>
      </c>
      <c r="U33" t="n">
        <v>5</v>
      </c>
      <c r="V33" s="2" t="inlineStr">
        <is>
          <t>Gräddporing
Knärot
Nordtagging
Tallticka
Grönpyrola</t>
        </is>
      </c>
      <c r="W33">
        <f>HYPERLINK("https://klasma.github.io/Logging_2582/artfynd/A 30513-2026 artfynd.xlsx", "A 30513-2026")</f>
        <v/>
      </c>
      <c r="X33">
        <f>HYPERLINK("https://klasma.github.io/Logging_2582/kartor/A 30513-2026 karta.png", "A 30513-2026")</f>
        <v/>
      </c>
      <c r="Y33">
        <f>HYPERLINK("https://klasma.github.io/Logging_2582/kartor_geotiff/A 30513-2026 georefererad karta.tif", "A 30513-2026")</f>
        <v/>
      </c>
      <c r="Z33">
        <f>HYPERLINK("https://klasma.github.io/Logging_2582/knärot/A 30513-2026 karta knärot.png", "A 30513-2026")</f>
        <v/>
      </c>
      <c r="AA33">
        <f>HYPERLINK("https://klasma.github.io/Logging_2582/klagomål/A 30513-2026 FSC-klagomål.docx", "A 30513-2026")</f>
        <v/>
      </c>
      <c r="AB33">
        <f>HYPERLINK("https://klasma.github.io/Logging_2582/klagomålsmail/A 30513-2026 FSC-klagomål mail.docx", "A 30513-2026")</f>
        <v/>
      </c>
      <c r="AC33">
        <f>HYPERLINK("https://klasma.github.io/Logging_2582/tillsyn/A 30513-2026 tillsynsbegäran.docx", "A 30513-2026")</f>
        <v/>
      </c>
      <c r="AD33">
        <f>HYPERLINK("https://klasma.github.io/Logging_2582/tillsynsmail/A 30513-2026 tillsynsbegäran mail.docx", "A 30513-2026")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46230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46230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46230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13.6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4</v>
      </c>
      <c r="V36" s="2" t="inlineStr">
        <is>
          <t>Doftticka
Garnlav
Lunglav
Bårdlav
Stuplav</t>
        </is>
      </c>
      <c r="W36">
        <f>HYPERLINK("https://klasma.github.io/Logging_2582/artfynd/A 32309-2025 artfynd.xlsx", "A 32309-2025")</f>
        <v/>
      </c>
      <c r="X36">
        <f>HYPERLINK("https://klasma.github.io/Logging_2582/kartor/A 32309-2025 karta.png", "A 32309-2025")</f>
        <v/>
      </c>
      <c r="Y36">
        <f>HYPERLINK("https://klasma.github.io/Logging_2582/kartor_geotiff/A 32309-2025 georefererad karta.tif", "A 32309-2025")</f>
        <v/>
      </c>
      <c r="AA36">
        <f>HYPERLINK("https://klasma.github.io/Logging_2582/klagomål/A 32309-2025 FSC-klagomål.docx", "A 32309-2025")</f>
        <v/>
      </c>
      <c r="AB36">
        <f>HYPERLINK("https://klasma.github.io/Logging_2582/klagomålsmail/A 32309-2025 FSC-klagomål mail.docx", "A 32309-2025")</f>
        <v/>
      </c>
      <c r="AC36">
        <f>HYPERLINK("https://klasma.github.io/Logging_2582/tillsyn/A 32309-2025 tillsynsbegäran.docx", "A 32309-2025")</f>
        <v/>
      </c>
      <c r="AD36">
        <f>HYPERLINK("https://klasma.github.io/Logging_2582/tillsynsmail/A 32309-2025 tillsynsbegäran mail.docx", "A 32309-2025")</f>
        <v/>
      </c>
    </row>
    <row r="37" ht="15" customHeight="1">
      <c r="A37" t="inlineStr">
        <is>
          <t>A 57526-2025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46230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2.9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27</v>
      </c>
      <c r="U37" t="n">
        <v>0</v>
      </c>
      <c r="V37" s="2" t="inlineStr">
        <is>
          <t>Knärot
Lunglav
Ullticka
Stuplav</t>
        </is>
      </c>
      <c r="W37">
        <f>HYPERLINK("https://klasma.github.io/Logging_2582/artfynd/A 57526-2025 artfynd.xlsx", "A 57526-2025")</f>
        <v/>
      </c>
      <c r="X37">
        <f>HYPERLINK("https://klasma.github.io/Logging_2582/kartor/A 57526-2025 karta.png", "A 57526-2025")</f>
        <v/>
      </c>
      <c r="Y37">
        <f>HYPERLINK("https://klasma.github.io/Logging_2582/kartor_geotiff/A 57526-2025 georefererad karta.tif", "A 57526-2025")</f>
        <v/>
      </c>
      <c r="Z37">
        <f>HYPERLINK("https://klasma.github.io/Logging_2582/knärot/A 57526-2025 karta knärot.png", "A 57526-2025")</f>
        <v/>
      </c>
      <c r="AA37">
        <f>HYPERLINK("https://klasma.github.io/Logging_2582/klagomål/A 57526-2025 FSC-klagomål.docx", "A 57526-2025")</f>
        <v/>
      </c>
      <c r="AB37">
        <f>HYPERLINK("https://klasma.github.io/Logging_2582/klagomålsmail/A 57526-2025 FSC-klagomål mail.docx", "A 57526-2025")</f>
        <v/>
      </c>
      <c r="AC37">
        <f>HYPERLINK("https://klasma.github.io/Logging_2582/tillsyn/A 57526-2025 tillsynsbegäran.docx", "A 57526-2025")</f>
        <v/>
      </c>
      <c r="AD37">
        <f>HYPERLINK("https://klasma.github.io/Logging_2582/tillsynsmail/A 57526-2025 tillsynsbegäran mail.docx", "A 57526-2025")</f>
        <v/>
      </c>
    </row>
    <row r="38" ht="15" customHeight="1">
      <c r="A38" t="inlineStr">
        <is>
          <t>A 21475-2026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46148</v>
      </c>
      <c r="E38" s="1" t="n">
        <v>46230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27.6</v>
      </c>
      <c r="J38" t="n">
        <v>2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Harticka
Tretåig hackspett
Smal svampklubba
Järpe</t>
        </is>
      </c>
      <c r="W38">
        <f>HYPERLINK("https://klasma.github.io/Logging_2582/artfynd/A 21475-2026 artfynd.xlsx", "A 21475-2026")</f>
        <v/>
      </c>
      <c r="X38">
        <f>HYPERLINK("https://klasma.github.io/Logging_2582/kartor/A 21475-2026 karta.png", "A 21475-2026")</f>
        <v/>
      </c>
      <c r="Y38">
        <f>HYPERLINK("https://klasma.github.io/Logging_2582/kartor_geotiff/A 21475-2026 georefererad karta.tif", "A 21475-2026")</f>
        <v/>
      </c>
      <c r="AA38">
        <f>HYPERLINK("https://klasma.github.io/Logging_2582/klagomål/A 21475-2026 FSC-klagomål.docx", "A 21475-2026")</f>
        <v/>
      </c>
      <c r="AB38">
        <f>HYPERLINK("https://klasma.github.io/Logging_2582/klagomålsmail/A 21475-2026 FSC-klagomål mail.docx", "A 21475-2026")</f>
        <v/>
      </c>
      <c r="AC38">
        <f>HYPERLINK("https://klasma.github.io/Logging_2582/tillsyn/A 21475-2026 tillsynsbegäran.docx", "A 21475-2026")</f>
        <v/>
      </c>
      <c r="AD38">
        <f>HYPERLINK("https://klasma.github.io/Logging_2582/tillsynsmail/A 21475-2026 tillsynsbegäran mail.docx", "A 21475-2026")</f>
        <v/>
      </c>
      <c r="AE38">
        <f>HYPERLINK("https://klasma.github.io/Logging_2582/fåglar/A 21475-2026 prioriterade fågelarter.docx", "A 21475-2026")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46230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t="n">
        <v>0</v>
      </c>
      <c r="V39" s="2" t="inlineStr">
        <is>
          <t>Goliatmusseron
Skrovlig taggsvamp
Dvärgbägarlav
Skarp dropptaggsvamp</t>
        </is>
      </c>
      <c r="W39">
        <f>HYPERLINK("https://klasma.github.io/Logging_2582/artfynd/A 59028-2025 artfynd.xlsx", "A 59028-2025")</f>
        <v/>
      </c>
      <c r="X39">
        <f>HYPERLINK("https://klasma.github.io/Logging_2582/kartor/A 59028-2025 karta.png", "A 59028-2025")</f>
        <v/>
      </c>
      <c r="Y39">
        <f>HYPERLINK("https://klasma.github.io/Logging_2582/kartor_geotiff/A 59028-2025 georefererad karta.tif", "A 59028-2025")</f>
        <v/>
      </c>
      <c r="AA39">
        <f>HYPERLINK("https://klasma.github.io/Logging_2582/klagomål/A 59028-2025 FSC-klagomål.docx", "A 59028-2025")</f>
        <v/>
      </c>
      <c r="AB39">
        <f>HYPERLINK("https://klasma.github.io/Logging_2582/klagomålsmail/A 59028-2025 FSC-klagomål mail.docx", "A 59028-2025")</f>
        <v/>
      </c>
      <c r="AC39">
        <f>HYPERLINK("https://klasma.github.io/Logging_2582/tillsyn/A 59028-2025 tillsynsbegäran.docx", "A 59028-2025")</f>
        <v/>
      </c>
      <c r="AD39">
        <f>HYPERLINK("https://klasma.github.io/Logging_2582/tillsynsmail/A 59028-2025 tillsynsbegäran mail.docx", "A 59028-2025")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46230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46230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28358-2026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46230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7.3</v>
      </c>
      <c r="J42" t="n">
        <v>3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6</v>
      </c>
      <c r="U42" t="n">
        <v>0</v>
      </c>
      <c r="V42" s="2" t="inlineStr">
        <is>
          <t>Doftticka
Knärot
Lunglav
Spindelblomster</t>
        </is>
      </c>
      <c r="W42">
        <f>HYPERLINK("https://klasma.github.io/Logging_2582/artfynd/A 28358-2026 artfynd.xlsx", "A 28358-2026")</f>
        <v/>
      </c>
      <c r="X42">
        <f>HYPERLINK("https://klasma.github.io/Logging_2582/kartor/A 28358-2026 karta.png", "A 28358-2026")</f>
        <v/>
      </c>
      <c r="Y42">
        <f>HYPERLINK("https://klasma.github.io/Logging_2582/kartor_geotiff/A 28358-2026 georefererad karta.tif", "A 28358-2026")</f>
        <v/>
      </c>
      <c r="Z42">
        <f>HYPERLINK("https://klasma.github.io/Logging_2582/knärot/A 28358-2026 karta knärot.png", "A 28358-2026")</f>
        <v/>
      </c>
      <c r="AA42">
        <f>HYPERLINK("https://klasma.github.io/Logging_2582/klagomål/A 28358-2026 FSC-klagomål.docx", "A 28358-2026")</f>
        <v/>
      </c>
      <c r="AB42">
        <f>HYPERLINK("https://klasma.github.io/Logging_2582/klagomålsmail/A 28358-2026 FSC-klagomål mail.docx", "A 28358-2026")</f>
        <v/>
      </c>
      <c r="AC42">
        <f>HYPERLINK("https://klasma.github.io/Logging_2582/tillsyn/A 28358-2026 tillsynsbegäran.docx", "A 28358-2026")</f>
        <v/>
      </c>
      <c r="AD42">
        <f>HYPERLINK("https://klasma.github.io/Logging_2582/tillsynsmail/A 28358-2026 tillsynsbegäran mail.docx", "A 28358-2026")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46230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28197-2025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46230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7.2</v>
      </c>
      <c r="J44" t="n">
        <v>2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7</v>
      </c>
      <c r="U44" t="n">
        <v>7</v>
      </c>
      <c r="V44" s="2" t="inlineStr">
        <is>
          <t>Knärot
Norna
Lunglav
Stuplav</t>
        </is>
      </c>
      <c r="W44">
        <f>HYPERLINK("https://klasma.github.io/Logging_2582/artfynd/A 28197-2025 artfynd.xlsx", "A 28197-2025")</f>
        <v/>
      </c>
      <c r="X44">
        <f>HYPERLINK("https://klasma.github.io/Logging_2582/kartor/A 28197-2025 karta.png", "A 28197-2025")</f>
        <v/>
      </c>
      <c r="Y44">
        <f>HYPERLINK("https://klasma.github.io/Logging_2582/kartor_geotiff/A 28197-2025 georefererad karta.tif", "A 28197-2025")</f>
        <v/>
      </c>
      <c r="Z44">
        <f>HYPERLINK("https://klasma.github.io/Logging_2582/knärot/A 28197-2025 karta knärot.png", "A 28197-2025")</f>
        <v/>
      </c>
      <c r="AA44">
        <f>HYPERLINK("https://klasma.github.io/Logging_2582/klagomål/A 28197-2025 FSC-klagomål.docx", "A 28197-2025")</f>
        <v/>
      </c>
      <c r="AB44">
        <f>HYPERLINK("https://klasma.github.io/Logging_2582/klagomålsmail/A 28197-2025 FSC-klagomål mail.docx", "A 28197-2025")</f>
        <v/>
      </c>
      <c r="AC44">
        <f>HYPERLINK("https://klasma.github.io/Logging_2582/tillsyn/A 28197-2025 tillsynsbegäran.docx", "A 28197-2025")</f>
        <v/>
      </c>
      <c r="AD44">
        <f>HYPERLINK("https://klasma.github.io/Logging_2582/tillsynsmail/A 28197-2025 tillsynsbegäran mail.docx", "A 28197-2025")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46230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46230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Liten hornflikmossa
Vedtrappmossa
Stuplav</t>
        </is>
      </c>
      <c r="W46">
        <f>HYPERLINK("https://klasma.github.io/Logging_2582/artfynd/A 43719-2025 artfynd.xlsx", "A 43719-2025")</f>
        <v/>
      </c>
      <c r="X46">
        <f>HYPERLINK("https://klasma.github.io/Logging_2582/kartor/A 43719-2025 karta.png", "A 43719-2025")</f>
        <v/>
      </c>
      <c r="Y46">
        <f>HYPERLINK("https://klasma.github.io/Logging_2582/kartor_geotiff/A 43719-2025 georefererad karta.tif", "A 43719-2025")</f>
        <v/>
      </c>
      <c r="AA46">
        <f>HYPERLINK("https://klasma.github.io/Logging_2582/klagomål/A 43719-2025 FSC-klagomål.docx", "A 43719-2025")</f>
        <v/>
      </c>
      <c r="AB46">
        <f>HYPERLINK("https://klasma.github.io/Logging_2582/klagomålsmail/A 43719-2025 FSC-klagomål mail.docx", "A 43719-2025")</f>
        <v/>
      </c>
      <c r="AC46">
        <f>HYPERLINK("https://klasma.github.io/Logging_2582/tillsyn/A 43719-2025 tillsynsbegäran.docx", "A 43719-2025")</f>
        <v/>
      </c>
      <c r="AD46">
        <f>HYPERLINK("https://klasma.github.io/Logging_2582/tillsynsmail/A 43719-2025 tillsynsbegäran mail.docx", "A 43719-2025")</f>
        <v/>
      </c>
    </row>
    <row r="47" ht="15" customHeight="1">
      <c r="A47" t="inlineStr">
        <is>
          <t>A 23323-2025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46230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21.8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Grönpyrola
Fläcknycklar
Nattviol</t>
        </is>
      </c>
      <c r="W47">
        <f>HYPERLINK("https://klasma.github.io/Logging_2582/artfynd/A 23323-2025 artfynd.xlsx", "A 23323-2025")</f>
        <v/>
      </c>
      <c r="X47">
        <f>HYPERLINK("https://klasma.github.io/Logging_2582/kartor/A 23323-2025 karta.png", "A 23323-2025")</f>
        <v/>
      </c>
      <c r="Y47">
        <f>HYPERLINK("https://klasma.github.io/Logging_2582/kartor_geotiff/A 23323-2025 georefererad karta.tif", "A 23323-2025")</f>
        <v/>
      </c>
      <c r="AA47">
        <f>HYPERLINK("https://klasma.github.io/Logging_2582/klagomål/A 23323-2025 FSC-klagomål.docx", "A 23323-2025")</f>
        <v/>
      </c>
      <c r="AB47">
        <f>HYPERLINK("https://klasma.github.io/Logging_2582/klagomålsmail/A 23323-2025 FSC-klagomål mail.docx", "A 23323-2025")</f>
        <v/>
      </c>
      <c r="AC47">
        <f>HYPERLINK("https://klasma.github.io/Logging_2582/tillsyn/A 23323-2025 tillsynsbegäran.docx", "A 23323-2025")</f>
        <v/>
      </c>
      <c r="AD47">
        <f>HYPERLINK("https://klasma.github.io/Logging_2582/tillsynsmail/A 23323-2025 tillsynsbegäran mail.docx", "A 23323-2025")</f>
        <v/>
      </c>
    </row>
    <row r="48" ht="15" customHeight="1">
      <c r="A48" t="inlineStr">
        <is>
          <t>A 48220-2025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46230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Garnlav
Gammelgransskål
Spillkråka</t>
        </is>
      </c>
      <c r="W48">
        <f>HYPERLINK("https://klasma.github.io/Logging_2582/artfynd/A 48220-2025 artfynd.xlsx", "A 48220-2025")</f>
        <v/>
      </c>
      <c r="X48">
        <f>HYPERLINK("https://klasma.github.io/Logging_2582/kartor/A 48220-2025 karta.png", "A 48220-2025")</f>
        <v/>
      </c>
      <c r="Y48">
        <f>HYPERLINK("https://klasma.github.io/Logging_2582/kartor_geotiff/A 48220-2025 georefererad karta.tif", "A 48220-2025")</f>
        <v/>
      </c>
      <c r="AA48">
        <f>HYPERLINK("https://klasma.github.io/Logging_2582/klagomål/A 48220-2025 FSC-klagomål.docx", "A 48220-2025")</f>
        <v/>
      </c>
      <c r="AB48">
        <f>HYPERLINK("https://klasma.github.io/Logging_2582/klagomålsmail/A 48220-2025 FSC-klagomål mail.docx", "A 48220-2025")</f>
        <v/>
      </c>
      <c r="AC48">
        <f>HYPERLINK("https://klasma.github.io/Logging_2582/tillsyn/A 48220-2025 tillsynsbegäran.docx", "A 48220-2025")</f>
        <v/>
      </c>
      <c r="AD48">
        <f>HYPERLINK("https://klasma.github.io/Logging_2582/tillsynsmail/A 48220-2025 tillsynsbegäran mail.docx", "A 48220-2025")</f>
        <v/>
      </c>
      <c r="AE48">
        <f>HYPERLINK("https://klasma.github.io/Logging_2582/fåglar/A 48220-2025 prioriterade fågelarter.docx", "A 48220-2025")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46230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Dropptaggsvamp
Dvärgbägarlav
Lunglav</t>
        </is>
      </c>
      <c r="W49">
        <f>HYPERLINK("https://klasma.github.io/Logging_2582/artfynd/A 57806-2025 artfynd.xlsx", "A 57806-2025")</f>
        <v/>
      </c>
      <c r="X49">
        <f>HYPERLINK("https://klasma.github.io/Logging_2582/kartor/A 57806-2025 karta.png", "A 57806-2025")</f>
        <v/>
      </c>
      <c r="Y49">
        <f>HYPERLINK("https://klasma.github.io/Logging_2582/kartor_geotiff/A 57806-2025 georefererad karta.tif", "A 57806-2025")</f>
        <v/>
      </c>
      <c r="AA49">
        <f>HYPERLINK("https://klasma.github.io/Logging_2582/klagomål/A 57806-2025 FSC-klagomål.docx", "A 57806-2025")</f>
        <v/>
      </c>
      <c r="AB49">
        <f>HYPERLINK("https://klasma.github.io/Logging_2582/klagomålsmail/A 57806-2025 FSC-klagomål mail.docx", "A 57806-2025")</f>
        <v/>
      </c>
      <c r="AC49">
        <f>HYPERLINK("https://klasma.github.io/Logging_2582/tillsyn/A 57806-2025 tillsynsbegäran.docx", "A 57806-2025")</f>
        <v/>
      </c>
      <c r="AD49">
        <f>HYPERLINK("https://klasma.github.io/Logging_2582/tillsynsmail/A 57806-2025 tillsynsbegäran mail.docx", "A 57806-2025")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46230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Gammelgransskål
Nordfladdermus
Bollvitmossa</t>
        </is>
      </c>
      <c r="W50">
        <f>HYPERLINK("https://klasma.github.io/Logging_2582/artfynd/A 23575-2023 artfynd.xlsx", "A 23575-2023")</f>
        <v/>
      </c>
      <c r="X50">
        <f>HYPERLINK("https://klasma.github.io/Logging_2582/kartor/A 23575-2023 karta.png", "A 23575-2023")</f>
        <v/>
      </c>
      <c r="Y50">
        <f>HYPERLINK("https://klasma.github.io/Logging_2582/kartor_geotiff/A 23575-2023 georefererad karta.tif", "A 23575-2023")</f>
        <v/>
      </c>
      <c r="AA50">
        <f>HYPERLINK("https://klasma.github.io/Logging_2582/klagomål/A 23575-2023 FSC-klagomål.docx", "A 23575-2023")</f>
        <v/>
      </c>
      <c r="AB50">
        <f>HYPERLINK("https://klasma.github.io/Logging_2582/klagomålsmail/A 23575-2023 FSC-klagomål mail.docx", "A 23575-2023")</f>
        <v/>
      </c>
      <c r="AC50">
        <f>HYPERLINK("https://klasma.github.io/Logging_2582/tillsyn/A 23575-2023 tillsynsbegäran.docx", "A 23575-2023")</f>
        <v/>
      </c>
      <c r="AD50">
        <f>HYPERLINK("https://klasma.github.io/Logging_2582/tillsynsmail/A 23575-2023 tillsynsbegäran mail.docx", "A 23575-2023")</f>
        <v/>
      </c>
    </row>
    <row r="51" ht="15" customHeight="1">
      <c r="A51" t="inlineStr">
        <is>
          <t>A 29868-2026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46230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5.3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6</v>
      </c>
      <c r="U51" t="n">
        <v>2</v>
      </c>
      <c r="V51" s="2" t="inlineStr">
        <is>
          <t>Garnlav
Lunglav
Spindelblomster</t>
        </is>
      </c>
      <c r="W51">
        <f>HYPERLINK("https://klasma.github.io/Logging_2582/artfynd/A 29868-2026 artfynd.xlsx", "A 29868-2026")</f>
        <v/>
      </c>
      <c r="X51">
        <f>HYPERLINK("https://klasma.github.io/Logging_2582/kartor/A 29868-2026 karta.png", "A 29868-2026")</f>
        <v/>
      </c>
      <c r="Y51">
        <f>HYPERLINK("https://klasma.github.io/Logging_2582/kartor_geotiff/A 29868-2026 georefererad karta.tif", "A 29868-2026")</f>
        <v/>
      </c>
      <c r="AA51">
        <f>HYPERLINK("https://klasma.github.io/Logging_2582/klagomål/A 29868-2026 FSC-klagomål.docx", "A 29868-2026")</f>
        <v/>
      </c>
      <c r="AB51">
        <f>HYPERLINK("https://klasma.github.io/Logging_2582/klagomålsmail/A 29868-2026 FSC-klagomål mail.docx", "A 29868-2026")</f>
        <v/>
      </c>
      <c r="AC51">
        <f>HYPERLINK("https://klasma.github.io/Logging_2582/tillsyn/A 29868-2026 tillsynsbegäran.docx", "A 29868-2026")</f>
        <v/>
      </c>
      <c r="AD51">
        <f>HYPERLINK("https://klasma.github.io/Logging_2582/tillsynsmail/A 29868-2026 tillsynsbegäran mail.docx", "A 29868-2026")</f>
        <v/>
      </c>
    </row>
    <row r="52" ht="15" customHeight="1">
      <c r="A52" t="inlineStr">
        <is>
          <t>A 6118-2025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45698</v>
      </c>
      <c r="E52" s="1" t="n">
        <v>46230</v>
      </c>
      <c r="F52" t="inlineStr">
        <is>
          <t>NORRBOTTENS LÄN</t>
        </is>
      </c>
      <c r="G52" t="inlineStr">
        <is>
          <t>BODEN</t>
        </is>
      </c>
      <c r="H52" t="inlineStr">
        <is>
          <t>SCA</t>
        </is>
      </c>
      <c r="I52" t="n">
        <v>3.7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14</v>
      </c>
      <c r="U52" t="n">
        <v>14</v>
      </c>
      <c r="V52" s="2" t="inlineStr">
        <is>
          <t>Garnlav
Tretåig hackspett
Spillkråka</t>
        </is>
      </c>
      <c r="W52">
        <f>HYPERLINK("https://klasma.github.io/Logging_2582/artfynd/A 6118-2025 artfynd.xlsx", "A 6118-2025")</f>
        <v/>
      </c>
      <c r="X52">
        <f>HYPERLINK("https://klasma.github.io/Logging_2582/kartor/A 6118-2025 karta.png", "A 6118-2025")</f>
        <v/>
      </c>
      <c r="Y52">
        <f>HYPERLINK("https://klasma.github.io/Logging_2582/kartor_geotiff/A 6118-2025 georefererad karta.tif", "A 6118-2025")</f>
        <v/>
      </c>
      <c r="AA52">
        <f>HYPERLINK("https://klasma.github.io/Logging_2582/klagomål/A 6118-2025 FSC-klagomål.docx", "A 6118-2025")</f>
        <v/>
      </c>
      <c r="AB52">
        <f>HYPERLINK("https://klasma.github.io/Logging_2582/klagomålsmail/A 6118-2025 FSC-klagomål mail.docx", "A 6118-2025")</f>
        <v/>
      </c>
      <c r="AC52">
        <f>HYPERLINK("https://klasma.github.io/Logging_2582/tillsyn/A 6118-2025 tillsynsbegäran.docx", "A 6118-2025")</f>
        <v/>
      </c>
      <c r="AD52">
        <f>HYPERLINK("https://klasma.github.io/Logging_2582/tillsynsmail/A 6118-2025 tillsynsbegäran mail.docx", "A 6118-2025")</f>
        <v/>
      </c>
      <c r="AE52">
        <f>HYPERLINK("https://klasma.github.io/Logging_2582/fåglar/A 6118-2025 prioriterade fågelarter.docx", "A 6118-2025")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46230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t="n">
        <v>7</v>
      </c>
      <c r="V53" s="2" t="inlineStr">
        <is>
          <t>Garnlav
Talltita
Stuplav</t>
        </is>
      </c>
      <c r="W53">
        <f>HYPERLINK("https://klasma.github.io/Logging_2582/artfynd/A 37014-2023 artfynd.xlsx", "A 37014-2023")</f>
        <v/>
      </c>
      <c r="X53">
        <f>HYPERLINK("https://klasma.github.io/Logging_2582/kartor/A 37014-2023 karta.png", "A 37014-2023")</f>
        <v/>
      </c>
      <c r="Y53">
        <f>HYPERLINK("https://klasma.github.io/Logging_2582/kartor_geotiff/A 37014-2023 georefererad karta.tif", "A 37014-2023")</f>
        <v/>
      </c>
      <c r="AA53">
        <f>HYPERLINK("https://klasma.github.io/Logging_2582/klagomål/A 37014-2023 FSC-klagomål.docx", "A 37014-2023")</f>
        <v/>
      </c>
      <c r="AB53">
        <f>HYPERLINK("https://klasma.github.io/Logging_2582/klagomålsmail/A 37014-2023 FSC-klagomål mail.docx", "A 37014-2023")</f>
        <v/>
      </c>
      <c r="AC53">
        <f>HYPERLINK("https://klasma.github.io/Logging_2582/tillsyn/A 37014-2023 tillsynsbegäran.docx", "A 37014-2023")</f>
        <v/>
      </c>
      <c r="AD53">
        <f>HYPERLINK("https://klasma.github.io/Logging_2582/tillsynsmail/A 37014-2023 tillsynsbegäran mail.docx", "A 37014-2023")</f>
        <v/>
      </c>
      <c r="AE53">
        <f>HYPERLINK("https://klasma.github.io/Logging_2582/fåglar/A 37014-2023 prioriterade fågelarter.docx", "A 37014-2023")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46230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31230-2026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46217</v>
      </c>
      <c r="E55" s="1" t="n">
        <v>46230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7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Lunglav
Fläcknycklar
Fläcknycklar × sumpnycklar</t>
        </is>
      </c>
      <c r="W55">
        <f>HYPERLINK("https://klasma.github.io/Logging_2582/artfynd/A 31230-2026 artfynd.xlsx", "A 31230-2026")</f>
        <v/>
      </c>
      <c r="X55">
        <f>HYPERLINK("https://klasma.github.io/Logging_2582/kartor/A 31230-2026 karta.png", "A 31230-2026")</f>
        <v/>
      </c>
      <c r="Y55">
        <f>HYPERLINK("https://klasma.github.io/Logging_2582/kartor_geotiff/A 31230-2026 georefererad karta.tif", "A 31230-2026")</f>
        <v/>
      </c>
      <c r="AA55">
        <f>HYPERLINK("https://klasma.github.io/Logging_2582/klagomål/A 31230-2026 FSC-klagomål.docx", "A 31230-2026")</f>
        <v/>
      </c>
      <c r="AB55">
        <f>HYPERLINK("https://klasma.github.io/Logging_2582/klagomålsmail/A 31230-2026 FSC-klagomål mail.docx", "A 31230-2026")</f>
        <v/>
      </c>
      <c r="AC55">
        <f>HYPERLINK("https://klasma.github.io/Logging_2582/tillsyn/A 31230-2026 tillsynsbegäran.docx", "A 31230-2026")</f>
        <v/>
      </c>
      <c r="AD55">
        <f>HYPERLINK("https://klasma.github.io/Logging_2582/tillsynsmail/A 31230-2026 tillsynsbegäran mail.docx", "A 31230-2026")</f>
        <v/>
      </c>
    </row>
    <row r="56" ht="15" customHeight="1">
      <c r="A56" t="inlineStr">
        <is>
          <t>A 29797-2022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44755</v>
      </c>
      <c r="E56" s="1" t="n">
        <v>46230</v>
      </c>
      <c r="F56" t="inlineStr">
        <is>
          <t>NORRBOTTENS LÄN</t>
        </is>
      </c>
      <c r="G56" t="inlineStr">
        <is>
          <t>BODEN</t>
        </is>
      </c>
      <c r="H56" t="inlineStr">
        <is>
          <t>Kyrkan</t>
        </is>
      </c>
      <c r="I56" t="n">
        <v>29.2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Vanlig groda
Vanlig padda
Revlummer</t>
        </is>
      </c>
      <c r="W56">
        <f>HYPERLINK("https://klasma.github.io/Logging_2582/artfynd/A 29797-2022 artfynd.xlsx", "A 29797-2022")</f>
        <v/>
      </c>
      <c r="X56">
        <f>HYPERLINK("https://klasma.github.io/Logging_2582/kartor/A 29797-2022 karta.png", "A 29797-2022")</f>
        <v/>
      </c>
      <c r="Y56">
        <f>HYPERLINK("https://klasma.github.io/Logging_2582/kartor_geotiff/A 29797-2022 georefererad karta.tif", "A 29797-2022")</f>
        <v/>
      </c>
      <c r="AA56">
        <f>HYPERLINK("https://klasma.github.io/Logging_2582/klagomål/A 29797-2022 FSC-klagomål.docx", "A 29797-2022")</f>
        <v/>
      </c>
      <c r="AB56">
        <f>HYPERLINK("https://klasma.github.io/Logging_2582/klagomålsmail/A 29797-2022 FSC-klagomål mail.docx", "A 29797-2022")</f>
        <v/>
      </c>
      <c r="AC56">
        <f>HYPERLINK("https://klasma.github.io/Logging_2582/tillsyn/A 29797-2022 tillsynsbegäran.docx", "A 29797-2022")</f>
        <v/>
      </c>
      <c r="AD56">
        <f>HYPERLINK("https://klasma.github.io/Logging_2582/tillsynsmail/A 29797-2022 tillsynsbegäran mail.docx", "A 29797-2022")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46230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46230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29150-2023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45105</v>
      </c>
      <c r="E59" s="1" t="n">
        <v>46230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1</v>
      </c>
      <c r="V59" s="2" t="inlineStr">
        <is>
          <t>Urskogsänger
Björkplattnos
Månlåsbräken</t>
        </is>
      </c>
      <c r="W59">
        <f>HYPERLINK("https://klasma.github.io/Logging_2582/artfynd/A 29150-2023 artfynd.xlsx", "A 29150-2023")</f>
        <v/>
      </c>
      <c r="X59">
        <f>HYPERLINK("https://klasma.github.io/Logging_2582/kartor/A 29150-2023 karta.png", "A 29150-2023")</f>
        <v/>
      </c>
      <c r="Y59">
        <f>HYPERLINK("https://klasma.github.io/Logging_2582/kartor_geotiff/A 29150-2023 georefererad karta.tif", "A 29150-2023")</f>
        <v/>
      </c>
      <c r="AA59">
        <f>HYPERLINK("https://klasma.github.io/Logging_2582/klagomål/A 29150-2023 FSC-klagomål.docx", "A 29150-2023")</f>
        <v/>
      </c>
      <c r="AB59">
        <f>HYPERLINK("https://klasma.github.io/Logging_2582/klagomålsmail/A 29150-2023 FSC-klagomål mail.docx", "A 29150-2023")</f>
        <v/>
      </c>
      <c r="AC59">
        <f>HYPERLINK("https://klasma.github.io/Logging_2582/tillsyn/A 29150-2023 tillsynsbegäran.docx", "A 29150-2023")</f>
        <v/>
      </c>
      <c r="AD59">
        <f>HYPERLINK("https://klasma.github.io/Logging_2582/tillsynsmail/A 29150-2023 tillsynsbegäran mail.docx", "A 29150-2023")</f>
        <v/>
      </c>
    </row>
    <row r="60" ht="15" customHeight="1">
      <c r="A60" t="inlineStr">
        <is>
          <t>A 28267-2025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46230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2.6</v>
      </c>
      <c r="J60" t="n">
        <v>2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3</v>
      </c>
      <c r="U60" t="n">
        <v>0</v>
      </c>
      <c r="V60" s="2" t="inlineStr">
        <is>
          <t>Doftticka
Knärot
Lunglav</t>
        </is>
      </c>
      <c r="W60">
        <f>HYPERLINK("https://klasma.github.io/Logging_2582/artfynd/A 28267-2025 artfynd.xlsx", "A 28267-2025")</f>
        <v/>
      </c>
      <c r="X60">
        <f>HYPERLINK("https://klasma.github.io/Logging_2582/kartor/A 28267-2025 karta.png", "A 28267-2025")</f>
        <v/>
      </c>
      <c r="Y60">
        <f>HYPERLINK("https://klasma.github.io/Logging_2582/kartor_geotiff/A 28267-2025 georefererad karta.tif", "A 28267-2025")</f>
        <v/>
      </c>
      <c r="Z60">
        <f>HYPERLINK("https://klasma.github.io/Logging_2582/knärot/A 28267-2025 karta knärot.png", "A 28267-2025")</f>
        <v/>
      </c>
      <c r="AA60">
        <f>HYPERLINK("https://klasma.github.io/Logging_2582/klagomål/A 28267-2025 FSC-klagomål.docx", "A 28267-2025")</f>
        <v/>
      </c>
      <c r="AB60">
        <f>HYPERLINK("https://klasma.github.io/Logging_2582/klagomålsmail/A 28267-2025 FSC-klagomål mail.docx", "A 28267-2025")</f>
        <v/>
      </c>
      <c r="AC60">
        <f>HYPERLINK("https://klasma.github.io/Logging_2582/tillsyn/A 28267-2025 tillsynsbegäran.docx", "A 28267-2025")</f>
        <v/>
      </c>
      <c r="AD60">
        <f>HYPERLINK("https://klasma.github.io/Logging_2582/tillsynsmail/A 28267-2025 tillsynsbegäran mail.docx", "A 28267-2025")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46230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46230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46230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46230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46230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6639-2024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45341</v>
      </c>
      <c r="E66" s="1" t="n">
        <v>46230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23.8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Lunglav
Kungsfågel</t>
        </is>
      </c>
      <c r="W66">
        <f>HYPERLINK("https://klasma.github.io/Logging_2582/artfynd/A 6639-2024 artfynd.xlsx", "A 6639-2024")</f>
        <v/>
      </c>
      <c r="X66">
        <f>HYPERLINK("https://klasma.github.io/Logging_2582/kartor/A 6639-2024 karta.png", "A 6639-2024")</f>
        <v/>
      </c>
      <c r="Y66">
        <f>HYPERLINK("https://klasma.github.io/Logging_2582/kartor_geotiff/A 6639-2024 georefererad karta.tif", "A 6639-2024")</f>
        <v/>
      </c>
      <c r="AA66">
        <f>HYPERLINK("https://klasma.github.io/Logging_2582/klagomål/A 6639-2024 FSC-klagomål.docx", "A 6639-2024")</f>
        <v/>
      </c>
      <c r="AB66">
        <f>HYPERLINK("https://klasma.github.io/Logging_2582/klagomålsmail/A 6639-2024 FSC-klagomål mail.docx", "A 6639-2024")</f>
        <v/>
      </c>
      <c r="AC66">
        <f>HYPERLINK("https://klasma.github.io/Logging_2582/tillsyn/A 6639-2024 tillsynsbegäran.docx", "A 6639-2024")</f>
        <v/>
      </c>
      <c r="AD66">
        <f>HYPERLINK("https://klasma.github.io/Logging_2582/tillsynsmail/A 6639-2024 tillsynsbegäran mail.docx", "A 6639-2024")</f>
        <v/>
      </c>
    </row>
    <row r="67" ht="15" customHeight="1">
      <c r="A67" t="inlineStr">
        <is>
          <t>A 32971-2024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46230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4</v>
      </c>
      <c r="V67" s="2" t="inlineStr">
        <is>
          <t>Lunglav
Fläcknycklar</t>
        </is>
      </c>
      <c r="W67">
        <f>HYPERLINK("https://klasma.github.io/Logging_2582/artfynd/A 32971-2024 artfynd.xlsx", "A 32971-2024")</f>
        <v/>
      </c>
      <c r="X67">
        <f>HYPERLINK("https://klasma.github.io/Logging_2582/kartor/A 32971-2024 karta.png", "A 32971-2024")</f>
        <v/>
      </c>
      <c r="Y67">
        <f>HYPERLINK("https://klasma.github.io/Logging_2582/kartor_geotiff/A 32971-2024 georefererad karta.tif", "A 32971-2024")</f>
        <v/>
      </c>
      <c r="AA67">
        <f>HYPERLINK("https://klasma.github.io/Logging_2582/klagomål/A 32971-2024 FSC-klagomål.docx", "A 32971-2024")</f>
        <v/>
      </c>
      <c r="AB67">
        <f>HYPERLINK("https://klasma.github.io/Logging_2582/klagomålsmail/A 32971-2024 FSC-klagomål mail.docx", "A 32971-2024")</f>
        <v/>
      </c>
      <c r="AC67">
        <f>HYPERLINK("https://klasma.github.io/Logging_2582/tillsyn/A 32971-2024 tillsynsbegäran.docx", "A 32971-2024")</f>
        <v/>
      </c>
      <c r="AD67">
        <f>HYPERLINK("https://klasma.github.io/Logging_2582/tillsynsmail/A 32971-2024 tillsynsbegäran mail.docx", "A 32971-2024")</f>
        <v/>
      </c>
    </row>
    <row r="68" ht="15" customHeight="1">
      <c r="A68" t="inlineStr">
        <is>
          <t>A 6895-2025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45701</v>
      </c>
      <c r="E68" s="1" t="n">
        <v>46230</v>
      </c>
      <c r="F68" t="inlineStr">
        <is>
          <t>NORRBOTTENS LÄN</t>
        </is>
      </c>
      <c r="G68" t="inlineStr">
        <is>
          <t>BODEN</t>
        </is>
      </c>
      <c r="I68" t="n">
        <v>1.5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Kolflarnlav
Plattlummer</t>
        </is>
      </c>
      <c r="W68">
        <f>HYPERLINK("https://klasma.github.io/Logging_2582/artfynd/A 6895-2025 artfynd.xlsx", "A 6895-2025")</f>
        <v/>
      </c>
      <c r="X68">
        <f>HYPERLINK("https://klasma.github.io/Logging_2582/kartor/A 6895-2025 karta.png", "A 6895-2025")</f>
        <v/>
      </c>
      <c r="Y68">
        <f>HYPERLINK("https://klasma.github.io/Logging_2582/kartor_geotiff/A 6895-2025 georefererad karta.tif", "A 6895-2025")</f>
        <v/>
      </c>
      <c r="AA68">
        <f>HYPERLINK("https://klasma.github.io/Logging_2582/klagomål/A 6895-2025 FSC-klagomål.docx", "A 6895-2025")</f>
        <v/>
      </c>
      <c r="AB68">
        <f>HYPERLINK("https://klasma.github.io/Logging_2582/klagomålsmail/A 6895-2025 FSC-klagomål mail.docx", "A 6895-2025")</f>
        <v/>
      </c>
      <c r="AC68">
        <f>HYPERLINK("https://klasma.github.io/Logging_2582/tillsyn/A 6895-2025 tillsynsbegäran.docx", "A 6895-2025")</f>
        <v/>
      </c>
      <c r="AD68">
        <f>HYPERLINK("https://klasma.github.io/Logging_2582/tillsynsmail/A 6895-2025 tillsynsbegäran mail.docx", "A 6895-2025")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46230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37086-2025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46230</v>
      </c>
      <c r="F70" t="inlineStr">
        <is>
          <t>NORRBOTTENS LÄN</t>
        </is>
      </c>
      <c r="G70" t="inlineStr">
        <is>
          <t>BODEN</t>
        </is>
      </c>
      <c r="H70" t="inlineStr">
        <is>
          <t>Övriga Aktiebolag</t>
        </is>
      </c>
      <c r="I70" t="n">
        <v>22.8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37086-2025 artfynd.xlsx", "A 37086-2025")</f>
        <v/>
      </c>
      <c r="X70">
        <f>HYPERLINK("https://klasma.github.io/Logging_2582/kartor/A 37086-2025 karta.png", "A 37086-2025")</f>
        <v/>
      </c>
      <c r="Y70">
        <f>HYPERLINK("https://klasma.github.io/Logging_2582/kartor_geotiff/A 37086-2025 georefererad karta.tif", "A 37086-2025")</f>
        <v/>
      </c>
      <c r="AA70">
        <f>HYPERLINK("https://klasma.github.io/Logging_2582/klagomål/A 37086-2025 FSC-klagomål.docx", "A 37086-2025")</f>
        <v/>
      </c>
      <c r="AB70">
        <f>HYPERLINK("https://klasma.github.io/Logging_2582/klagomålsmail/A 37086-2025 FSC-klagomål mail.docx", "A 37086-2025")</f>
        <v/>
      </c>
      <c r="AC70">
        <f>HYPERLINK("https://klasma.github.io/Logging_2582/tillsyn/A 37086-2025 tillsynsbegäran.docx", "A 37086-2025")</f>
        <v/>
      </c>
      <c r="AD70">
        <f>HYPERLINK("https://klasma.github.io/Logging_2582/tillsynsmail/A 37086-2025 tillsynsbegäran mail.docx", "A 37086-2025")</f>
        <v/>
      </c>
    </row>
    <row r="71" ht="15" customHeight="1">
      <c r="A71" t="inlineStr">
        <is>
          <t>A 60774-2025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45999</v>
      </c>
      <c r="E71" s="1" t="n">
        <v>46230</v>
      </c>
      <c r="F71" t="inlineStr">
        <is>
          <t>NORRBOTTENS LÄN</t>
        </is>
      </c>
      <c r="G71" t="inlineStr">
        <is>
          <t>BODEN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Ullticka
Skinnlav</t>
        </is>
      </c>
      <c r="W71">
        <f>HYPERLINK("https://klasma.github.io/Logging_2582/artfynd/A 60774-2025 artfynd.xlsx", "A 60774-2025")</f>
        <v/>
      </c>
      <c r="X71">
        <f>HYPERLINK("https://klasma.github.io/Logging_2582/kartor/A 60774-2025 karta.png", "A 60774-2025")</f>
        <v/>
      </c>
      <c r="Y71">
        <f>HYPERLINK("https://klasma.github.io/Logging_2582/kartor_geotiff/A 60774-2025 georefererad karta.tif", "A 60774-2025")</f>
        <v/>
      </c>
      <c r="AA71">
        <f>HYPERLINK("https://klasma.github.io/Logging_2582/klagomål/A 60774-2025 FSC-klagomål.docx", "A 60774-2025")</f>
        <v/>
      </c>
      <c r="AB71">
        <f>HYPERLINK("https://klasma.github.io/Logging_2582/klagomålsmail/A 60774-2025 FSC-klagomål mail.docx", "A 60774-2025")</f>
        <v/>
      </c>
      <c r="AC71">
        <f>HYPERLINK("https://klasma.github.io/Logging_2582/tillsyn/A 60774-2025 tillsynsbegäran.docx", "A 60774-2025")</f>
        <v/>
      </c>
      <c r="AD71">
        <f>HYPERLINK("https://klasma.github.io/Logging_2582/tillsynsmail/A 60774-2025 tillsynsbegäran mail.docx", "A 60774-2025")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46230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54167-2025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46230</v>
      </c>
      <c r="F73" t="inlineStr">
        <is>
          <t>NORRBOTTENS LÄN</t>
        </is>
      </c>
      <c r="G73" t="inlineStr">
        <is>
          <t>BODEN</t>
        </is>
      </c>
      <c r="I73" t="n">
        <v>1.1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Stiftgelélav</t>
        </is>
      </c>
      <c r="W73">
        <f>HYPERLINK("https://klasma.github.io/Logging_2582/artfynd/A 54167-2025 artfynd.xlsx", "A 54167-2025")</f>
        <v/>
      </c>
      <c r="X73">
        <f>HYPERLINK("https://klasma.github.io/Logging_2582/kartor/A 54167-2025 karta.png", "A 54167-2025")</f>
        <v/>
      </c>
      <c r="Y73">
        <f>HYPERLINK("https://klasma.github.io/Logging_2582/kartor_geotiff/A 54167-2025 georefererad karta.tif", "A 54167-2025")</f>
        <v/>
      </c>
      <c r="AA73">
        <f>HYPERLINK("https://klasma.github.io/Logging_2582/klagomål/A 54167-2025 FSC-klagomål.docx", "A 54167-2025")</f>
        <v/>
      </c>
      <c r="AB73">
        <f>HYPERLINK("https://klasma.github.io/Logging_2582/klagomålsmail/A 54167-2025 FSC-klagomål mail.docx", "A 54167-2025")</f>
        <v/>
      </c>
      <c r="AC73">
        <f>HYPERLINK("https://klasma.github.io/Logging_2582/tillsyn/A 54167-2025 tillsynsbegäran.docx", "A 54167-2025")</f>
        <v/>
      </c>
      <c r="AD73">
        <f>HYPERLINK("https://klasma.github.io/Logging_2582/tillsynsmail/A 54167-2025 tillsynsbegäran mail.docx", "A 54167-2025")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46230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46230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48899-2024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46230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18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Hässlebrodd
Fläcknycklar</t>
        </is>
      </c>
      <c r="W76">
        <f>HYPERLINK("https://klasma.github.io/Logging_2582/artfynd/A 48899-2024 artfynd.xlsx", "A 48899-2024")</f>
        <v/>
      </c>
      <c r="X76">
        <f>HYPERLINK("https://klasma.github.io/Logging_2582/kartor/A 48899-2024 karta.png", "A 48899-2024")</f>
        <v/>
      </c>
      <c r="Y76">
        <f>HYPERLINK("https://klasma.github.io/Logging_2582/kartor_geotiff/A 48899-2024 georefererad karta.tif", "A 48899-2024")</f>
        <v/>
      </c>
      <c r="AA76">
        <f>HYPERLINK("https://klasma.github.io/Logging_2582/klagomål/A 48899-2024 FSC-klagomål.docx", "A 48899-2024")</f>
        <v/>
      </c>
      <c r="AB76">
        <f>HYPERLINK("https://klasma.github.io/Logging_2582/klagomålsmail/A 48899-2024 FSC-klagomål mail.docx", "A 48899-2024")</f>
        <v/>
      </c>
      <c r="AC76">
        <f>HYPERLINK("https://klasma.github.io/Logging_2582/tillsyn/A 48899-2024 tillsynsbegäran.docx", "A 48899-2024")</f>
        <v/>
      </c>
      <c r="AD76">
        <f>HYPERLINK("https://klasma.github.io/Logging_2582/tillsynsmail/A 48899-2024 tillsynsbegäran mail.docx", "A 48899-2024")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46230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61210-2024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46230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4</v>
      </c>
      <c r="U78" t="n">
        <v>0</v>
      </c>
      <c r="V78" s="2" t="inlineStr">
        <is>
          <t>Skrovlig taggsvamp
Blå taggsvamp</t>
        </is>
      </c>
      <c r="W78">
        <f>HYPERLINK("https://klasma.github.io/Logging_2582/artfynd/A 61210-2024 artfynd.xlsx", "A 61210-2024")</f>
        <v/>
      </c>
      <c r="X78">
        <f>HYPERLINK("https://klasma.github.io/Logging_2582/kartor/A 61210-2024 karta.png", "A 61210-2024")</f>
        <v/>
      </c>
      <c r="Y78">
        <f>HYPERLINK("https://klasma.github.io/Logging_2582/kartor_geotiff/A 61210-2024 georefererad karta.tif", "A 61210-2024")</f>
        <v/>
      </c>
      <c r="AA78">
        <f>HYPERLINK("https://klasma.github.io/Logging_2582/klagomål/A 61210-2024 FSC-klagomål.docx", "A 61210-2024")</f>
        <v/>
      </c>
      <c r="AB78">
        <f>HYPERLINK("https://klasma.github.io/Logging_2582/klagomålsmail/A 61210-2024 FSC-klagomål mail.docx", "A 61210-2024")</f>
        <v/>
      </c>
      <c r="AC78">
        <f>HYPERLINK("https://klasma.github.io/Logging_2582/tillsyn/A 61210-2024 tillsynsbegäran.docx", "A 61210-2024")</f>
        <v/>
      </c>
      <c r="AD78">
        <f>HYPERLINK("https://klasma.github.io/Logging_2582/tillsynsmail/A 61210-2024 tillsynsbegäran mail.docx", "A 61210-2024")</f>
        <v/>
      </c>
    </row>
    <row r="79" ht="15" customHeight="1">
      <c r="A79" t="inlineStr">
        <is>
          <t>A 31758-2025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46230</v>
      </c>
      <c r="F79" t="inlineStr">
        <is>
          <t>NORRBOTTENS LÄN</t>
        </is>
      </c>
      <c r="G79" t="inlineStr">
        <is>
          <t>BODEN</t>
        </is>
      </c>
      <c r="I79" t="n">
        <v>19.9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Garnlav
Tretåig hackspett</t>
        </is>
      </c>
      <c r="W79">
        <f>HYPERLINK("https://klasma.github.io/Logging_2582/artfynd/A 31758-2025 artfynd.xlsx", "A 31758-2025")</f>
        <v/>
      </c>
      <c r="X79">
        <f>HYPERLINK("https://klasma.github.io/Logging_2582/kartor/A 31758-2025 karta.png", "A 31758-2025")</f>
        <v/>
      </c>
      <c r="Y79">
        <f>HYPERLINK("https://klasma.github.io/Logging_2582/kartor_geotiff/A 31758-2025 georefererad karta.tif", "A 31758-2025")</f>
        <v/>
      </c>
      <c r="AA79">
        <f>HYPERLINK("https://klasma.github.io/Logging_2582/klagomål/A 31758-2025 FSC-klagomål.docx", "A 31758-2025")</f>
        <v/>
      </c>
      <c r="AB79">
        <f>HYPERLINK("https://klasma.github.io/Logging_2582/klagomålsmail/A 31758-2025 FSC-klagomål mail.docx", "A 31758-2025")</f>
        <v/>
      </c>
      <c r="AC79">
        <f>HYPERLINK("https://klasma.github.io/Logging_2582/tillsyn/A 31758-2025 tillsynsbegäran.docx", "A 31758-2025")</f>
        <v/>
      </c>
      <c r="AD79">
        <f>HYPERLINK("https://klasma.github.io/Logging_2582/tillsynsmail/A 31758-2025 tillsynsbegäran mail.docx", "A 31758-2025")</f>
        <v/>
      </c>
      <c r="AE79">
        <f>HYPERLINK("https://klasma.github.io/Logging_2582/fåglar/A 31758-2025 prioriterade fågelarter.docx", "A 31758-2025")</f>
        <v/>
      </c>
    </row>
    <row r="80" ht="15" customHeight="1">
      <c r="A80" t="inlineStr">
        <is>
          <t>A 50100-2025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46230</v>
      </c>
      <c r="F80" t="inlineStr">
        <is>
          <t>NORRBOTTENS LÄN</t>
        </is>
      </c>
      <c r="G80" t="inlineStr">
        <is>
          <t>BODEN</t>
        </is>
      </c>
      <c r="I80" t="n">
        <v>6.5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Mörk kolflarnlav
Fläcknycklar</t>
        </is>
      </c>
      <c r="W80">
        <f>HYPERLINK("https://klasma.github.io/Logging_2582/artfynd/A 50100-2025 artfynd.xlsx", "A 50100-2025")</f>
        <v/>
      </c>
      <c r="X80">
        <f>HYPERLINK("https://klasma.github.io/Logging_2582/kartor/A 50100-2025 karta.png", "A 50100-2025")</f>
        <v/>
      </c>
      <c r="Y80">
        <f>HYPERLINK("https://klasma.github.io/Logging_2582/kartor_geotiff/A 50100-2025 georefererad karta.tif", "A 50100-2025")</f>
        <v/>
      </c>
      <c r="AA80">
        <f>HYPERLINK("https://klasma.github.io/Logging_2582/klagomål/A 50100-2025 FSC-klagomål.docx", "A 50100-2025")</f>
        <v/>
      </c>
      <c r="AB80">
        <f>HYPERLINK("https://klasma.github.io/Logging_2582/klagomålsmail/A 50100-2025 FSC-klagomål mail.docx", "A 50100-2025")</f>
        <v/>
      </c>
      <c r="AC80">
        <f>HYPERLINK("https://klasma.github.io/Logging_2582/tillsyn/A 50100-2025 tillsynsbegäran.docx", "A 50100-2025")</f>
        <v/>
      </c>
      <c r="AD80">
        <f>HYPERLINK("https://klasma.github.io/Logging_2582/tillsynsmail/A 50100-2025 tillsynsbegäran mail.docx", "A 50100-2025")</f>
        <v/>
      </c>
    </row>
    <row r="81" ht="15" customHeight="1">
      <c r="A81" t="inlineStr">
        <is>
          <t>A 51957-2025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46230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6</v>
      </c>
      <c r="U81" t="n">
        <v>0</v>
      </c>
      <c r="V81" s="2" t="inlineStr">
        <is>
          <t>Garnlav
Harticka</t>
        </is>
      </c>
      <c r="W81">
        <f>HYPERLINK("https://klasma.github.io/Logging_2582/artfynd/A 51957-2025 artfynd.xlsx", "A 51957-2025")</f>
        <v/>
      </c>
      <c r="X81">
        <f>HYPERLINK("https://klasma.github.io/Logging_2582/kartor/A 51957-2025 karta.png", "A 51957-2025")</f>
        <v/>
      </c>
      <c r="Y81">
        <f>HYPERLINK("https://klasma.github.io/Logging_2582/kartor_geotiff/A 51957-2025 georefererad karta.tif", "A 51957-2025")</f>
        <v/>
      </c>
      <c r="AA81">
        <f>HYPERLINK("https://klasma.github.io/Logging_2582/klagomål/A 51957-2025 FSC-klagomål.docx", "A 51957-2025")</f>
        <v/>
      </c>
      <c r="AB81">
        <f>HYPERLINK("https://klasma.github.io/Logging_2582/klagomålsmail/A 51957-2025 FSC-klagomål mail.docx", "A 51957-2025")</f>
        <v/>
      </c>
      <c r="AC81">
        <f>HYPERLINK("https://klasma.github.io/Logging_2582/tillsyn/A 51957-2025 tillsynsbegäran.docx", "A 51957-2025")</f>
        <v/>
      </c>
      <c r="AD81">
        <f>HYPERLINK("https://klasma.github.io/Logging_2582/tillsynsmail/A 51957-2025 tillsynsbegäran mail.docx", "A 51957-2025")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46230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21657-2026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46230</v>
      </c>
      <c r="F83" t="inlineStr">
        <is>
          <t>NORRBOTTENS LÄN</t>
        </is>
      </c>
      <c r="G83" t="inlineStr">
        <is>
          <t>BODEN</t>
        </is>
      </c>
      <c r="I83" t="n">
        <v>9.800000000000001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Orre
Utter</t>
        </is>
      </c>
      <c r="W83">
        <f>HYPERLINK("https://klasma.github.io/Logging_2582/artfynd/A 21657-2026 artfynd.xlsx", "A 21657-2026")</f>
        <v/>
      </c>
      <c r="X83">
        <f>HYPERLINK("https://klasma.github.io/Logging_2582/kartor/A 21657-2026 karta.png", "A 21657-2026")</f>
        <v/>
      </c>
      <c r="Y83">
        <f>HYPERLINK("https://klasma.github.io/Logging_2582/kartor_geotiff/A 21657-2026 georefererad karta.tif", "A 21657-2026")</f>
        <v/>
      </c>
      <c r="AA83">
        <f>HYPERLINK("https://klasma.github.io/Logging_2582/klagomål/A 21657-2026 FSC-klagomål.docx", "A 21657-2026")</f>
        <v/>
      </c>
      <c r="AB83">
        <f>HYPERLINK("https://klasma.github.io/Logging_2582/klagomålsmail/A 21657-2026 FSC-klagomål mail.docx", "A 21657-2026")</f>
        <v/>
      </c>
      <c r="AC83">
        <f>HYPERLINK("https://klasma.github.io/Logging_2582/tillsyn/A 21657-2026 tillsynsbegäran.docx", "A 21657-2026")</f>
        <v/>
      </c>
      <c r="AD83">
        <f>HYPERLINK("https://klasma.github.io/Logging_2582/tillsynsmail/A 21657-2026 tillsynsbegäran mail.docx", "A 21657-2026")</f>
        <v/>
      </c>
      <c r="AE83">
        <f>HYPERLINK("https://klasma.github.io/Logging_2582/fåglar/A 21657-2026 prioriterade fågelarter.docx", "A 21657-2026")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46230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46230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46230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46230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46230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29807-2026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46230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Mörk kolflarnlav</t>
        </is>
      </c>
      <c r="W89">
        <f>HYPERLINK("https://klasma.github.io/Logging_2582/artfynd/A 29807-2026 artfynd.xlsx", "A 29807-2026")</f>
        <v/>
      </c>
      <c r="X89">
        <f>HYPERLINK("https://klasma.github.io/Logging_2582/kartor/A 29807-2026 karta.png", "A 29807-2026")</f>
        <v/>
      </c>
      <c r="Y89">
        <f>HYPERLINK("https://klasma.github.io/Logging_2582/kartor_geotiff/A 29807-2026 georefererad karta.tif", "A 29807-2026")</f>
        <v/>
      </c>
      <c r="AA89">
        <f>HYPERLINK("https://klasma.github.io/Logging_2582/klagomål/A 29807-2026 FSC-klagomål.docx", "A 29807-2026")</f>
        <v/>
      </c>
      <c r="AB89">
        <f>HYPERLINK("https://klasma.github.io/Logging_2582/klagomålsmail/A 29807-2026 FSC-klagomål mail.docx", "A 29807-2026")</f>
        <v/>
      </c>
      <c r="AC89">
        <f>HYPERLINK("https://klasma.github.io/Logging_2582/tillsyn/A 29807-2026 tillsynsbegäran.docx", "A 29807-2026")</f>
        <v/>
      </c>
      <c r="AD89">
        <f>HYPERLINK("https://klasma.github.io/Logging_2582/tillsynsmail/A 29807-2026 tillsynsbegäran mail.docx", "A 29807-2026")</f>
        <v/>
      </c>
    </row>
    <row r="90" ht="15" customHeight="1">
      <c r="A90" t="inlineStr">
        <is>
          <t>A 29860-2026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46230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Knottrig blåslav
Lunglav</t>
        </is>
      </c>
      <c r="W90">
        <f>HYPERLINK("https://klasma.github.io/Logging_2582/artfynd/A 29860-2026 artfynd.xlsx", "A 29860-2026")</f>
        <v/>
      </c>
      <c r="X90">
        <f>HYPERLINK("https://klasma.github.io/Logging_2582/kartor/A 29860-2026 karta.png", "A 29860-2026")</f>
        <v/>
      </c>
      <c r="Y90">
        <f>HYPERLINK("https://klasma.github.io/Logging_2582/kartor_geotiff/A 29860-2026 georefererad karta.tif", "A 29860-2026")</f>
        <v/>
      </c>
      <c r="AA90">
        <f>HYPERLINK("https://klasma.github.io/Logging_2582/klagomål/A 29860-2026 FSC-klagomål.docx", "A 29860-2026")</f>
        <v/>
      </c>
      <c r="AB90">
        <f>HYPERLINK("https://klasma.github.io/Logging_2582/klagomålsmail/A 29860-2026 FSC-klagomål mail.docx", "A 29860-2026")</f>
        <v/>
      </c>
      <c r="AC90">
        <f>HYPERLINK("https://klasma.github.io/Logging_2582/tillsyn/A 29860-2026 tillsynsbegäran.docx", "A 29860-2026")</f>
        <v/>
      </c>
      <c r="AD90">
        <f>HYPERLINK("https://klasma.github.io/Logging_2582/tillsynsmail/A 29860-2026 tillsynsbegäran mail.docx", "A 29860-2026")</f>
        <v/>
      </c>
    </row>
    <row r="91" ht="15" customHeight="1">
      <c r="A91" t="inlineStr">
        <is>
          <t>A 29881-2026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46230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Lunglav
Fläcknycklar</t>
        </is>
      </c>
      <c r="W91">
        <f>HYPERLINK("https://klasma.github.io/Logging_2582/artfynd/A 29881-2026 artfynd.xlsx", "A 29881-2026")</f>
        <v/>
      </c>
      <c r="X91">
        <f>HYPERLINK("https://klasma.github.io/Logging_2582/kartor/A 29881-2026 karta.png", "A 29881-2026")</f>
        <v/>
      </c>
      <c r="Y91">
        <f>HYPERLINK("https://klasma.github.io/Logging_2582/kartor_geotiff/A 29881-2026 georefererad karta.tif", "A 29881-2026")</f>
        <v/>
      </c>
      <c r="AA91">
        <f>HYPERLINK("https://klasma.github.io/Logging_2582/klagomål/A 29881-2026 FSC-klagomål.docx", "A 29881-2026")</f>
        <v/>
      </c>
      <c r="AB91">
        <f>HYPERLINK("https://klasma.github.io/Logging_2582/klagomålsmail/A 29881-2026 FSC-klagomål mail.docx", "A 29881-2026")</f>
        <v/>
      </c>
      <c r="AC91">
        <f>HYPERLINK("https://klasma.github.io/Logging_2582/tillsyn/A 29881-2026 tillsynsbegäran.docx", "A 29881-2026")</f>
        <v/>
      </c>
      <c r="AD91">
        <f>HYPERLINK("https://klasma.github.io/Logging_2582/tillsynsmail/A 29881-2026 tillsynsbegäran mail.docx", "A 29881-2026")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46230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46230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31233-2026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46230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18.5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Lunglav
Fläcknycklar</t>
        </is>
      </c>
      <c r="W94">
        <f>HYPERLINK("https://klasma.github.io/Logging_2582/artfynd/A 31233-2026 artfynd.xlsx", "A 31233-2026")</f>
        <v/>
      </c>
      <c r="X94">
        <f>HYPERLINK("https://klasma.github.io/Logging_2582/kartor/A 31233-2026 karta.png", "A 31233-2026")</f>
        <v/>
      </c>
      <c r="Y94">
        <f>HYPERLINK("https://klasma.github.io/Logging_2582/kartor_geotiff/A 31233-2026 georefererad karta.tif", "A 31233-2026")</f>
        <v/>
      </c>
      <c r="AA94">
        <f>HYPERLINK("https://klasma.github.io/Logging_2582/klagomål/A 31233-2026 FSC-klagomål.docx", "A 31233-2026")</f>
        <v/>
      </c>
      <c r="AB94">
        <f>HYPERLINK("https://klasma.github.io/Logging_2582/klagomålsmail/A 31233-2026 FSC-klagomål mail.docx", "A 31233-2026")</f>
        <v/>
      </c>
      <c r="AC94">
        <f>HYPERLINK("https://klasma.github.io/Logging_2582/tillsyn/A 31233-2026 tillsynsbegäran.docx", "A 31233-2026")</f>
        <v/>
      </c>
      <c r="AD94">
        <f>HYPERLINK("https://klasma.github.io/Logging_2582/tillsynsmail/A 31233-2026 tillsynsbegäran mail.docx", "A 31233-2026")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46230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46230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46230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46230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46230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46230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Revlummer</t>
        </is>
      </c>
      <c r="W100">
        <f>HYPERLINK("https://klasma.github.io/Logging_2582/artfynd/A 17292-2022 artfynd.xlsx", "A 17292-2022")</f>
        <v/>
      </c>
      <c r="X100">
        <f>HYPERLINK("https://klasma.github.io/Logging_2582/kartor/A 17292-2022 karta.png", "A 17292-2022")</f>
        <v/>
      </c>
      <c r="Y100">
        <f>HYPERLINK("https://klasma.github.io/Logging_2582/kartor_geotiff/A 17292-2022 georefererad karta.tif", "A 17292-2022")</f>
        <v/>
      </c>
      <c r="AA100">
        <f>HYPERLINK("https://klasma.github.io/Logging_2582/klagomål/A 17292-2022 FSC-klagomål.docx", "A 17292-2022")</f>
        <v/>
      </c>
      <c r="AB100">
        <f>HYPERLINK("https://klasma.github.io/Logging_2582/klagomålsmail/A 17292-2022 FSC-klagomål mail.docx", "A 17292-2022")</f>
        <v/>
      </c>
      <c r="AC100">
        <f>HYPERLINK("https://klasma.github.io/Logging_2582/tillsyn/A 17292-2022 tillsynsbegäran.docx", "A 17292-2022")</f>
        <v/>
      </c>
      <c r="AD100">
        <f>HYPERLINK("https://klasma.github.io/Logging_2582/tillsynsmail/A 17292-2022 tillsynsbegäran mail.docx", "A 17292-2022")</f>
        <v/>
      </c>
    </row>
    <row r="101" ht="15" customHeight="1">
      <c r="A101" t="inlineStr">
        <is>
          <t>A 28867-2025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46230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8.199999999999999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12</v>
      </c>
      <c r="U101" t="n">
        <v>12</v>
      </c>
      <c r="V101" s="2" t="inlineStr">
        <is>
          <t>Knärot
Fläcknycklar</t>
        </is>
      </c>
      <c r="W101">
        <f>HYPERLINK("https://klasma.github.io/Logging_2582/artfynd/A 28867-2025 artfynd.xlsx", "A 28867-2025")</f>
        <v/>
      </c>
      <c r="X101">
        <f>HYPERLINK("https://klasma.github.io/Logging_2582/kartor/A 28867-2025 karta.png", "A 28867-2025")</f>
        <v/>
      </c>
      <c r="Y101">
        <f>HYPERLINK("https://klasma.github.io/Logging_2582/kartor_geotiff/A 28867-2025 georefererad karta.tif", "A 28867-2025")</f>
        <v/>
      </c>
      <c r="Z101">
        <f>HYPERLINK("https://klasma.github.io/Logging_2582/knärot/A 28867-2025 karta knärot.png", "A 28867-2025")</f>
        <v/>
      </c>
      <c r="AA101">
        <f>HYPERLINK("https://klasma.github.io/Logging_2582/klagomål/A 28867-2025 FSC-klagomål.docx", "A 28867-2025")</f>
        <v/>
      </c>
      <c r="AB101">
        <f>HYPERLINK("https://klasma.github.io/Logging_2582/klagomålsmail/A 28867-2025 FSC-klagomål mail.docx", "A 28867-2025")</f>
        <v/>
      </c>
      <c r="AC101">
        <f>HYPERLINK("https://klasma.github.io/Logging_2582/tillsyn/A 28867-2025 tillsynsbegäran.docx", "A 28867-2025")</f>
        <v/>
      </c>
      <c r="AD101">
        <f>HYPERLINK("https://klasma.github.io/Logging_2582/tillsynsmail/A 28867-2025 tillsynsbegäran mail.docx", "A 28867-2025")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46230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46230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46230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46230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46230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46230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46230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46230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46230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46230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46230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46230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Bollvitmossa</t>
        </is>
      </c>
      <c r="W113">
        <f>HYPERLINK("https://klasma.github.io/Logging_2582/artfynd/A 22892-2024 artfynd.xlsx", "A 22892-2024")</f>
        <v/>
      </c>
      <c r="X113">
        <f>HYPERLINK("https://klasma.github.io/Logging_2582/kartor/A 22892-2024 karta.png", "A 22892-2024")</f>
        <v/>
      </c>
      <c r="Y113">
        <f>HYPERLINK("https://klasma.github.io/Logging_2582/kartor_geotiff/A 22892-2024 georefererad karta.tif", "A 22892-2024")</f>
        <v/>
      </c>
      <c r="AA113">
        <f>HYPERLINK("https://klasma.github.io/Logging_2582/klagomål/A 22892-2024 FSC-klagomål.docx", "A 22892-2024")</f>
        <v/>
      </c>
      <c r="AB113">
        <f>HYPERLINK("https://klasma.github.io/Logging_2582/klagomålsmail/A 22892-2024 FSC-klagomål mail.docx", "A 22892-2024")</f>
        <v/>
      </c>
      <c r="AC113">
        <f>HYPERLINK("https://klasma.github.io/Logging_2582/tillsyn/A 22892-2024 tillsynsbegäran.docx", "A 22892-2024")</f>
        <v/>
      </c>
      <c r="AD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13568-2022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46230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Lavskrika</t>
        </is>
      </c>
      <c r="W114">
        <f>HYPERLINK("https://klasma.github.io/Logging_2582/artfynd/A 13568-2022 artfynd.xlsx", "A 13568-2022")</f>
        <v/>
      </c>
      <c r="X114">
        <f>HYPERLINK("https://klasma.github.io/Logging_2582/kartor/A 13568-2022 karta.png", "A 13568-2022")</f>
        <v/>
      </c>
      <c r="Y114">
        <f>HYPERLINK("https://klasma.github.io/Logging_2582/kartor_geotiff/A 13568-2022 georefererad karta.tif", "A 13568-2022")</f>
        <v/>
      </c>
      <c r="AA114">
        <f>HYPERLINK("https://klasma.github.io/Logging_2582/klagomål/A 13568-2022 FSC-klagomål.docx", "A 13568-2022")</f>
        <v/>
      </c>
      <c r="AB114">
        <f>HYPERLINK("https://klasma.github.io/Logging_2582/klagomålsmail/A 13568-2022 FSC-klagomål mail.docx", "A 13568-2022")</f>
        <v/>
      </c>
      <c r="AC114">
        <f>HYPERLINK("https://klasma.github.io/Logging_2582/tillsyn/A 13568-2022 tillsynsbegäran.docx", "A 13568-2022")</f>
        <v/>
      </c>
      <c r="AD114">
        <f>HYPERLINK("https://klasma.github.io/Logging_2582/tillsynsmail/A 13568-2022 tillsynsbegäran mail.docx", "A 13568-2022")</f>
        <v/>
      </c>
      <c r="AE114">
        <f>HYPERLINK("https://klasma.github.io/Logging_2582/fåglar/A 13568-2022 prioriterade fågelarter.docx", "A 13568-2022")</f>
        <v/>
      </c>
    </row>
    <row r="115" ht="15" customHeight="1">
      <c r="A115" t="inlineStr">
        <is>
          <t>A 49410-2023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46230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Lunglav</t>
        </is>
      </c>
      <c r="W115">
        <f>HYPERLINK("https://klasma.github.io/Logging_2582/artfynd/A 49410-2023 artfynd.xlsx", "A 49410-2023")</f>
        <v/>
      </c>
      <c r="X115">
        <f>HYPERLINK("https://klasma.github.io/Logging_2582/kartor/A 49410-2023 karta.png", "A 49410-2023")</f>
        <v/>
      </c>
      <c r="Y115">
        <f>HYPERLINK("https://klasma.github.io/Logging_2582/kartor_geotiff/A 49410-2023 georefererad karta.tif", "A 49410-2023")</f>
        <v/>
      </c>
      <c r="AA115">
        <f>HYPERLINK("https://klasma.github.io/Logging_2582/klagomål/A 49410-2023 FSC-klagomål.docx", "A 49410-2023")</f>
        <v/>
      </c>
      <c r="AB115">
        <f>HYPERLINK("https://klasma.github.io/Logging_2582/klagomålsmail/A 49410-2023 FSC-klagomål mail.docx", "A 49410-2023")</f>
        <v/>
      </c>
      <c r="AC115">
        <f>HYPERLINK("https://klasma.github.io/Logging_2582/tillsyn/A 49410-2023 tillsynsbegäran.docx", "A 49410-2023")</f>
        <v/>
      </c>
      <c r="AD115">
        <f>HYPERLINK("https://klasma.github.io/Logging_2582/tillsynsmail/A 49410-2023 tillsynsbegäran mail.docx", "A 49410-2023")</f>
        <v/>
      </c>
    </row>
    <row r="116" ht="15" customHeight="1">
      <c r="A116" t="inlineStr">
        <is>
          <t>A 41443-2025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45901</v>
      </c>
      <c r="E116" s="1" t="n">
        <v>46230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HYPERLINK("https://klasma.github.io/Logging_2582/artfynd/A 41443-2025 artfynd.xlsx", "A 41443-2025")</f>
        <v/>
      </c>
      <c r="X116">
        <f>HYPERLINK("https://klasma.github.io/Logging_2582/kartor/A 41443-2025 karta.png", "A 41443-2025")</f>
        <v/>
      </c>
      <c r="Y116">
        <f>HYPERLINK("https://klasma.github.io/Logging_2582/kartor_geotiff/A 41443-2025 georefererad karta.tif", "A 41443-2025")</f>
        <v/>
      </c>
      <c r="AA116">
        <f>HYPERLINK("https://klasma.github.io/Logging_2582/klagomål/A 41443-2025 FSC-klagomål.docx", "A 41443-2025")</f>
        <v/>
      </c>
      <c r="AB116">
        <f>HYPERLINK("https://klasma.github.io/Logging_2582/klagomålsmail/A 41443-2025 FSC-klagomål mail.docx", "A 41443-2025")</f>
        <v/>
      </c>
      <c r="AC116">
        <f>HYPERLINK("https://klasma.github.io/Logging_2582/tillsyn/A 41443-2025 tillsynsbegäran.docx", "A 41443-2025")</f>
        <v/>
      </c>
      <c r="AD116">
        <f>HYPERLINK("https://klasma.github.io/Logging_2582/tillsynsmail/A 41443-2025 tillsynsbegäran mail.docx", "A 41443-2025")</f>
        <v/>
      </c>
    </row>
    <row r="117" ht="15" customHeight="1">
      <c r="A117" t="inlineStr">
        <is>
          <t>A 41436-2025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46230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Fläcknycklar</t>
        </is>
      </c>
      <c r="W117">
        <f>HYPERLINK("https://klasma.github.io/Logging_2582/artfynd/A 41436-2025 artfynd.xlsx", "A 41436-2025")</f>
        <v/>
      </c>
      <c r="X117">
        <f>HYPERLINK("https://klasma.github.io/Logging_2582/kartor/A 41436-2025 karta.png", "A 41436-2025")</f>
        <v/>
      </c>
      <c r="Y117">
        <f>HYPERLINK("https://klasma.github.io/Logging_2582/kartor_geotiff/A 41436-2025 georefererad karta.tif", "A 41436-2025")</f>
        <v/>
      </c>
      <c r="AA117">
        <f>HYPERLINK("https://klasma.github.io/Logging_2582/klagomål/A 41436-2025 FSC-klagomål.docx", "A 41436-2025")</f>
        <v/>
      </c>
      <c r="AB117">
        <f>HYPERLINK("https://klasma.github.io/Logging_2582/klagomålsmail/A 41436-2025 FSC-klagomål mail.docx", "A 41436-2025")</f>
        <v/>
      </c>
      <c r="AC117">
        <f>HYPERLINK("https://klasma.github.io/Logging_2582/tillsyn/A 41436-2025 tillsynsbegäran.docx", "A 41436-2025")</f>
        <v/>
      </c>
      <c r="AD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46230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46230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46230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46230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51304-2025 artfynd.xlsx", "A 51304-2025")</f>
        <v/>
      </c>
      <c r="X121">
        <f>HYPERLINK("https://klasma.github.io/Logging_2582/kartor/A 51304-2025 karta.png", "A 51304-2025")</f>
        <v/>
      </c>
      <c r="Y121">
        <f>HYPERLINK("https://klasma.github.io/Logging_2582/kartor_geotiff/A 51304-2025 georefererad karta.tif", "A 51304-2025")</f>
        <v/>
      </c>
      <c r="AA121">
        <f>HYPERLINK("https://klasma.github.io/Logging_2582/klagomål/A 51304-2025 FSC-klagomål.docx", "A 51304-2025")</f>
        <v/>
      </c>
      <c r="AB121">
        <f>HYPERLINK("https://klasma.github.io/Logging_2582/klagomålsmail/A 51304-2025 FSC-klagomål mail.docx", "A 51304-2025")</f>
        <v/>
      </c>
      <c r="AC121">
        <f>HYPERLINK("https://klasma.github.io/Logging_2582/tillsyn/A 51304-2025 tillsynsbegäran.docx", "A 51304-2025")</f>
        <v/>
      </c>
      <c r="AD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45949</v>
      </c>
      <c r="E122" s="1" t="n">
        <v>46230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Sångsvan</t>
        </is>
      </c>
      <c r="W122">
        <f>HYPERLINK("https://klasma.github.io/Logging_2582/artfynd/A 51258-2025 artfynd.xlsx", "A 51258-2025")</f>
        <v/>
      </c>
      <c r="X122">
        <f>HYPERLINK("https://klasma.github.io/Logging_2582/kartor/A 51258-2025 karta.png", "A 51258-2025")</f>
        <v/>
      </c>
      <c r="Y122">
        <f>HYPERLINK("https://klasma.github.io/Logging_2582/kartor_geotiff/A 51258-2025 georefererad karta.tif", "A 51258-2025")</f>
        <v/>
      </c>
      <c r="AA122">
        <f>HYPERLINK("https://klasma.github.io/Logging_2582/klagomål/A 51258-2025 FSC-klagomål.docx", "A 51258-2025")</f>
        <v/>
      </c>
      <c r="AB122">
        <f>HYPERLINK("https://klasma.github.io/Logging_2582/klagomålsmail/A 51258-2025 FSC-klagomål mail.docx", "A 51258-2025")</f>
        <v/>
      </c>
      <c r="AC122">
        <f>HYPERLINK("https://klasma.github.io/Logging_2582/tillsyn/A 51258-2025 tillsynsbegäran.docx", "A 51258-2025")</f>
        <v/>
      </c>
      <c r="AD122">
        <f>HYPERLINK("https://klasma.github.io/Logging_2582/tillsynsmail/A 51258-2025 tillsynsbegäran mail.docx", "A 51258-2025")</f>
        <v/>
      </c>
      <c r="AE122">
        <f>HYPERLINK("https://klasma.github.io/Logging_2582/fåglar/A 51258-2025 prioriterade fågelarter.docx", "A 51258-2025")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46230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21310-2026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46230</v>
      </c>
      <c r="F124" t="inlineStr">
        <is>
          <t>NORRBOTTENS LÄN</t>
        </is>
      </c>
      <c r="G124" t="inlineStr">
        <is>
          <t>BODEN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HYPERLINK("https://klasma.github.io/Logging_2582/artfynd/A 21310-2026 artfynd.xlsx", "A 21310-2026")</f>
        <v/>
      </c>
      <c r="X124">
        <f>HYPERLINK("https://klasma.github.io/Logging_2582/kartor/A 21310-2026 karta.png", "A 21310-2026")</f>
        <v/>
      </c>
      <c r="Y124">
        <f>HYPERLINK("https://klasma.github.io/Logging_2582/kartor_geotiff/A 21310-2026 georefererad karta.tif", "A 21310-2026")</f>
        <v/>
      </c>
      <c r="AA124">
        <f>HYPERLINK("https://klasma.github.io/Logging_2582/klagomål/A 21310-2026 FSC-klagomål.docx", "A 21310-2026")</f>
        <v/>
      </c>
      <c r="AB124">
        <f>HYPERLINK("https://klasma.github.io/Logging_2582/klagomålsmail/A 21310-2026 FSC-klagomål mail.docx", "A 21310-2026")</f>
        <v/>
      </c>
      <c r="AC124">
        <f>HYPERLINK("https://klasma.github.io/Logging_2582/tillsyn/A 21310-2026 tillsynsbegäran.docx", "A 21310-2026")</f>
        <v/>
      </c>
      <c r="AD124">
        <f>HYPERLINK("https://klasma.github.io/Logging_2582/tillsynsmail/A 21310-2026 tillsynsbegäran mail.docx", "A 21310-2026")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46230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46230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46230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36743-2024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46230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36743-2024 artfynd.xlsx", "A 36743-2024")</f>
        <v/>
      </c>
      <c r="X128">
        <f>HYPERLINK("https://klasma.github.io/Logging_2582/kartor/A 36743-2024 karta.png", "A 36743-2024")</f>
        <v/>
      </c>
      <c r="Y128">
        <f>HYPERLINK("https://klasma.github.io/Logging_2582/kartor_geotiff/A 36743-2024 georefererad karta.tif", "A 36743-2024")</f>
        <v/>
      </c>
      <c r="AA128">
        <f>HYPERLINK("https://klasma.github.io/Logging_2582/klagomål/A 36743-2024 FSC-klagomål.docx", "A 36743-2024")</f>
        <v/>
      </c>
      <c r="AB128">
        <f>HYPERLINK("https://klasma.github.io/Logging_2582/klagomålsmail/A 36743-2024 FSC-klagomål mail.docx", "A 36743-2024")</f>
        <v/>
      </c>
      <c r="AC128">
        <f>HYPERLINK("https://klasma.github.io/Logging_2582/tillsyn/A 36743-2024 tillsynsbegäran.docx", "A 36743-2024")</f>
        <v/>
      </c>
      <c r="AD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46230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46230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665-2023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44925</v>
      </c>
      <c r="E131" s="1" t="n">
        <v>46230</v>
      </c>
      <c r="F131" t="inlineStr">
        <is>
          <t>NORRBOTTENS LÄN</t>
        </is>
      </c>
      <c r="G131" t="inlineStr">
        <is>
          <t>BODEN</t>
        </is>
      </c>
      <c r="I131" t="n">
        <v>0.9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Duvhök</t>
        </is>
      </c>
      <c r="W131">
        <f>HYPERLINK("https://klasma.github.io/Logging_2582/artfynd/A 665-2023 artfynd.xlsx", "A 665-2023")</f>
        <v/>
      </c>
      <c r="X131">
        <f>HYPERLINK("https://klasma.github.io/Logging_2582/kartor/A 665-2023 karta.png", "A 665-2023")</f>
        <v/>
      </c>
      <c r="Y131">
        <f>HYPERLINK("https://klasma.github.io/Logging_2582/kartor_geotiff/A 665-2023 georefererad karta.tif", "A 665-2023")</f>
        <v/>
      </c>
      <c r="AA131">
        <f>HYPERLINK("https://klasma.github.io/Logging_2582/klagomål/A 665-2023 FSC-klagomål.docx", "A 665-2023")</f>
        <v/>
      </c>
      <c r="AB131">
        <f>HYPERLINK("https://klasma.github.io/Logging_2582/klagomålsmail/A 665-2023 FSC-klagomål mail.docx", "A 665-2023")</f>
        <v/>
      </c>
      <c r="AC131">
        <f>HYPERLINK("https://klasma.github.io/Logging_2582/tillsyn/A 665-2023 tillsynsbegäran.docx", "A 665-2023")</f>
        <v/>
      </c>
      <c r="AD131">
        <f>HYPERLINK("https://klasma.github.io/Logging_2582/tillsynsmail/A 665-2023 tillsynsbegäran mail.docx", "A 665-2023")</f>
        <v/>
      </c>
      <c r="AE131">
        <f>HYPERLINK("https://klasma.github.io/Logging_2582/fåglar/A 665-2023 prioriterade fågelarter.docx", "A 665-2023")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46230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60781-2025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46230</v>
      </c>
      <c r="F133" t="inlineStr">
        <is>
          <t>NORRBOTTENS LÄN</t>
        </is>
      </c>
      <c r="G133" t="inlineStr">
        <is>
          <t>BODEN</t>
        </is>
      </c>
      <c r="I133" t="n">
        <v>12.3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Rosenticka</t>
        </is>
      </c>
      <c r="W133">
        <f>HYPERLINK("https://klasma.github.io/Logging_2582/artfynd/A 60781-2025 artfynd.xlsx", "A 60781-2025")</f>
        <v/>
      </c>
      <c r="X133">
        <f>HYPERLINK("https://klasma.github.io/Logging_2582/kartor/A 60781-2025 karta.png", "A 60781-2025")</f>
        <v/>
      </c>
      <c r="Y133">
        <f>HYPERLINK("https://klasma.github.io/Logging_2582/kartor_geotiff/A 60781-2025 georefererad karta.tif", "A 60781-2025")</f>
        <v/>
      </c>
      <c r="AA133">
        <f>HYPERLINK("https://klasma.github.io/Logging_2582/klagomål/A 60781-2025 FSC-klagomål.docx", "A 60781-2025")</f>
        <v/>
      </c>
      <c r="AB133">
        <f>HYPERLINK("https://klasma.github.io/Logging_2582/klagomålsmail/A 60781-2025 FSC-klagomål mail.docx", "A 60781-2025")</f>
        <v/>
      </c>
      <c r="AC133">
        <f>HYPERLINK("https://klasma.github.io/Logging_2582/tillsyn/A 60781-2025 tillsynsbegäran.docx", "A 60781-2025")</f>
        <v/>
      </c>
      <c r="AD133">
        <f>HYPERLINK("https://klasma.github.io/Logging_2582/tillsynsmail/A 60781-2025 tillsynsbegäran mail.docx", "A 60781-2025")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46230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12832-2022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44642</v>
      </c>
      <c r="E135" s="1" t="n">
        <v>46230</v>
      </c>
      <c r="F135" t="inlineStr">
        <is>
          <t>NORRBOTTENS LÄN</t>
        </is>
      </c>
      <c r="G135" t="inlineStr">
        <is>
          <t>BODEN</t>
        </is>
      </c>
      <c r="I135" t="n">
        <v>6.6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Doftticka</t>
        </is>
      </c>
      <c r="W135">
        <f>HYPERLINK("https://klasma.github.io/Logging_2582/artfynd/A 12832-2022 artfynd.xlsx", "A 12832-2022")</f>
        <v/>
      </c>
      <c r="X135">
        <f>HYPERLINK("https://klasma.github.io/Logging_2582/kartor/A 12832-2022 karta.png", "A 12832-2022")</f>
        <v/>
      </c>
      <c r="Y135">
        <f>HYPERLINK("https://klasma.github.io/Logging_2582/kartor_geotiff/A 12832-2022 georefererad karta.tif", "A 12832-2022")</f>
        <v/>
      </c>
      <c r="AA135">
        <f>HYPERLINK("https://klasma.github.io/Logging_2582/klagomål/A 12832-2022 FSC-klagomål.docx", "A 12832-2022")</f>
        <v/>
      </c>
      <c r="AB135">
        <f>HYPERLINK("https://klasma.github.io/Logging_2582/klagomålsmail/A 12832-2022 FSC-klagomål mail.docx", "A 12832-2022")</f>
        <v/>
      </c>
      <c r="AC135">
        <f>HYPERLINK("https://klasma.github.io/Logging_2582/tillsyn/A 12832-2022 tillsynsbegäran.docx", "A 12832-2022")</f>
        <v/>
      </c>
      <c r="AD135">
        <f>HYPERLINK("https://klasma.github.io/Logging_2582/tillsynsmail/A 12832-2022 tillsynsbegäran mail.docx", "A 12832-2022")</f>
        <v/>
      </c>
    </row>
    <row r="136" ht="15" customHeight="1">
      <c r="A136" t="inlineStr">
        <is>
          <t>A 4878-2026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46230</v>
      </c>
      <c r="F136" t="inlineStr">
        <is>
          <t>NORRBOTTENS LÄN</t>
        </is>
      </c>
      <c r="G136" t="inlineStr">
        <is>
          <t>BODEN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Vanlig padda</t>
        </is>
      </c>
      <c r="W136">
        <f>HYPERLINK("https://klasma.github.io/Logging_2582/artfynd/A 4878-2026 artfynd.xlsx", "A 4878-2026")</f>
        <v/>
      </c>
      <c r="X136">
        <f>HYPERLINK("https://klasma.github.io/Logging_2582/kartor/A 4878-2026 karta.png", "A 4878-2026")</f>
        <v/>
      </c>
      <c r="Y136">
        <f>HYPERLINK("https://klasma.github.io/Logging_2582/kartor_geotiff/A 4878-2026 georefererad karta.tif", "A 4878-2026")</f>
        <v/>
      </c>
      <c r="AA136">
        <f>HYPERLINK("https://klasma.github.io/Logging_2582/klagomål/A 4878-2026 FSC-klagomål.docx", "A 4878-2026")</f>
        <v/>
      </c>
      <c r="AB136">
        <f>HYPERLINK("https://klasma.github.io/Logging_2582/klagomålsmail/A 4878-2026 FSC-klagomål mail.docx", "A 4878-2026")</f>
        <v/>
      </c>
      <c r="AC136">
        <f>HYPERLINK("https://klasma.github.io/Logging_2582/tillsyn/A 4878-2026 tillsynsbegäran.docx", "A 4878-2026")</f>
        <v/>
      </c>
      <c r="AD136">
        <f>HYPERLINK("https://klasma.github.io/Logging_2582/tillsynsmail/A 4878-2026 tillsynsbegäran mail.docx", "A 4878-2026")</f>
        <v/>
      </c>
    </row>
    <row r="137" ht="15" customHeight="1">
      <c r="A137" t="inlineStr">
        <is>
          <t>A 29875-2026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46230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Tallticka</t>
        </is>
      </c>
      <c r="W137">
        <f>HYPERLINK("https://klasma.github.io/Logging_2582/artfynd/A 29875-2026 artfynd.xlsx", "A 29875-2026")</f>
        <v/>
      </c>
      <c r="X137">
        <f>HYPERLINK("https://klasma.github.io/Logging_2582/kartor/A 29875-2026 karta.png", "A 29875-2026")</f>
        <v/>
      </c>
      <c r="Y137">
        <f>HYPERLINK("https://klasma.github.io/Logging_2582/kartor_geotiff/A 29875-2026 georefererad karta.tif", "A 29875-2026")</f>
        <v/>
      </c>
      <c r="AA137">
        <f>HYPERLINK("https://klasma.github.io/Logging_2582/klagomål/A 29875-2026 FSC-klagomål.docx", "A 29875-2026")</f>
        <v/>
      </c>
      <c r="AB137">
        <f>HYPERLINK("https://klasma.github.io/Logging_2582/klagomålsmail/A 29875-2026 FSC-klagomål mail.docx", "A 29875-2026")</f>
        <v/>
      </c>
      <c r="AC137">
        <f>HYPERLINK("https://klasma.github.io/Logging_2582/tillsyn/A 29875-2026 tillsynsbegäran.docx", "A 29875-2026")</f>
        <v/>
      </c>
      <c r="AD137">
        <f>HYPERLINK("https://klasma.github.io/Logging_2582/tillsynsmail/A 29875-2026 tillsynsbegäran mail.docx", "A 29875-2026")</f>
        <v/>
      </c>
    </row>
    <row r="138" ht="15" customHeight="1">
      <c r="A138" t="inlineStr">
        <is>
          <t>A 2565-2026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46230</v>
      </c>
      <c r="F138" t="inlineStr">
        <is>
          <t>NORRBOTTENS LÄN</t>
        </is>
      </c>
      <c r="G138" t="inlineStr">
        <is>
          <t>BODEN</t>
        </is>
      </c>
      <c r="H138" t="inlineStr">
        <is>
          <t>Naturvårdsverket</t>
        </is>
      </c>
      <c r="I138" t="n">
        <v>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Garnlav</t>
        </is>
      </c>
      <c r="W138">
        <f>HYPERLINK("https://klasma.github.io/Logging_2582/artfynd/A 2565-2026 artfynd.xlsx", "A 2565-2026")</f>
        <v/>
      </c>
      <c r="X138">
        <f>HYPERLINK("https://klasma.github.io/Logging_2582/kartor/A 2565-2026 karta.png", "A 2565-2026")</f>
        <v/>
      </c>
      <c r="Y138">
        <f>HYPERLINK("https://klasma.github.io/Logging_2582/kartor_geotiff/A 2565-2026 georefererad karta.tif", "A 2565-2026")</f>
        <v/>
      </c>
      <c r="AA138">
        <f>HYPERLINK("https://klasma.github.io/Logging_2582/klagomål/A 2565-2026 FSC-klagomål.docx", "A 2565-2026")</f>
        <v/>
      </c>
      <c r="AB138">
        <f>HYPERLINK("https://klasma.github.io/Logging_2582/klagomålsmail/A 2565-2026 FSC-klagomål mail.docx", "A 2565-2026")</f>
        <v/>
      </c>
      <c r="AC138">
        <f>HYPERLINK("https://klasma.github.io/Logging_2582/tillsyn/A 2565-2026 tillsynsbegäran.docx", "A 2565-2026")</f>
        <v/>
      </c>
      <c r="AD138">
        <f>HYPERLINK("https://klasma.github.io/Logging_2582/tillsynsmail/A 2565-2026 tillsynsbegäran mail.docx", "A 2565-2026")</f>
        <v/>
      </c>
    </row>
    <row r="139" ht="15" customHeight="1">
      <c r="A139" t="inlineStr">
        <is>
          <t>A 41087-2024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45559</v>
      </c>
      <c r="E139" s="1" t="n">
        <v>46230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HYPERLINK("https://klasma.github.io/Logging_2582/artfynd/A 41087-2024 artfynd.xlsx", "A 41087-2024")</f>
        <v/>
      </c>
      <c r="X139">
        <f>HYPERLINK("https://klasma.github.io/Logging_2582/kartor/A 41087-2024 karta.png", "A 41087-2024")</f>
        <v/>
      </c>
      <c r="Y139">
        <f>HYPERLINK("https://klasma.github.io/Logging_2582/kartor_geotiff/A 41087-2024 georefererad karta.tif", "A 41087-2024")</f>
        <v/>
      </c>
      <c r="AA139">
        <f>HYPERLINK("https://klasma.github.io/Logging_2582/klagomål/A 41087-2024 FSC-klagomål.docx", "A 41087-2024")</f>
        <v/>
      </c>
      <c r="AB139">
        <f>HYPERLINK("https://klasma.github.io/Logging_2582/klagomålsmail/A 41087-2024 FSC-klagomål mail.docx", "A 41087-2024")</f>
        <v/>
      </c>
      <c r="AC139">
        <f>HYPERLINK("https://klasma.github.io/Logging_2582/tillsyn/A 41087-2024 tillsynsbegäran.docx", "A 41087-2024")</f>
        <v/>
      </c>
      <c r="AD139">
        <f>HYPERLINK("https://klasma.github.io/Logging_2582/tillsynsmail/A 41087-2024 tillsynsbegäran mail.docx", "A 41087-2024")</f>
        <v/>
      </c>
    </row>
    <row r="140" ht="15" customHeight="1">
      <c r="A140" t="inlineStr">
        <is>
          <t>A 24429-2026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46230</v>
      </c>
      <c r="F140" t="inlineStr">
        <is>
          <t>NORRBOTTENS LÄN</t>
        </is>
      </c>
      <c r="G140" t="inlineStr">
        <is>
          <t>BODEN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Fläcknycklar</t>
        </is>
      </c>
      <c r="W140">
        <f>HYPERLINK("https://klasma.github.io/Logging_2582/artfynd/A 24429-2026 artfynd.xlsx", "A 24429-2026")</f>
        <v/>
      </c>
      <c r="X140">
        <f>HYPERLINK("https://klasma.github.io/Logging_2582/kartor/A 24429-2026 karta.png", "A 24429-2026")</f>
        <v/>
      </c>
      <c r="Y140">
        <f>HYPERLINK("https://klasma.github.io/Logging_2582/kartor_geotiff/A 24429-2026 georefererad karta.tif", "A 24429-2026")</f>
        <v/>
      </c>
      <c r="AA140">
        <f>HYPERLINK("https://klasma.github.io/Logging_2582/klagomål/A 24429-2026 FSC-klagomål.docx", "A 24429-2026")</f>
        <v/>
      </c>
      <c r="AB140">
        <f>HYPERLINK("https://klasma.github.io/Logging_2582/klagomålsmail/A 24429-2026 FSC-klagomål mail.docx", "A 24429-2026")</f>
        <v/>
      </c>
      <c r="AC140">
        <f>HYPERLINK("https://klasma.github.io/Logging_2582/tillsyn/A 24429-2026 tillsynsbegäran.docx", "A 24429-2026")</f>
        <v/>
      </c>
      <c r="AD140">
        <f>HYPERLINK("https://klasma.github.io/Logging_2582/tillsynsmail/A 24429-2026 tillsynsbegäran mail.docx", "A 24429-2026")</f>
        <v/>
      </c>
    </row>
    <row r="141" ht="15" customHeight="1">
      <c r="A141" t="inlineStr">
        <is>
          <t>A 14329-2026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46230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Tjäder</t>
        </is>
      </c>
      <c r="W141">
        <f>HYPERLINK("https://klasma.github.io/Logging_2582/artfynd/A 14329-2026 artfynd.xlsx", "A 14329-2026")</f>
        <v/>
      </c>
      <c r="X141">
        <f>HYPERLINK("https://klasma.github.io/Logging_2582/kartor/A 14329-2026 karta.png", "A 14329-2026")</f>
        <v/>
      </c>
      <c r="Y141">
        <f>HYPERLINK("https://klasma.github.io/Logging_2582/kartor_geotiff/A 14329-2026 georefererad karta.tif", "A 14329-2026")</f>
        <v/>
      </c>
      <c r="AA141">
        <f>HYPERLINK("https://klasma.github.io/Logging_2582/klagomål/A 14329-2026 FSC-klagomål.docx", "A 14329-2026")</f>
        <v/>
      </c>
      <c r="AB141">
        <f>HYPERLINK("https://klasma.github.io/Logging_2582/klagomålsmail/A 14329-2026 FSC-klagomål mail.docx", "A 14329-2026")</f>
        <v/>
      </c>
      <c r="AC141">
        <f>HYPERLINK("https://klasma.github.io/Logging_2582/tillsyn/A 14329-2026 tillsynsbegäran.docx", "A 14329-2026")</f>
        <v/>
      </c>
      <c r="AD141">
        <f>HYPERLINK("https://klasma.github.io/Logging_2582/tillsynsmail/A 14329-2026 tillsynsbegäran mail.docx", "A 14329-2026")</f>
        <v/>
      </c>
      <c r="AE141">
        <f>HYPERLINK("https://klasma.github.io/Logging_2582/fåglar/A 14329-2026 prioriterade fågelarter.docx", "A 14329-2026")</f>
        <v/>
      </c>
    </row>
    <row r="142" ht="15" customHeight="1">
      <c r="A142" t="inlineStr">
        <is>
          <t>A 25805-2026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46230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3.6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HYPERLINK("https://klasma.github.io/Logging_2582/artfynd/A 25805-2026 artfynd.xlsx", "A 25805-2026")</f>
        <v/>
      </c>
      <c r="X142">
        <f>HYPERLINK("https://klasma.github.io/Logging_2582/kartor/A 25805-2026 karta.png", "A 25805-2026")</f>
        <v/>
      </c>
      <c r="Y142">
        <f>HYPERLINK("https://klasma.github.io/Logging_2582/kartor_geotiff/A 25805-2026 georefererad karta.tif", "A 25805-2026")</f>
        <v/>
      </c>
      <c r="AA142">
        <f>HYPERLINK("https://klasma.github.io/Logging_2582/klagomål/A 25805-2026 FSC-klagomål.docx", "A 25805-2026")</f>
        <v/>
      </c>
      <c r="AB142">
        <f>HYPERLINK("https://klasma.github.io/Logging_2582/klagomålsmail/A 25805-2026 FSC-klagomål mail.docx", "A 25805-2026")</f>
        <v/>
      </c>
      <c r="AC142">
        <f>HYPERLINK("https://klasma.github.io/Logging_2582/tillsyn/A 25805-2026 tillsynsbegäran.docx", "A 25805-2026")</f>
        <v/>
      </c>
      <c r="AD142">
        <f>HYPERLINK("https://klasma.github.io/Logging_2582/tillsynsmail/A 25805-2026 tillsynsbegäran mail.docx", "A 25805-2026")</f>
        <v/>
      </c>
    </row>
    <row r="143" ht="15" customHeight="1">
      <c r="A143" t="inlineStr">
        <is>
          <t>A 25803-2026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46230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9.9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Spindelblomster</t>
        </is>
      </c>
      <c r="W143">
        <f>HYPERLINK("https://klasma.github.io/Logging_2582/artfynd/A 25803-2026 artfynd.xlsx", "A 25803-2026")</f>
        <v/>
      </c>
      <c r="X143">
        <f>HYPERLINK("https://klasma.github.io/Logging_2582/kartor/A 25803-2026 karta.png", "A 25803-2026")</f>
        <v/>
      </c>
      <c r="Y143">
        <f>HYPERLINK("https://klasma.github.io/Logging_2582/kartor_geotiff/A 25803-2026 georefererad karta.tif", "A 25803-2026")</f>
        <v/>
      </c>
      <c r="AA143">
        <f>HYPERLINK("https://klasma.github.io/Logging_2582/klagomål/A 25803-2026 FSC-klagomål.docx", "A 25803-2026")</f>
        <v/>
      </c>
      <c r="AB143">
        <f>HYPERLINK("https://klasma.github.io/Logging_2582/klagomålsmail/A 25803-2026 FSC-klagomål mail.docx", "A 25803-2026")</f>
        <v/>
      </c>
      <c r="AC143">
        <f>HYPERLINK("https://klasma.github.io/Logging_2582/tillsyn/A 25803-2026 tillsynsbegäran.docx", "A 25803-2026")</f>
        <v/>
      </c>
      <c r="AD143">
        <f>HYPERLINK("https://klasma.github.io/Logging_2582/tillsynsmail/A 25803-2026 tillsynsbegäran mail.docx", "A 25803-2026")</f>
        <v/>
      </c>
    </row>
    <row r="144" ht="15" customHeight="1">
      <c r="A144" t="inlineStr">
        <is>
          <t>A 25801-2026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46230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25801-2026 artfynd.xlsx", "A 25801-2026")</f>
        <v/>
      </c>
      <c r="X144">
        <f>HYPERLINK("https://klasma.github.io/Logging_2582/kartor/A 25801-2026 karta.png", "A 25801-2026")</f>
        <v/>
      </c>
      <c r="Y144">
        <f>HYPERLINK("https://klasma.github.io/Logging_2582/kartor_geotiff/A 25801-2026 georefererad karta.tif", "A 25801-2026")</f>
        <v/>
      </c>
      <c r="Z144">
        <f>HYPERLINK("https://klasma.github.io/Logging_2582/knärot/A 25801-2026 karta knärot.png", "A 25801-2026")</f>
        <v/>
      </c>
      <c r="AA144">
        <f>HYPERLINK("https://klasma.github.io/Logging_2582/klagomål/A 25801-2026 FSC-klagomål.docx", "A 25801-2026")</f>
        <v/>
      </c>
      <c r="AB144">
        <f>HYPERLINK("https://klasma.github.io/Logging_2582/klagomålsmail/A 25801-2026 FSC-klagomål mail.docx", "A 25801-2026")</f>
        <v/>
      </c>
      <c r="AC144">
        <f>HYPERLINK("https://klasma.github.io/Logging_2582/tillsyn/A 25801-2026 tillsynsbegäran.docx", "A 25801-2026")</f>
        <v/>
      </c>
      <c r="AD144">
        <f>HYPERLINK("https://klasma.github.io/Logging_2582/tillsynsmail/A 25801-2026 tillsynsbegäran mail.docx", "A 25801-2026")</f>
        <v/>
      </c>
    </row>
    <row r="145" ht="15" customHeight="1">
      <c r="A145" t="inlineStr">
        <is>
          <t>A 19396-2022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46230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HYPERLINK("https://klasma.github.io/Logging_2582/artfynd/A 19396-2022 artfynd.xlsx", "A 19396-2022")</f>
        <v/>
      </c>
      <c r="X145">
        <f>HYPERLINK("https://klasma.github.io/Logging_2582/kartor/A 19396-2022 karta.png", "A 19396-2022")</f>
        <v/>
      </c>
      <c r="Y145">
        <f>HYPERLINK("https://klasma.github.io/Logging_2582/kartor_geotiff/A 19396-2022 georefererad karta.tif", "A 19396-2022")</f>
        <v/>
      </c>
      <c r="AA145">
        <f>HYPERLINK("https://klasma.github.io/Logging_2582/klagomål/A 19396-2022 FSC-klagomål.docx", "A 19396-2022")</f>
        <v/>
      </c>
      <c r="AB145">
        <f>HYPERLINK("https://klasma.github.io/Logging_2582/klagomålsmail/A 19396-2022 FSC-klagomål mail.docx", "A 19396-2022")</f>
        <v/>
      </c>
      <c r="AC145">
        <f>HYPERLINK("https://klasma.github.io/Logging_2582/tillsyn/A 19396-2022 tillsynsbegäran.docx", "A 19396-2022")</f>
        <v/>
      </c>
      <c r="AD145">
        <f>HYPERLINK("https://klasma.github.io/Logging_2582/tillsynsmail/A 19396-2022 tillsynsbegäran mail.docx", "A 19396-2022")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46230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46230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46230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46230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46230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46230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46230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46230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46230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46230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46230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46230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46230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46230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46230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46230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46230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46230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46230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46230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46230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46230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46230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46230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46230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46230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46230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46230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46230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46230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46230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46230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46230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46230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46230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46230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46230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46230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46230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46230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46230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46230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46230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46230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46230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46230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46230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46230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46230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46230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46230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46230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46230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46230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46230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46230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46230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46230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46230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46230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46230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46230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46230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46230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46230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46230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46230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46230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46230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46230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46230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46230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46230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46230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46230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46230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45310</v>
      </c>
      <c r="E224" s="1" t="n">
        <v>46230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52075-2021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46230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46230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46230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46230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46230</v>
      </c>
      <c r="F229" t="inlineStr">
        <is>
          <t>NORRBOTTENS LÄN</t>
        </is>
      </c>
      <c r="G229" t="inlineStr">
        <is>
          <t>BODEN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73910-2021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46230</v>
      </c>
      <c r="F230" t="inlineStr">
        <is>
          <t>NORRBOTTENS LÄN</t>
        </is>
      </c>
      <c r="G230" t="inlineStr">
        <is>
          <t>BODEN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46230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46230</v>
      </c>
      <c r="F232" t="inlineStr">
        <is>
          <t>NORRBOTTENS LÄN</t>
        </is>
      </c>
      <c r="G232" t="inlineStr">
        <is>
          <t>BODEN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46230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46230</v>
      </c>
      <c r="F234" t="inlineStr">
        <is>
          <t>NORRBOTTENS LÄN</t>
        </is>
      </c>
      <c r="G234" t="inlineStr">
        <is>
          <t>BODEN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46230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46230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46230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46230</v>
      </c>
      <c r="F238" t="inlineStr">
        <is>
          <t>NORRBOTTENS LÄN</t>
        </is>
      </c>
      <c r="G238" t="inlineStr">
        <is>
          <t>BODEN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45125</v>
      </c>
      <c r="E239" s="1" t="n">
        <v>46230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46230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46230</v>
      </c>
      <c r="F241" t="inlineStr">
        <is>
          <t>NORRBOTTENS LÄN</t>
        </is>
      </c>
      <c r="G241" t="inlineStr">
        <is>
          <t>BODEN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46230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46230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44489</v>
      </c>
      <c r="E244" s="1" t="n">
        <v>46230</v>
      </c>
      <c r="F244" t="inlineStr">
        <is>
          <t>NORRBOTTENS LÄN</t>
        </is>
      </c>
      <c r="G244" t="inlineStr">
        <is>
          <t>BODEN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46230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46230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46230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46230</v>
      </c>
      <c r="F248" t="inlineStr">
        <is>
          <t>NORRBOTTENS LÄN</t>
        </is>
      </c>
      <c r="G248" t="inlineStr">
        <is>
          <t>BODEN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46230</v>
      </c>
      <c r="F249" t="inlineStr">
        <is>
          <t>NORRBOTTENS LÄN</t>
        </is>
      </c>
      <c r="G249" t="inlineStr">
        <is>
          <t>BODEN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74264-2021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44558</v>
      </c>
      <c r="E250" s="1" t="n">
        <v>46230</v>
      </c>
      <c r="F250" t="inlineStr">
        <is>
          <t>NORRBOTTENS LÄN</t>
        </is>
      </c>
      <c r="G250" t="inlineStr">
        <is>
          <t>BODEN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45766</v>
      </c>
      <c r="E251" s="1" t="n">
        <v>46230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46230</v>
      </c>
      <c r="F252" t="inlineStr">
        <is>
          <t>NORRBOTTENS LÄN</t>
        </is>
      </c>
      <c r="G252" t="inlineStr">
        <is>
          <t>BODEN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68565-2021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46230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46230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44970</v>
      </c>
      <c r="E255" s="1" t="n">
        <v>46230</v>
      </c>
      <c r="F255" t="inlineStr">
        <is>
          <t>NORRBOTTENS LÄN</t>
        </is>
      </c>
      <c r="G255" t="inlineStr">
        <is>
          <t>BODEN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46230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46230</v>
      </c>
      <c r="F257" t="inlineStr">
        <is>
          <t>NORRBOTTENS LÄN</t>
        </is>
      </c>
      <c r="G257" t="inlineStr">
        <is>
          <t>BODEN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46230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64975-2023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45285</v>
      </c>
      <c r="E259" s="1" t="n">
        <v>46230</v>
      </c>
      <c r="F259" t="inlineStr">
        <is>
          <t>NORRBOTTENS LÄN</t>
        </is>
      </c>
      <c r="G259" t="inlineStr">
        <is>
          <t>BODEN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46230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46230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45397</v>
      </c>
      <c r="E262" s="1" t="n">
        <v>46230</v>
      </c>
      <c r="F262" t="inlineStr">
        <is>
          <t>NORRBOTTENS LÄN</t>
        </is>
      </c>
      <c r="G262" t="inlineStr">
        <is>
          <t>BODEN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44983</v>
      </c>
      <c r="E263" s="1" t="n">
        <v>46230</v>
      </c>
      <c r="F263" t="inlineStr">
        <is>
          <t>NORRBOTTENS LÄN</t>
        </is>
      </c>
      <c r="G263" t="inlineStr">
        <is>
          <t>BODEN</t>
        </is>
      </c>
      <c r="I263" t="n">
        <v>37.1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44474</v>
      </c>
      <c r="E264" s="1" t="n">
        <v>46230</v>
      </c>
      <c r="F264" t="inlineStr">
        <is>
          <t>NORRBOTTENS LÄN</t>
        </is>
      </c>
      <c r="G264" t="inlineStr">
        <is>
          <t>BODEN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46230</v>
      </c>
      <c r="F265" t="inlineStr">
        <is>
          <t>NORRBOTTENS LÄN</t>
        </is>
      </c>
      <c r="G265" t="inlineStr">
        <is>
          <t>BODEN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46230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46230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46230</v>
      </c>
      <c r="F268" t="inlineStr">
        <is>
          <t>NORRBOTTENS LÄN</t>
        </is>
      </c>
      <c r="G268" t="inlineStr">
        <is>
          <t>BODEN</t>
        </is>
      </c>
      <c r="I268" t="n">
        <v>33.9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46230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46230</v>
      </c>
      <c r="F270" t="inlineStr">
        <is>
          <t>NORRBOTTENS LÄN</t>
        </is>
      </c>
      <c r="G270" t="inlineStr">
        <is>
          <t>BODEN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44484</v>
      </c>
      <c r="E271" s="1" t="n">
        <v>46230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46230</v>
      </c>
      <c r="F272" t="inlineStr">
        <is>
          <t>NORRBOTTENS LÄN</t>
        </is>
      </c>
      <c r="G272" t="inlineStr">
        <is>
          <t>BODEN</t>
        </is>
      </c>
      <c r="H272" t="inlineStr">
        <is>
          <t>Naturvårdsverket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45543</v>
      </c>
      <c r="E273" s="1" t="n">
        <v>46230</v>
      </c>
      <c r="F273" t="inlineStr">
        <is>
          <t>NORRBOTTENS LÄN</t>
        </is>
      </c>
      <c r="G273" t="inlineStr">
        <is>
          <t>BODEN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46230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Aktiebolag</t>
        </is>
      </c>
      <c r="I274" t="n">
        <v>14.3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45560</v>
      </c>
      <c r="E275" s="1" t="n">
        <v>46230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46230</v>
      </c>
      <c r="F276" t="inlineStr">
        <is>
          <t>NORRBOTTENS LÄN</t>
        </is>
      </c>
      <c r="G276" t="inlineStr">
        <is>
          <t>BODEN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46230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46230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statliga verk och myndigheter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46230</v>
      </c>
      <c r="F279" t="inlineStr">
        <is>
          <t>NORRBOTTENS LÄN</t>
        </is>
      </c>
      <c r="G279" t="inlineStr">
        <is>
          <t>BODEN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46230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45516</v>
      </c>
      <c r="E281" s="1" t="n">
        <v>46230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46230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46230</v>
      </c>
      <c r="F283" t="inlineStr">
        <is>
          <t>NORRBOTTENS LÄN</t>
        </is>
      </c>
      <c r="G283" t="inlineStr">
        <is>
          <t>BODEN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46230</v>
      </c>
      <c r="F284" t="inlineStr">
        <is>
          <t>NORRBOTTENS LÄN</t>
        </is>
      </c>
      <c r="G284" t="inlineStr">
        <is>
          <t>BODEN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46230</v>
      </c>
      <c r="F285" t="inlineStr">
        <is>
          <t>NORRBOTTENS LÄN</t>
        </is>
      </c>
      <c r="G285" t="inlineStr">
        <is>
          <t>BODEN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59890-2023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45254</v>
      </c>
      <c r="E286" s="1" t="n">
        <v>46230</v>
      </c>
      <c r="F286" t="inlineStr">
        <is>
          <t>NORRBOTTENS LÄN</t>
        </is>
      </c>
      <c r="G286" t="inlineStr">
        <is>
          <t>BODEN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46230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46230</v>
      </c>
      <c r="F288" t="inlineStr">
        <is>
          <t>NORRBOTTENS LÄN</t>
        </is>
      </c>
      <c r="G288" t="inlineStr">
        <is>
          <t>BODEN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46230</v>
      </c>
      <c r="F289" t="inlineStr">
        <is>
          <t>NORRBOTTENS LÄN</t>
        </is>
      </c>
      <c r="G289" t="inlineStr">
        <is>
          <t>BODEN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46230</v>
      </c>
      <c r="F290" t="inlineStr">
        <is>
          <t>NORRBOTTENS LÄN</t>
        </is>
      </c>
      <c r="G290" t="inlineStr">
        <is>
          <t>BODEN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46230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45643</v>
      </c>
      <c r="E292" s="1" t="n">
        <v>46230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44628</v>
      </c>
      <c r="E293" s="1" t="n">
        <v>46230</v>
      </c>
      <c r="F293" t="inlineStr">
        <is>
          <t>NORRBOTTENS LÄN</t>
        </is>
      </c>
      <c r="G293" t="inlineStr">
        <is>
          <t>BODEN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46230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46230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46230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45868</v>
      </c>
      <c r="E297" s="1" t="n">
        <v>46230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46230</v>
      </c>
      <c r="F298" t="inlineStr">
        <is>
          <t>NORRBOTTENS LÄN</t>
        </is>
      </c>
      <c r="G298" t="inlineStr">
        <is>
          <t>BODEN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46230</v>
      </c>
      <c r="F299" t="inlineStr">
        <is>
          <t>NORRBOTTENS LÄN</t>
        </is>
      </c>
      <c r="G299" t="inlineStr">
        <is>
          <t>BODEN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46230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44421</v>
      </c>
      <c r="E301" s="1" t="n">
        <v>46230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45877</v>
      </c>
      <c r="E302" s="1" t="n">
        <v>46230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45356</v>
      </c>
      <c r="E303" s="1" t="n">
        <v>46230</v>
      </c>
      <c r="F303" t="inlineStr">
        <is>
          <t>NORRBOTTENS LÄN</t>
        </is>
      </c>
      <c r="G303" t="inlineStr">
        <is>
          <t>BODEN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46230</v>
      </c>
      <c r="F304" t="inlineStr">
        <is>
          <t>NORRBOTTENS LÄN</t>
        </is>
      </c>
      <c r="G304" t="inlineStr">
        <is>
          <t>BODEN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46230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46230</v>
      </c>
      <c r="F306" t="inlineStr">
        <is>
          <t>NORRBOTTENS LÄN</t>
        </is>
      </c>
      <c r="G306" t="inlineStr">
        <is>
          <t>BODEN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46230</v>
      </c>
      <c r="F307" t="inlineStr">
        <is>
          <t>NORRBOTTENS LÄN</t>
        </is>
      </c>
      <c r="G307" t="inlineStr">
        <is>
          <t>BODEN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46230</v>
      </c>
      <c r="F308" t="inlineStr">
        <is>
          <t>NORRBOTTENS LÄN</t>
        </is>
      </c>
      <c r="G308" t="inlineStr">
        <is>
          <t>BODEN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45770</v>
      </c>
      <c r="E309" s="1" t="n">
        <v>46230</v>
      </c>
      <c r="F309" t="inlineStr">
        <is>
          <t>NORRBOTTENS LÄN</t>
        </is>
      </c>
      <c r="G309" t="inlineStr">
        <is>
          <t>BODEN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46230</v>
      </c>
      <c r="F310" t="inlineStr">
        <is>
          <t>NORRBOTTENS LÄN</t>
        </is>
      </c>
      <c r="G310" t="inlineStr">
        <is>
          <t>BODEN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46230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68611-2021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46230</v>
      </c>
      <c r="F312" t="inlineStr">
        <is>
          <t>NORRBOTTENS LÄN</t>
        </is>
      </c>
      <c r="G312" t="inlineStr">
        <is>
          <t>BODEN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46230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46230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46230</v>
      </c>
      <c r="F315" t="inlineStr">
        <is>
          <t>NORRBOTTENS LÄN</t>
        </is>
      </c>
      <c r="G315" t="inlineStr">
        <is>
          <t>BODEN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45212</v>
      </c>
      <c r="E316" s="1" t="n">
        <v>46230</v>
      </c>
      <c r="F316" t="inlineStr">
        <is>
          <t>NORRBOTTENS LÄN</t>
        </is>
      </c>
      <c r="G316" t="inlineStr">
        <is>
          <t>BODEN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46230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45764</v>
      </c>
      <c r="E318" s="1" t="n">
        <v>46230</v>
      </c>
      <c r="F318" t="inlineStr">
        <is>
          <t>NORRBOTTENS LÄN</t>
        </is>
      </c>
      <c r="G318" t="inlineStr">
        <is>
          <t>BODEN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46230</v>
      </c>
      <c r="F319" t="inlineStr">
        <is>
          <t>NORRBOTTENS LÄN</t>
        </is>
      </c>
      <c r="G319" t="inlineStr">
        <is>
          <t>BODEN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57600-2021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44484</v>
      </c>
      <c r="E320" s="1" t="n">
        <v>46230</v>
      </c>
      <c r="F320" t="inlineStr">
        <is>
          <t>NORRBOTTENS LÄN</t>
        </is>
      </c>
      <c r="G320" t="inlineStr">
        <is>
          <t>BODEN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46230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46230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46230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46230</v>
      </c>
      <c r="F324" t="inlineStr">
        <is>
          <t>NORRBOTTENS LÄN</t>
        </is>
      </c>
      <c r="G324" t="inlineStr">
        <is>
          <t>BODEN</t>
        </is>
      </c>
      <c r="I324" t="n">
        <v>13.9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46230</v>
      </c>
      <c r="F325" t="inlineStr">
        <is>
          <t>NORRBOTTENS LÄN</t>
        </is>
      </c>
      <c r="G325" t="inlineStr">
        <is>
          <t>BODEN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46230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54935-2021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44474</v>
      </c>
      <c r="E327" s="1" t="n">
        <v>46230</v>
      </c>
      <c r="F327" t="inlineStr">
        <is>
          <t>NORRBOTTENS LÄN</t>
        </is>
      </c>
      <c r="G327" t="inlineStr">
        <is>
          <t>BODEN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708-2022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44566</v>
      </c>
      <c r="E328" s="1" t="n">
        <v>46230</v>
      </c>
      <c r="F328" t="inlineStr">
        <is>
          <t>NORRBOTTENS LÄN</t>
        </is>
      </c>
      <c r="G328" t="inlineStr">
        <is>
          <t>BODEN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45446</v>
      </c>
      <c r="E329" s="1" t="n">
        <v>46230</v>
      </c>
      <c r="F329" t="inlineStr">
        <is>
          <t>NORRBOTTENS LÄN</t>
        </is>
      </c>
      <c r="G329" t="inlineStr">
        <is>
          <t>BODEN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45551</v>
      </c>
      <c r="E330" s="1" t="n">
        <v>46230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46230</v>
      </c>
      <c r="F331" t="inlineStr">
        <is>
          <t>NORRBOTTENS LÄN</t>
        </is>
      </c>
      <c r="G331" t="inlineStr">
        <is>
          <t>BODEN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46230</v>
      </c>
      <c r="F332" t="inlineStr">
        <is>
          <t>NORRBOTTENS LÄN</t>
        </is>
      </c>
      <c r="G332" t="inlineStr">
        <is>
          <t>BODEN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46230</v>
      </c>
      <c r="F333" t="inlineStr">
        <is>
          <t>NORRBOTTENS LÄN</t>
        </is>
      </c>
      <c r="G333" t="inlineStr">
        <is>
          <t>BODEN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46230</v>
      </c>
      <c r="F334" t="inlineStr">
        <is>
          <t>NORRBOTTENS LÄN</t>
        </is>
      </c>
      <c r="G334" t="inlineStr">
        <is>
          <t>BODEN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46230</v>
      </c>
      <c r="F335" t="inlineStr">
        <is>
          <t>NORRBOTTENS LÄN</t>
        </is>
      </c>
      <c r="G335" t="inlineStr">
        <is>
          <t>BODEN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45897</v>
      </c>
      <c r="E336" s="1" t="n">
        <v>46230</v>
      </c>
      <c r="F336" t="inlineStr">
        <is>
          <t>NORRBOTTENS LÄN</t>
        </is>
      </c>
      <c r="G336" t="inlineStr">
        <is>
          <t>BODEN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46230</v>
      </c>
      <c r="F337" t="inlineStr">
        <is>
          <t>NORRBOTTENS LÄN</t>
        </is>
      </c>
      <c r="G337" t="inlineStr">
        <is>
          <t>BODEN</t>
        </is>
      </c>
      <c r="I337" t="n">
        <v>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56111-2021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44477</v>
      </c>
      <c r="E338" s="1" t="n">
        <v>46230</v>
      </c>
      <c r="F338" t="inlineStr">
        <is>
          <t>NORRBOTTENS LÄN</t>
        </is>
      </c>
      <c r="G338" t="inlineStr">
        <is>
          <t>BODEN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46230</v>
      </c>
      <c r="F339" t="inlineStr">
        <is>
          <t>NORRBOTTENS LÄN</t>
        </is>
      </c>
      <c r="G339" t="inlineStr">
        <is>
          <t>BODEN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46230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46230</v>
      </c>
      <c r="F341" t="inlineStr">
        <is>
          <t>NORRBOTTENS LÄN</t>
        </is>
      </c>
      <c r="G341" t="inlineStr">
        <is>
          <t>BODEN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46230</v>
      </c>
      <c r="F342" t="inlineStr">
        <is>
          <t>NORRBOTTENS LÄN</t>
        </is>
      </c>
      <c r="G342" t="inlineStr">
        <is>
          <t>BODEN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46230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41691-2025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45902</v>
      </c>
      <c r="E344" s="1" t="n">
        <v>46230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46230</v>
      </c>
      <c r="F345" t="inlineStr">
        <is>
          <t>NORRBOTTENS LÄN</t>
        </is>
      </c>
      <c r="G345" t="inlineStr">
        <is>
          <t>BODEN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46230</v>
      </c>
      <c r="F346" t="inlineStr">
        <is>
          <t>NORRBOTTENS LÄN</t>
        </is>
      </c>
      <c r="G346" t="inlineStr">
        <is>
          <t>BODEN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46230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46230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46230</v>
      </c>
      <c r="F349" t="inlineStr">
        <is>
          <t>NORRBOTTENS LÄN</t>
        </is>
      </c>
      <c r="G349" t="inlineStr">
        <is>
          <t>BODEN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46230</v>
      </c>
      <c r="F350" t="inlineStr">
        <is>
          <t>NORRBOTTENS LÄN</t>
        </is>
      </c>
      <c r="G350" t="inlineStr">
        <is>
          <t>BODEN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45907</v>
      </c>
      <c r="E351" s="1" t="n">
        <v>46230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11647-2023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44994</v>
      </c>
      <c r="E352" s="1" t="n">
        <v>46230</v>
      </c>
      <c r="F352" t="inlineStr">
        <is>
          <t>NORRBOTTENS LÄN</t>
        </is>
      </c>
      <c r="G352" t="inlineStr">
        <is>
          <t>BODEN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46230</v>
      </c>
      <c r="F353" t="inlineStr">
        <is>
          <t>NORRBOTTENS LÄN</t>
        </is>
      </c>
      <c r="G353" t="inlineStr">
        <is>
          <t>BODEN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44486</v>
      </c>
      <c r="E354" s="1" t="n">
        <v>46230</v>
      </c>
      <c r="F354" t="inlineStr">
        <is>
          <t>NORRBOTTENS LÄN</t>
        </is>
      </c>
      <c r="G354" t="inlineStr">
        <is>
          <t>BODEN</t>
        </is>
      </c>
      <c r="I354" t="n">
        <v>9.199999999999999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46230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Aktiebolag</t>
        </is>
      </c>
      <c r="I355" t="n">
        <v>10.6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46230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46230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45860</v>
      </c>
      <c r="E358" s="1" t="n">
        <v>46230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46230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46230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46230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43711-2025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45912</v>
      </c>
      <c r="E362" s="1" t="n">
        <v>46230</v>
      </c>
      <c r="F362" t="inlineStr">
        <is>
          <t>NORRBOTTENS LÄN</t>
        </is>
      </c>
      <c r="G362" t="inlineStr">
        <is>
          <t>BODEN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43710-2025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46230</v>
      </c>
      <c r="F363" t="inlineStr">
        <is>
          <t>NORRBOTTENS LÄN</t>
        </is>
      </c>
      <c r="G363" t="inlineStr">
        <is>
          <t>BODEN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46230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45583</v>
      </c>
      <c r="E365" s="1" t="n">
        <v>46230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46541-2021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44445</v>
      </c>
      <c r="E366" s="1" t="n">
        <v>46230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46230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statliga verk och myndigheter</t>
        </is>
      </c>
      <c r="I367" t="n">
        <v>12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46230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46230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41957-2024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45561</v>
      </c>
      <c r="E370" s="1" t="n">
        <v>46230</v>
      </c>
      <c r="F370" t="inlineStr">
        <is>
          <t>NORRBOTTENS LÄN</t>
        </is>
      </c>
      <c r="G370" t="inlineStr">
        <is>
          <t>BODEN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45935</v>
      </c>
      <c r="E371" s="1" t="n">
        <v>46230</v>
      </c>
      <c r="F371" t="inlineStr">
        <is>
          <t>NORRBOTTENS LÄN</t>
        </is>
      </c>
      <c r="G371" t="inlineStr">
        <is>
          <t>BODEN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46230</v>
      </c>
      <c r="F372" t="inlineStr">
        <is>
          <t>NORRBOTTENS LÄN</t>
        </is>
      </c>
      <c r="G372" t="inlineStr">
        <is>
          <t>BODEN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46230</v>
      </c>
      <c r="F373" t="inlineStr">
        <is>
          <t>NORRBOTTENS LÄN</t>
        </is>
      </c>
      <c r="G373" t="inlineStr">
        <is>
          <t>BODEN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67068-2021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44522</v>
      </c>
      <c r="E374" s="1" t="n">
        <v>46230</v>
      </c>
      <c r="F374" t="inlineStr">
        <is>
          <t>NORRBOTTENS LÄN</t>
        </is>
      </c>
      <c r="G374" t="inlineStr">
        <is>
          <t>BODEN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45616-2025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45922</v>
      </c>
      <c r="E375" s="1" t="n">
        <v>46230</v>
      </c>
      <c r="F375" t="inlineStr">
        <is>
          <t>NORRBOTTENS LÄN</t>
        </is>
      </c>
      <c r="G375" t="inlineStr">
        <is>
          <t>BODEN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45617-2025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46230</v>
      </c>
      <c r="F376" t="inlineStr">
        <is>
          <t>NORRBOTTENS LÄN</t>
        </is>
      </c>
      <c r="G376" t="inlineStr">
        <is>
          <t>BODEN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46230</v>
      </c>
      <c r="F377" t="inlineStr">
        <is>
          <t>NORRBOTTENS LÄN</t>
        </is>
      </c>
      <c r="G377" t="inlineStr">
        <is>
          <t>BODEN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45925</v>
      </c>
      <c r="E378" s="1" t="n">
        <v>46230</v>
      </c>
      <c r="F378" t="inlineStr">
        <is>
          <t>NORRBOTTENS LÄN</t>
        </is>
      </c>
      <c r="G378" t="inlineStr">
        <is>
          <t>BODEN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46230</v>
      </c>
      <c r="F379" t="inlineStr">
        <is>
          <t>NORRBOTTENS LÄN</t>
        </is>
      </c>
      <c r="G379" t="inlineStr">
        <is>
          <t>BODEN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46230</v>
      </c>
      <c r="F380" t="inlineStr">
        <is>
          <t>NORRBOTTENS LÄN</t>
        </is>
      </c>
      <c r="G380" t="inlineStr">
        <is>
          <t>BODEN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46230</v>
      </c>
      <c r="F381" t="inlineStr">
        <is>
          <t>NORRBOTTENS LÄN</t>
        </is>
      </c>
      <c r="G381" t="inlineStr">
        <is>
          <t>BODEN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46230</v>
      </c>
      <c r="F382" t="inlineStr">
        <is>
          <t>NORRBOTTENS LÄN</t>
        </is>
      </c>
      <c r="G382" t="inlineStr">
        <is>
          <t>BODEN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45969-2025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45924</v>
      </c>
      <c r="E383" s="1" t="n">
        <v>46230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46230</v>
      </c>
      <c r="F384" t="inlineStr">
        <is>
          <t>NORRBOTTENS LÄN</t>
        </is>
      </c>
      <c r="G384" t="inlineStr">
        <is>
          <t>BODEN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46230</v>
      </c>
      <c r="F385" t="inlineStr">
        <is>
          <t>NORRBOTTENS LÄN</t>
        </is>
      </c>
      <c r="G385" t="inlineStr">
        <is>
          <t>BODEN</t>
        </is>
      </c>
      <c r="H385" t="inlineStr">
        <is>
          <t>Övriga Aktiebolag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46230</v>
      </c>
      <c r="F386" t="inlineStr">
        <is>
          <t>NORRBOTTENS LÄN</t>
        </is>
      </c>
      <c r="G386" t="inlineStr">
        <is>
          <t>BODEN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46230</v>
      </c>
      <c r="F387" t="inlineStr">
        <is>
          <t>NORRBOTTENS LÄN</t>
        </is>
      </c>
      <c r="G387" t="inlineStr">
        <is>
          <t>BODEN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46230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46230</v>
      </c>
      <c r="F389" t="inlineStr">
        <is>
          <t>NORRBOTTENS LÄN</t>
        </is>
      </c>
      <c r="G389" t="inlineStr">
        <is>
          <t>BODEN</t>
        </is>
      </c>
      <c r="H389" t="inlineStr">
        <is>
          <t>Övriga Aktiebolag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46230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46230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46230</v>
      </c>
      <c r="F392" t="inlineStr">
        <is>
          <t>NORRBOTTENS LÄN</t>
        </is>
      </c>
      <c r="G392" t="inlineStr">
        <is>
          <t>BODEN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46230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48091-2025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45933</v>
      </c>
      <c r="E394" s="1" t="n">
        <v>46230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45906</v>
      </c>
      <c r="E395" s="1" t="n">
        <v>46230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46230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45933</v>
      </c>
      <c r="E397" s="1" t="n">
        <v>46230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48173-2025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46230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46230</v>
      </c>
      <c r="F399" t="inlineStr">
        <is>
          <t>NORRBOTTENS LÄN</t>
        </is>
      </c>
      <c r="G399" t="inlineStr">
        <is>
          <t>BODEN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45512</v>
      </c>
      <c r="E400" s="1" t="n">
        <v>46230</v>
      </c>
      <c r="F400" t="inlineStr">
        <is>
          <t>NORRBOTTENS LÄN</t>
        </is>
      </c>
      <c r="G400" t="inlineStr">
        <is>
          <t>BODEN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46230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45937</v>
      </c>
      <c r="E402" s="1" t="n">
        <v>46230</v>
      </c>
      <c r="F402" t="inlineStr">
        <is>
          <t>NORRBOTTENS LÄN</t>
        </is>
      </c>
      <c r="G402" t="inlineStr">
        <is>
          <t>BODEN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44889</v>
      </c>
      <c r="E403" s="1" t="n">
        <v>46230</v>
      </c>
      <c r="F403" t="inlineStr">
        <is>
          <t>NORRBOTTENS LÄN</t>
        </is>
      </c>
      <c r="G403" t="inlineStr">
        <is>
          <t>BODEN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45406</v>
      </c>
      <c r="E404" s="1" t="n">
        <v>46230</v>
      </c>
      <c r="F404" t="inlineStr">
        <is>
          <t>NORRBOTTENS LÄN</t>
        </is>
      </c>
      <c r="G404" t="inlineStr">
        <is>
          <t>BODEN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46230</v>
      </c>
      <c r="F405" t="inlineStr">
        <is>
          <t>NORRBOTTENS LÄN</t>
        </is>
      </c>
      <c r="G405" t="inlineStr">
        <is>
          <t>BODEN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46230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46230</v>
      </c>
      <c r="F407" t="inlineStr">
        <is>
          <t>NORRBOTTENS LÄN</t>
        </is>
      </c>
      <c r="G407" t="inlineStr">
        <is>
          <t>BODEN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45939</v>
      </c>
      <c r="E408" s="1" t="n">
        <v>46230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54104-2022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46230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46230</v>
      </c>
      <c r="F410" t="inlineStr">
        <is>
          <t>NORRBOTTENS LÄN</t>
        </is>
      </c>
      <c r="G410" t="inlineStr">
        <is>
          <t>BODEN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45943</v>
      </c>
      <c r="E411" s="1" t="n">
        <v>46230</v>
      </c>
      <c r="F411" t="inlineStr">
        <is>
          <t>NORRBOTTENS LÄN</t>
        </is>
      </c>
      <c r="G411" t="inlineStr">
        <is>
          <t>BODEN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46230</v>
      </c>
      <c r="F412" t="inlineStr">
        <is>
          <t>NORRBOTTENS LÄN</t>
        </is>
      </c>
      <c r="G412" t="inlineStr">
        <is>
          <t>BODEN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46230</v>
      </c>
      <c r="F413" t="inlineStr">
        <is>
          <t>NORRBOTTENS LÄN</t>
        </is>
      </c>
      <c r="G413" t="inlineStr">
        <is>
          <t>BODEN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46230</v>
      </c>
      <c r="F414" t="inlineStr">
        <is>
          <t>NORRBOTTENS LÄN</t>
        </is>
      </c>
      <c r="G414" t="inlineStr">
        <is>
          <t>BODEN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46230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46230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46230</v>
      </c>
      <c r="F417" t="inlineStr">
        <is>
          <t>NORRBOTTENS LÄN</t>
        </is>
      </c>
      <c r="G417" t="inlineStr">
        <is>
          <t>BODEN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46230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46230</v>
      </c>
      <c r="F419" t="inlineStr">
        <is>
          <t>NORRBOTTENS LÄN</t>
        </is>
      </c>
      <c r="G419" t="inlineStr">
        <is>
          <t>BODEN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46230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46230</v>
      </c>
      <c r="F421" t="inlineStr">
        <is>
          <t>NORRBOTTENS LÄN</t>
        </is>
      </c>
      <c r="G421" t="inlineStr">
        <is>
          <t>BODEN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45587</v>
      </c>
      <c r="E422" s="1" t="n">
        <v>46230</v>
      </c>
      <c r="F422" t="inlineStr">
        <is>
          <t>NORRBOTTENS LÄN</t>
        </is>
      </c>
      <c r="G422" t="inlineStr">
        <is>
          <t>BODEN</t>
        </is>
      </c>
      <c r="I422" t="n">
        <v>17.2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46230</v>
      </c>
      <c r="F423" t="inlineStr">
        <is>
          <t>NORRBOTTENS LÄN</t>
        </is>
      </c>
      <c r="G423" t="inlineStr">
        <is>
          <t>BODEN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45248</v>
      </c>
      <c r="E424" s="1" t="n">
        <v>46230</v>
      </c>
      <c r="F424" t="inlineStr">
        <is>
          <t>NORRBOTTENS LÄN</t>
        </is>
      </c>
      <c r="G424" t="inlineStr">
        <is>
          <t>BODEN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46230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45947</v>
      </c>
      <c r="E426" s="1" t="n">
        <v>46230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45944</v>
      </c>
      <c r="E427" s="1" t="n">
        <v>46230</v>
      </c>
      <c r="F427" t="inlineStr">
        <is>
          <t>NORRBOTTENS LÄN</t>
        </is>
      </c>
      <c r="G427" t="inlineStr">
        <is>
          <t>BODEN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46230</v>
      </c>
      <c r="F428" t="inlineStr">
        <is>
          <t>NORRBOTTENS LÄN</t>
        </is>
      </c>
      <c r="G428" t="inlineStr">
        <is>
          <t>BODEN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46230</v>
      </c>
      <c r="F429" t="inlineStr">
        <is>
          <t>NORRBOTTENS LÄN</t>
        </is>
      </c>
      <c r="G429" t="inlineStr">
        <is>
          <t>BODEN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46230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44648</v>
      </c>
      <c r="E431" s="1" t="n">
        <v>46230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44565</v>
      </c>
      <c r="E432" s="1" t="n">
        <v>46230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59331-2021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44490</v>
      </c>
      <c r="E433" s="1" t="n">
        <v>46230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45953</v>
      </c>
      <c r="E434" s="1" t="n">
        <v>46230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46230</v>
      </c>
      <c r="F435" t="inlineStr">
        <is>
          <t>NORRBOTTENS LÄN</t>
        </is>
      </c>
      <c r="G435" t="inlineStr">
        <is>
          <t>BODEN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46230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46230</v>
      </c>
      <c r="F437" t="inlineStr">
        <is>
          <t>NORRBOTTENS LÄN</t>
        </is>
      </c>
      <c r="G437" t="inlineStr">
        <is>
          <t>BODEN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46230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46230</v>
      </c>
      <c r="F439" t="inlineStr">
        <is>
          <t>NORRBOTTENS LÄN</t>
        </is>
      </c>
      <c r="G439" t="inlineStr">
        <is>
          <t>BODEN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45574</v>
      </c>
      <c r="E440" s="1" t="n">
        <v>46230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45893</v>
      </c>
      <c r="E441" s="1" t="n">
        <v>46230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51525-2025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45950</v>
      </c>
      <c r="E442" s="1" t="n">
        <v>46230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46230</v>
      </c>
      <c r="F443" t="inlineStr">
        <is>
          <t>NORRBOTTENS LÄN</t>
        </is>
      </c>
      <c r="G443" t="inlineStr">
        <is>
          <t>BODEN</t>
        </is>
      </c>
      <c r="H443" t="inlineStr">
        <is>
          <t>Övriga statliga verk och myndigheter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45955</v>
      </c>
      <c r="E444" s="1" t="n">
        <v>46230</v>
      </c>
      <c r="F444" t="inlineStr">
        <is>
          <t>NORRBOTTENS LÄN</t>
        </is>
      </c>
      <c r="G444" t="inlineStr">
        <is>
          <t>BODEN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45955</v>
      </c>
      <c r="E445" s="1" t="n">
        <v>46230</v>
      </c>
      <c r="F445" t="inlineStr">
        <is>
          <t>NORRBOTTENS LÄN</t>
        </is>
      </c>
      <c r="G445" t="inlineStr">
        <is>
          <t>BODEN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46230</v>
      </c>
      <c r="F446" t="inlineStr">
        <is>
          <t>NORRBOTTENS LÄN</t>
        </is>
      </c>
      <c r="G446" t="inlineStr">
        <is>
          <t>BODEN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45750</v>
      </c>
      <c r="E447" s="1" t="n">
        <v>46230</v>
      </c>
      <c r="F447" t="inlineStr">
        <is>
          <t>NORRBOTTENS LÄN</t>
        </is>
      </c>
      <c r="G447" t="inlineStr">
        <is>
          <t>BODEN</t>
        </is>
      </c>
      <c r="H447" t="inlineStr">
        <is>
          <t>Övriga Aktiebolag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53623-2025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45960</v>
      </c>
      <c r="E448" s="1" t="n">
        <v>46230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46230</v>
      </c>
      <c r="F449" t="inlineStr">
        <is>
          <t>NORRBOTTENS LÄN</t>
        </is>
      </c>
      <c r="G449" t="inlineStr">
        <is>
          <t>BODEN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46230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46230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46230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54416-2025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46230</v>
      </c>
      <c r="F453" t="inlineStr">
        <is>
          <t>NORRBOTTENS LÄN</t>
        </is>
      </c>
      <c r="G453" t="inlineStr">
        <is>
          <t>BODEN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54417-2025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46230</v>
      </c>
      <c r="F454" t="inlineStr">
        <is>
          <t>NORRBOTTENS LÄN</t>
        </is>
      </c>
      <c r="G454" t="inlineStr">
        <is>
          <t>BODEN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46230</v>
      </c>
      <c r="F455" t="inlineStr">
        <is>
          <t>NORRBOTTENS LÄN</t>
        </is>
      </c>
      <c r="G455" t="inlineStr">
        <is>
          <t>BODEN</t>
        </is>
      </c>
      <c r="I455" t="n">
        <v>22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46230</v>
      </c>
      <c r="F456" t="inlineStr">
        <is>
          <t>NORRBOTTENS LÄN</t>
        </is>
      </c>
      <c r="G456" t="inlineStr">
        <is>
          <t>BODEN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46230</v>
      </c>
      <c r="F457" t="inlineStr">
        <is>
          <t>NORRBOTTENS LÄN</t>
        </is>
      </c>
      <c r="G457" t="inlineStr">
        <is>
          <t>BODEN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46230</v>
      </c>
      <c r="F458" t="inlineStr">
        <is>
          <t>NORRBOTTENS LÄN</t>
        </is>
      </c>
      <c r="G458" t="inlineStr">
        <is>
          <t>BODEN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46230</v>
      </c>
      <c r="F459" t="inlineStr">
        <is>
          <t>NORRBOTTENS LÄN</t>
        </is>
      </c>
      <c r="G459" t="inlineStr">
        <is>
          <t>BODEN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46149</v>
      </c>
      <c r="E460" s="1" t="n">
        <v>46230</v>
      </c>
      <c r="F460" t="inlineStr">
        <is>
          <t>NORRBOTTENS LÄN</t>
        </is>
      </c>
      <c r="G460" t="inlineStr">
        <is>
          <t>BODEN</t>
        </is>
      </c>
      <c r="I460" t="n">
        <v>11.6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54834-2025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45966</v>
      </c>
      <c r="E461" s="1" t="n">
        <v>46230</v>
      </c>
      <c r="F461" t="inlineStr">
        <is>
          <t>NORRBOTTENS LÄN</t>
        </is>
      </c>
      <c r="G461" t="inlineStr">
        <is>
          <t>BODEN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46230</v>
      </c>
      <c r="F462" t="inlineStr">
        <is>
          <t>NORRBOTTENS LÄN</t>
        </is>
      </c>
      <c r="G462" t="inlineStr">
        <is>
          <t>BODEN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46230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45692</v>
      </c>
      <c r="E464" s="1" t="n">
        <v>46230</v>
      </c>
      <c r="F464" t="inlineStr">
        <is>
          <t>NORRBOTTENS LÄN</t>
        </is>
      </c>
      <c r="G464" t="inlineStr">
        <is>
          <t>BODEN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46230</v>
      </c>
      <c r="F465" t="inlineStr">
        <is>
          <t>NORRBOTTENS LÄN</t>
        </is>
      </c>
      <c r="G465" t="inlineStr">
        <is>
          <t>BODEN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45972</v>
      </c>
      <c r="E466" s="1" t="n">
        <v>46230</v>
      </c>
      <c r="F466" t="inlineStr">
        <is>
          <t>NORRBOTTENS LÄN</t>
        </is>
      </c>
      <c r="G466" t="inlineStr">
        <is>
          <t>BODEN</t>
        </is>
      </c>
      <c r="I466" t="n">
        <v>11.9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46149</v>
      </c>
      <c r="E467" s="1" t="n">
        <v>46230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46230</v>
      </c>
      <c r="F468" t="inlineStr">
        <is>
          <t>NORRBOTTENS LÄN</t>
        </is>
      </c>
      <c r="G468" t="inlineStr">
        <is>
          <t>BODEN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59029-2022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44903</v>
      </c>
      <c r="E469" s="1" t="n">
        <v>46230</v>
      </c>
      <c r="F469" t="inlineStr">
        <is>
          <t>NORRBOTTENS LÄN</t>
        </is>
      </c>
      <c r="G469" t="inlineStr">
        <is>
          <t>BODEN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46230</v>
      </c>
      <c r="F470" t="inlineStr">
        <is>
          <t>NORRBOTTENS LÄN</t>
        </is>
      </c>
      <c r="G470" t="inlineStr">
        <is>
          <t>BODEN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45770</v>
      </c>
      <c r="E471" s="1" t="n">
        <v>46230</v>
      </c>
      <c r="F471" t="inlineStr">
        <is>
          <t>NORRBOTTENS LÄN</t>
        </is>
      </c>
      <c r="G471" t="inlineStr">
        <is>
          <t>BODEN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46230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45672</v>
      </c>
      <c r="E473" s="1" t="n">
        <v>46230</v>
      </c>
      <c r="F473" t="inlineStr">
        <is>
          <t>NORRBOTTENS LÄN</t>
        </is>
      </c>
      <c r="G473" t="inlineStr">
        <is>
          <t>BODEN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46230</v>
      </c>
      <c r="F474" t="inlineStr">
        <is>
          <t>NORRBOTTENS LÄN</t>
        </is>
      </c>
      <c r="G474" t="inlineStr">
        <is>
          <t>BODEN</t>
        </is>
      </c>
      <c r="H474" t="inlineStr">
        <is>
          <t>Naturvårdsverket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46230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46230</v>
      </c>
      <c r="F476" t="inlineStr">
        <is>
          <t>NORRBOTTENS LÄN</t>
        </is>
      </c>
      <c r="G476" t="inlineStr">
        <is>
          <t>BODEN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45590</v>
      </c>
      <c r="E477" s="1" t="n">
        <v>46230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48471-2024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45591</v>
      </c>
      <c r="E478" s="1" t="n">
        <v>46230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45591</v>
      </c>
      <c r="E479" s="1" t="n">
        <v>46230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56867-2025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46230</v>
      </c>
      <c r="F480" t="inlineStr">
        <is>
          <t>NORRBOTTENS LÄN</t>
        </is>
      </c>
      <c r="G480" t="inlineStr">
        <is>
          <t>BODEN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10727-2025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45722</v>
      </c>
      <c r="E481" s="1" t="n">
        <v>46230</v>
      </c>
      <c r="F481" t="inlineStr">
        <is>
          <t>NORRBOTTENS LÄN</t>
        </is>
      </c>
      <c r="G481" t="inlineStr">
        <is>
          <t>BODEN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46230</v>
      </c>
      <c r="F482" t="inlineStr">
        <is>
          <t>NORRBOTTENS LÄN</t>
        </is>
      </c>
      <c r="G482" t="inlineStr">
        <is>
          <t>BODEN</t>
        </is>
      </c>
      <c r="H482" t="inlineStr">
        <is>
          <t>Naturvårdsverket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45425</v>
      </c>
      <c r="E483" s="1" t="n">
        <v>46230</v>
      </c>
      <c r="F483" t="inlineStr">
        <is>
          <t>NORRBOTTENS LÄN</t>
        </is>
      </c>
      <c r="G483" t="inlineStr">
        <is>
          <t>BODEN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46230</v>
      </c>
      <c r="F484" t="inlineStr">
        <is>
          <t>NORRBOTTENS LÄN</t>
        </is>
      </c>
      <c r="G484" t="inlineStr">
        <is>
          <t>BODEN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57777-2025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46230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46230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15017-2022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44657</v>
      </c>
      <c r="E487" s="1" t="n">
        <v>46230</v>
      </c>
      <c r="F487" t="inlineStr">
        <is>
          <t>NORRBOTTENS LÄN</t>
        </is>
      </c>
      <c r="G487" t="inlineStr">
        <is>
          <t>BODEN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58203-2025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45984</v>
      </c>
      <c r="E488" s="1" t="n">
        <v>46230</v>
      </c>
      <c r="F488" t="inlineStr">
        <is>
          <t>NORRBOTTENS LÄN</t>
        </is>
      </c>
      <c r="G488" t="inlineStr">
        <is>
          <t>BODEN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46230</v>
      </c>
      <c r="F489" t="inlineStr">
        <is>
          <t>NORRBOTTENS LÄN</t>
        </is>
      </c>
      <c r="G489" t="inlineStr">
        <is>
          <t>BODEN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46230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46230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44847</v>
      </c>
      <c r="E492" s="1" t="n">
        <v>46230</v>
      </c>
      <c r="F492" t="inlineStr">
        <is>
          <t>NORRBOTTENS LÄN</t>
        </is>
      </c>
      <c r="G492" t="inlineStr">
        <is>
          <t>BODEN</t>
        </is>
      </c>
      <c r="I492" t="n">
        <v>28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46230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46230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46230</v>
      </c>
      <c r="F495" t="inlineStr">
        <is>
          <t>NORRBOTTENS LÄN</t>
        </is>
      </c>
      <c r="G495" t="inlineStr">
        <is>
          <t>BODEN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46230</v>
      </c>
      <c r="F496" t="inlineStr">
        <is>
          <t>NORRBOTTENS LÄN</t>
        </is>
      </c>
      <c r="G496" t="inlineStr">
        <is>
          <t>BODEN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44573</v>
      </c>
      <c r="E497" s="1" t="n">
        <v>46230</v>
      </c>
      <c r="F497" t="inlineStr">
        <is>
          <t>NORRBOTTENS LÄN</t>
        </is>
      </c>
      <c r="G497" t="inlineStr">
        <is>
          <t>BODEN</t>
        </is>
      </c>
      <c r="H497" t="inlineStr">
        <is>
          <t>Övriga statliga verk och myndigheter</t>
        </is>
      </c>
      <c r="I497" t="n">
        <v>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46230</v>
      </c>
      <c r="F498" t="inlineStr">
        <is>
          <t>NORRBOTTENS LÄN</t>
        </is>
      </c>
      <c r="G498" t="inlineStr">
        <is>
          <t>BODEN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48950-2022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44859</v>
      </c>
      <c r="E499" s="1" t="n">
        <v>46230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46230</v>
      </c>
      <c r="F500" t="inlineStr">
        <is>
          <t>NORRBOTTENS LÄN</t>
        </is>
      </c>
      <c r="G500" t="inlineStr">
        <is>
          <t>BODEN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46230</v>
      </c>
      <c r="F501" t="inlineStr">
        <is>
          <t>NORRBOTTENS LÄN</t>
        </is>
      </c>
      <c r="G501" t="inlineStr">
        <is>
          <t>BODEN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37984-2024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45544</v>
      </c>
      <c r="E502" s="1" t="n">
        <v>46230</v>
      </c>
      <c r="F502" t="inlineStr">
        <is>
          <t>NORRBOTTENS LÄN</t>
        </is>
      </c>
      <c r="G502" t="inlineStr">
        <is>
          <t>BODEN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45314</v>
      </c>
      <c r="E503" s="1" t="n">
        <v>46230</v>
      </c>
      <c r="F503" t="inlineStr">
        <is>
          <t>NORRBOTTENS LÄN</t>
        </is>
      </c>
      <c r="G503" t="inlineStr">
        <is>
          <t>BODEN</t>
        </is>
      </c>
      <c r="I503" t="n">
        <v>17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45429</v>
      </c>
      <c r="E504" s="1" t="n">
        <v>46230</v>
      </c>
      <c r="F504" t="inlineStr">
        <is>
          <t>NORRBOTTENS LÄN</t>
        </is>
      </c>
      <c r="G504" t="inlineStr">
        <is>
          <t>BODEN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46230</v>
      </c>
      <c r="F505" t="inlineStr">
        <is>
          <t>NORRBOTTENS LÄN</t>
        </is>
      </c>
      <c r="G505" t="inlineStr">
        <is>
          <t>BODEN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60397-2025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46230</v>
      </c>
      <c r="F506" t="inlineStr">
        <is>
          <t>NORRBOTTENS LÄN</t>
        </is>
      </c>
      <c r="G506" t="inlineStr">
        <is>
          <t>BODEN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46230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46230</v>
      </c>
      <c r="F508" t="inlineStr">
        <is>
          <t>NORRBOTTENS LÄN</t>
        </is>
      </c>
      <c r="G508" t="inlineStr">
        <is>
          <t>BODEN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46230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46230</v>
      </c>
      <c r="F510" t="inlineStr">
        <is>
          <t>NORRBOTTENS LÄN</t>
        </is>
      </c>
      <c r="G510" t="inlineStr">
        <is>
          <t>BODEN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46230</v>
      </c>
      <c r="F511" t="inlineStr">
        <is>
          <t>NORRBOTTENS LÄN</t>
        </is>
      </c>
      <c r="G511" t="inlineStr">
        <is>
          <t>BODEN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46230</v>
      </c>
      <c r="F512" t="inlineStr">
        <is>
          <t>NORRBOTTENS LÄN</t>
        </is>
      </c>
      <c r="G512" t="inlineStr">
        <is>
          <t>BODEN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45994</v>
      </c>
      <c r="E513" s="1" t="n">
        <v>46230</v>
      </c>
      <c r="F513" t="inlineStr">
        <is>
          <t>NORRBOTTENS LÄN</t>
        </is>
      </c>
      <c r="G513" t="inlineStr">
        <is>
          <t>BODEN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46230</v>
      </c>
      <c r="F514" t="inlineStr">
        <is>
          <t>NORRBOTTENS LÄN</t>
        </is>
      </c>
      <c r="G514" t="inlineStr">
        <is>
          <t>BODEN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45996</v>
      </c>
      <c r="E515" s="1" t="n">
        <v>46230</v>
      </c>
      <c r="F515" t="inlineStr">
        <is>
          <t>NORRBOTTENS LÄN</t>
        </is>
      </c>
      <c r="G515" t="inlineStr">
        <is>
          <t>BODEN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44963</v>
      </c>
      <c r="E516" s="1" t="n">
        <v>46230</v>
      </c>
      <c r="F516" t="inlineStr">
        <is>
          <t>NORRBOTTENS LÄN</t>
        </is>
      </c>
      <c r="G516" t="inlineStr">
        <is>
          <t>BODEN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46230</v>
      </c>
      <c r="F517" t="inlineStr">
        <is>
          <t>NORRBOTTENS LÄN</t>
        </is>
      </c>
      <c r="G517" t="inlineStr">
        <is>
          <t>BODEN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46183-2021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44441</v>
      </c>
      <c r="E518" s="1" t="n">
        <v>46230</v>
      </c>
      <c r="F518" t="inlineStr">
        <is>
          <t>NORRBOTTENS LÄN</t>
        </is>
      </c>
      <c r="G518" t="inlineStr">
        <is>
          <t>BODEN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45646</v>
      </c>
      <c r="E519" s="1" t="n">
        <v>46230</v>
      </c>
      <c r="F519" t="inlineStr">
        <is>
          <t>NORRBOTTENS LÄN</t>
        </is>
      </c>
      <c r="G519" t="inlineStr">
        <is>
          <t>BODEN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45505</v>
      </c>
      <c r="E520" s="1" t="n">
        <v>46230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44979</v>
      </c>
      <c r="E521" s="1" t="n">
        <v>46230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statliga verk och myndigheter</t>
        </is>
      </c>
      <c r="I521" t="n">
        <v>18.8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46230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45999</v>
      </c>
      <c r="E523" s="1" t="n">
        <v>46230</v>
      </c>
      <c r="F523" t="inlineStr">
        <is>
          <t>NORRBOTTENS LÄN</t>
        </is>
      </c>
      <c r="G523" t="inlineStr">
        <is>
          <t>BODEN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60085-2024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45639</v>
      </c>
      <c r="E524" s="1" t="n">
        <v>46230</v>
      </c>
      <c r="F524" t="inlineStr">
        <is>
          <t>NORRBOTTENS LÄN</t>
        </is>
      </c>
      <c r="G524" t="inlineStr">
        <is>
          <t>BODEN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45906</v>
      </c>
      <c r="E525" s="1" t="n">
        <v>46230</v>
      </c>
      <c r="F525" t="inlineStr">
        <is>
          <t>NORRBOTTENS LÄN</t>
        </is>
      </c>
      <c r="G525" t="inlineStr">
        <is>
          <t>BODEN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46230</v>
      </c>
      <c r="F526" t="inlineStr">
        <is>
          <t>NORRBOTTENS LÄN</t>
        </is>
      </c>
      <c r="G526" t="inlineStr">
        <is>
          <t>BODEN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46230</v>
      </c>
      <c r="F527" t="inlineStr">
        <is>
          <t>NORRBOTTENS LÄN</t>
        </is>
      </c>
      <c r="G527" t="inlineStr">
        <is>
          <t>BODEN</t>
        </is>
      </c>
      <c r="I527" t="n">
        <v>17.1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46230</v>
      </c>
      <c r="F528" t="inlineStr">
        <is>
          <t>NORRBOTTENS LÄN</t>
        </is>
      </c>
      <c r="G528" t="inlineStr">
        <is>
          <t>BODEN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28496-2026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46230</v>
      </c>
      <c r="F529" t="inlineStr">
        <is>
          <t>NORRBOTTENS LÄN</t>
        </is>
      </c>
      <c r="G529" t="inlineStr">
        <is>
          <t>BODEN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46230</v>
      </c>
      <c r="F530" t="inlineStr">
        <is>
          <t>NORRBOTTENS LÄN</t>
        </is>
      </c>
      <c r="G530" t="inlineStr">
        <is>
          <t>BODEN</t>
        </is>
      </c>
      <c r="I530" t="n">
        <v>8.9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46230</v>
      </c>
      <c r="F531" t="inlineStr">
        <is>
          <t>NORRBOTTENS LÄN</t>
        </is>
      </c>
      <c r="G531" t="inlineStr">
        <is>
          <t>BODEN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45470</v>
      </c>
      <c r="E532" s="1" t="n">
        <v>46230</v>
      </c>
      <c r="F532" t="inlineStr">
        <is>
          <t>NORRBOTTENS LÄN</t>
        </is>
      </c>
      <c r="G532" t="inlineStr">
        <is>
          <t>BODEN</t>
        </is>
      </c>
      <c r="H532" t="inlineStr">
        <is>
          <t>Övriga Aktiebolag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45988</v>
      </c>
      <c r="E533" s="1" t="n">
        <v>46230</v>
      </c>
      <c r="F533" t="inlineStr">
        <is>
          <t>NORRBOTTENS LÄN</t>
        </is>
      </c>
      <c r="G533" t="inlineStr">
        <is>
          <t>BODEN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46230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46197</v>
      </c>
      <c r="E535" s="1" t="n">
        <v>46230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46003</v>
      </c>
      <c r="E536" s="1" t="n">
        <v>46230</v>
      </c>
      <c r="F536" t="inlineStr">
        <is>
          <t>NORRBOTTENS LÄN</t>
        </is>
      </c>
      <c r="G536" t="inlineStr">
        <is>
          <t>BODEN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46230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19068-2024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45427</v>
      </c>
      <c r="E538" s="1" t="n">
        <v>46230</v>
      </c>
      <c r="F538" t="inlineStr">
        <is>
          <t>NORRBOTTENS LÄN</t>
        </is>
      </c>
      <c r="G538" t="inlineStr">
        <is>
          <t>BODEN</t>
        </is>
      </c>
      <c r="I538" t="n">
        <v>22.1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46230</v>
      </c>
      <c r="F539" t="inlineStr">
        <is>
          <t>NORRBOTTENS LÄN</t>
        </is>
      </c>
      <c r="G539" t="inlineStr">
        <is>
          <t>BODEN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21329-2024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45440</v>
      </c>
      <c r="E540" s="1" t="n">
        <v>46230</v>
      </c>
      <c r="F540" t="inlineStr">
        <is>
          <t>NORRBOTTENS LÄN</t>
        </is>
      </c>
      <c r="G540" t="inlineStr">
        <is>
          <t>BODEN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46230</v>
      </c>
      <c r="F541" t="inlineStr">
        <is>
          <t>NORRBOTTENS LÄN</t>
        </is>
      </c>
      <c r="G541" t="inlineStr">
        <is>
          <t>BODEN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46230</v>
      </c>
      <c r="F542" t="inlineStr">
        <is>
          <t>NORRBOTTENS LÄN</t>
        </is>
      </c>
      <c r="G542" t="inlineStr">
        <is>
          <t>BODEN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46230</v>
      </c>
      <c r="F543" t="inlineStr">
        <is>
          <t>NORRBOTTENS LÄN</t>
        </is>
      </c>
      <c r="G543" t="inlineStr">
        <is>
          <t>BODEN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68591-2021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44529</v>
      </c>
      <c r="E544" s="1" t="n">
        <v>46230</v>
      </c>
      <c r="F544" t="inlineStr">
        <is>
          <t>NORRBOTTENS LÄN</t>
        </is>
      </c>
      <c r="G544" t="inlineStr">
        <is>
          <t>BODEN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46230</v>
      </c>
      <c r="F545" t="inlineStr">
        <is>
          <t>NORRBOTTENS LÄN</t>
        </is>
      </c>
      <c r="G545" t="inlineStr">
        <is>
          <t>BODEN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46230</v>
      </c>
      <c r="F546" t="inlineStr">
        <is>
          <t>NORRBOTTENS LÄN</t>
        </is>
      </c>
      <c r="G546" t="inlineStr">
        <is>
          <t>BODEN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46230</v>
      </c>
      <c r="F547" t="inlineStr">
        <is>
          <t>NORRBOTTENS LÄN</t>
        </is>
      </c>
      <c r="G547" t="inlineStr">
        <is>
          <t>BODEN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44567-2024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45574</v>
      </c>
      <c r="E548" s="1" t="n">
        <v>46230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62673-2025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46230</v>
      </c>
      <c r="F549" t="inlineStr">
        <is>
          <t>NORRBOTTENS LÄN</t>
        </is>
      </c>
      <c r="G549" t="inlineStr">
        <is>
          <t>BODEN</t>
        </is>
      </c>
      <c r="I549" t="n">
        <v>18.6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28490-2026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46197</v>
      </c>
      <c r="E550" s="1" t="n">
        <v>46230</v>
      </c>
      <c r="F550" t="inlineStr">
        <is>
          <t>NORRBOTTENS LÄN</t>
        </is>
      </c>
      <c r="G550" t="inlineStr">
        <is>
          <t>BODEN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62992-2025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46230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46230</v>
      </c>
      <c r="F552" t="inlineStr">
        <is>
          <t>NORRBOTTENS LÄN</t>
        </is>
      </c>
      <c r="G552" t="inlineStr">
        <is>
          <t>BODEN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45902</v>
      </c>
      <c r="E553" s="1" t="n">
        <v>46230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46230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46230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46230</v>
      </c>
      <c r="F556" t="inlineStr">
        <is>
          <t>NORRBOTTENS LÄN</t>
        </is>
      </c>
      <c r="G556" t="inlineStr">
        <is>
          <t>BODEN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46012</v>
      </c>
      <c r="E557" s="1" t="n">
        <v>46230</v>
      </c>
      <c r="F557" t="inlineStr">
        <is>
          <t>NORRBOTTENS LÄN</t>
        </is>
      </c>
      <c r="G557" t="inlineStr">
        <is>
          <t>BODEN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46230</v>
      </c>
      <c r="F558" t="inlineStr">
        <is>
          <t>NORRBOTTENS LÄN</t>
        </is>
      </c>
      <c r="G558" t="inlineStr">
        <is>
          <t>BODEN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45014</v>
      </c>
      <c r="E559" s="1" t="n">
        <v>46230</v>
      </c>
      <c r="F559" t="inlineStr">
        <is>
          <t>NORRBOTTENS LÄN</t>
        </is>
      </c>
      <c r="G559" t="inlineStr">
        <is>
          <t>BODEN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46230</v>
      </c>
      <c r="F560" t="inlineStr">
        <is>
          <t>NORRBOTTENS LÄN</t>
        </is>
      </c>
      <c r="G560" t="inlineStr">
        <is>
          <t>BODEN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46230</v>
      </c>
      <c r="F561" t="inlineStr">
        <is>
          <t>NORRBOTTENS LÄN</t>
        </is>
      </c>
      <c r="G561" t="inlineStr">
        <is>
          <t>BODEN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46230</v>
      </c>
      <c r="F562" t="inlineStr">
        <is>
          <t>NORRBOTTENS LÄN</t>
        </is>
      </c>
      <c r="G562" t="inlineStr">
        <is>
          <t>BODEN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46230</v>
      </c>
      <c r="F563" t="inlineStr">
        <is>
          <t>NORRBOTTENS LÄN</t>
        </is>
      </c>
      <c r="G563" t="inlineStr">
        <is>
          <t>BODEN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46230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44964</v>
      </c>
      <c r="E565" s="1" t="n">
        <v>46230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46230</v>
      </c>
      <c r="F566" t="inlineStr">
        <is>
          <t>NORRBOTTENS LÄN</t>
        </is>
      </c>
      <c r="G566" t="inlineStr">
        <is>
          <t>BODEN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46230</v>
      </c>
      <c r="F567" t="inlineStr">
        <is>
          <t>NORRBOTTENS LÄN</t>
        </is>
      </c>
      <c r="G567" t="inlineStr">
        <is>
          <t>BODEN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46230</v>
      </c>
      <c r="F568" t="inlineStr">
        <is>
          <t>NORRBOTTENS LÄN</t>
        </is>
      </c>
      <c r="G568" t="inlineStr">
        <is>
          <t>BODEN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5129-2025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45691</v>
      </c>
      <c r="E569" s="1" t="n">
        <v>46230</v>
      </c>
      <c r="F569" t="inlineStr">
        <is>
          <t>NORRBOTTENS LÄN</t>
        </is>
      </c>
      <c r="G569" t="inlineStr">
        <is>
          <t>BODEN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59893-2023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45254</v>
      </c>
      <c r="E570" s="1" t="n">
        <v>46230</v>
      </c>
      <c r="F570" t="inlineStr">
        <is>
          <t>NORRBOTTENS LÄN</t>
        </is>
      </c>
      <c r="G570" t="inlineStr">
        <is>
          <t>BODEN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46230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46230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44796</v>
      </c>
      <c r="E573" s="1" t="n">
        <v>46230</v>
      </c>
      <c r="F573" t="inlineStr">
        <is>
          <t>NORRBOTTENS LÄN</t>
        </is>
      </c>
      <c r="G573" t="inlineStr">
        <is>
          <t>BODEN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46230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46230</v>
      </c>
      <c r="F575" t="inlineStr">
        <is>
          <t>NORRBOTTENS LÄN</t>
        </is>
      </c>
      <c r="G575" t="inlineStr">
        <is>
          <t>BODEN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46020</v>
      </c>
      <c r="E576" s="1" t="n">
        <v>46230</v>
      </c>
      <c r="F576" t="inlineStr">
        <is>
          <t>NORRBOTTENS LÄN</t>
        </is>
      </c>
      <c r="G576" t="inlineStr">
        <is>
          <t>BODEN</t>
        </is>
      </c>
      <c r="I576" t="n">
        <v>10.9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45694</v>
      </c>
      <c r="E577" s="1" t="n">
        <v>46230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2771-2026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46036</v>
      </c>
      <c r="E578" s="1" t="n">
        <v>46230</v>
      </c>
      <c r="F578" t="inlineStr">
        <is>
          <t>NORRBOTTENS LÄN</t>
        </is>
      </c>
      <c r="G578" t="inlineStr">
        <is>
          <t>BODEN</t>
        </is>
      </c>
      <c r="H578" t="inlineStr">
        <is>
          <t>Kommuner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45523</v>
      </c>
      <c r="E579" s="1" t="n">
        <v>46230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45149</v>
      </c>
      <c r="E580" s="1" t="n">
        <v>46230</v>
      </c>
      <c r="F580" t="inlineStr">
        <is>
          <t>NORRBOTTENS LÄN</t>
        </is>
      </c>
      <c r="G580" t="inlineStr">
        <is>
          <t>BODEN</t>
        </is>
      </c>
      <c r="I580" t="n">
        <v>16.1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46230</v>
      </c>
      <c r="F581" t="inlineStr">
        <is>
          <t>NORRBOTTENS LÄN</t>
        </is>
      </c>
      <c r="G581" t="inlineStr">
        <is>
          <t>BODEN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45054</v>
      </c>
      <c r="E582" s="1" t="n">
        <v>46230</v>
      </c>
      <c r="F582" t="inlineStr">
        <is>
          <t>NORRBOTTENS LÄN</t>
        </is>
      </c>
      <c r="G582" t="inlineStr">
        <is>
          <t>BODEN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21335-2024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45429</v>
      </c>
      <c r="E583" s="1" t="n">
        <v>46230</v>
      </c>
      <c r="F583" t="inlineStr">
        <is>
          <t>NORRBOTTENS LÄN</t>
        </is>
      </c>
      <c r="G583" t="inlineStr">
        <is>
          <t>BODEN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37212-2025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46230</v>
      </c>
      <c r="F584" t="inlineStr">
        <is>
          <t>NORRBOTTENS LÄN</t>
        </is>
      </c>
      <c r="G584" t="inlineStr">
        <is>
          <t>BODEN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45085</v>
      </c>
      <c r="E585" s="1" t="n">
        <v>46230</v>
      </c>
      <c r="F585" t="inlineStr">
        <is>
          <t>NORRBOTTENS LÄN</t>
        </is>
      </c>
      <c r="G585" t="inlineStr">
        <is>
          <t>BODEN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46202</v>
      </c>
      <c r="E586" s="1" t="n">
        <v>46230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46202</v>
      </c>
      <c r="E587" s="1" t="n">
        <v>46230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46230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46230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46042</v>
      </c>
      <c r="E590" s="1" t="n">
        <v>46230</v>
      </c>
      <c r="F590" t="inlineStr">
        <is>
          <t>NORRBOTTENS LÄN</t>
        </is>
      </c>
      <c r="G590" t="inlineStr">
        <is>
          <t>BODEN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46230</v>
      </c>
      <c r="F591" t="inlineStr">
        <is>
          <t>NORRBOTTENS LÄN</t>
        </is>
      </c>
      <c r="G591" t="inlineStr">
        <is>
          <t>BODEN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64649-2023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45281</v>
      </c>
      <c r="E592" s="1" t="n">
        <v>46230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29555-2026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46230</v>
      </c>
      <c r="F593" t="inlineStr">
        <is>
          <t>NORRBOTTENS LÄN</t>
        </is>
      </c>
      <c r="G593" t="inlineStr">
        <is>
          <t>BODEN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46230</v>
      </c>
      <c r="F594" t="inlineStr">
        <is>
          <t>NORRBOTTENS LÄN</t>
        </is>
      </c>
      <c r="G594" t="inlineStr">
        <is>
          <t>BODEN</t>
        </is>
      </c>
      <c r="I594" t="n">
        <v>38.7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44903</v>
      </c>
      <c r="E595" s="1" t="n">
        <v>46230</v>
      </c>
      <c r="F595" t="inlineStr">
        <is>
          <t>NORRBOTTENS LÄN</t>
        </is>
      </c>
      <c r="G595" t="inlineStr">
        <is>
          <t>BODEN</t>
        </is>
      </c>
      <c r="I595" t="n">
        <v>16.1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46230</v>
      </c>
      <c r="F596" t="inlineStr">
        <is>
          <t>NORRBOTTENS LÄN</t>
        </is>
      </c>
      <c r="G596" t="inlineStr">
        <is>
          <t>BODEN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46230</v>
      </c>
      <c r="F597" t="inlineStr">
        <is>
          <t>NORRBOTTENS LÄN</t>
        </is>
      </c>
      <c r="G597" t="inlineStr">
        <is>
          <t>BODEN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46230</v>
      </c>
      <c r="F598" t="inlineStr">
        <is>
          <t>NORRBOTTENS LÄN</t>
        </is>
      </c>
      <c r="G598" t="inlineStr">
        <is>
          <t>BODEN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49127-2023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46230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43007-2022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44833</v>
      </c>
      <c r="E600" s="1" t="n">
        <v>46230</v>
      </c>
      <c r="F600" t="inlineStr">
        <is>
          <t>NORRBOTTENS LÄN</t>
        </is>
      </c>
      <c r="G600" t="inlineStr">
        <is>
          <t>BODEN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46230</v>
      </c>
      <c r="F601" t="inlineStr">
        <is>
          <t>NORRBOTTENS LÄN</t>
        </is>
      </c>
      <c r="G601" t="inlineStr">
        <is>
          <t>BODEN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67438-2021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44524</v>
      </c>
      <c r="E602" s="1" t="n">
        <v>46230</v>
      </c>
      <c r="F602" t="inlineStr">
        <is>
          <t>NORRBOTTENS LÄN</t>
        </is>
      </c>
      <c r="G602" t="inlineStr">
        <is>
          <t>BODEN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46230</v>
      </c>
      <c r="F603" t="inlineStr">
        <is>
          <t>NORRBOTTENS LÄN</t>
        </is>
      </c>
      <c r="G603" t="inlineStr">
        <is>
          <t>BODEN</t>
        </is>
      </c>
      <c r="I603" t="n">
        <v>9.800000000000001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46230</v>
      </c>
      <c r="F604" t="inlineStr">
        <is>
          <t>NORRBOTTENS LÄN</t>
        </is>
      </c>
      <c r="G604" t="inlineStr">
        <is>
          <t>BODEN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46512-2021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44445</v>
      </c>
      <c r="E605" s="1" t="n">
        <v>46230</v>
      </c>
      <c r="F605" t="inlineStr">
        <is>
          <t>NORRBOTTENS LÄN</t>
        </is>
      </c>
      <c r="G605" t="inlineStr">
        <is>
          <t>BODEN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45212</v>
      </c>
      <c r="E606" s="1" t="n">
        <v>46230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46230</v>
      </c>
      <c r="F607" t="inlineStr">
        <is>
          <t>NORRBOTTENS LÄN</t>
        </is>
      </c>
      <c r="G607" t="inlineStr">
        <is>
          <t>BODEN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45674</v>
      </c>
      <c r="E608" s="1" t="n">
        <v>46230</v>
      </c>
      <c r="F608" t="inlineStr">
        <is>
          <t>NORRBOTTENS LÄN</t>
        </is>
      </c>
      <c r="G608" t="inlineStr">
        <is>
          <t>BODEN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30077-2026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46206</v>
      </c>
      <c r="E609" s="1" t="n">
        <v>46230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46230</v>
      </c>
      <c r="F610" t="inlineStr">
        <is>
          <t>NORRBOTTENS LÄN</t>
        </is>
      </c>
      <c r="G610" t="inlineStr">
        <is>
          <t>BODEN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46230</v>
      </c>
      <c r="F611" t="inlineStr">
        <is>
          <t>NORRBOTTENS LÄN</t>
        </is>
      </c>
      <c r="G611" t="inlineStr">
        <is>
          <t>BODEN</t>
        </is>
      </c>
      <c r="H611" t="inlineStr">
        <is>
          <t>Naturvårdsverket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21421-2022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44706</v>
      </c>
      <c r="E612" s="1" t="n">
        <v>46230</v>
      </c>
      <c r="F612" t="inlineStr">
        <is>
          <t>NORRBOTTENS LÄN</t>
        </is>
      </c>
      <c r="G612" t="inlineStr">
        <is>
          <t>BODEN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45894</v>
      </c>
      <c r="E613" s="1" t="n">
        <v>46230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46230</v>
      </c>
      <c r="F614" t="inlineStr">
        <is>
          <t>NORRBOTTENS LÄN</t>
        </is>
      </c>
      <c r="G614" t="inlineStr">
        <is>
          <t>BODEN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28432-2022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44747</v>
      </c>
      <c r="E615" s="1" t="n">
        <v>46230</v>
      </c>
      <c r="F615" t="inlineStr">
        <is>
          <t>NORRBOTTENS LÄN</t>
        </is>
      </c>
      <c r="G615" t="inlineStr">
        <is>
          <t>BODEN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46230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44673</v>
      </c>
      <c r="E617" s="1" t="n">
        <v>46230</v>
      </c>
      <c r="F617" t="inlineStr">
        <is>
          <t>NORRBOTTENS LÄN</t>
        </is>
      </c>
      <c r="G617" t="inlineStr">
        <is>
          <t>BODEN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7669-2026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46230</v>
      </c>
      <c r="F618" t="inlineStr">
        <is>
          <t>NORRBOTTENS LÄN</t>
        </is>
      </c>
      <c r="G618" t="inlineStr">
        <is>
          <t>BODEN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46230</v>
      </c>
      <c r="F619" t="inlineStr">
        <is>
          <t>NORRBOTTENS LÄN</t>
        </is>
      </c>
      <c r="G619" t="inlineStr">
        <is>
          <t>BODEN</t>
        </is>
      </c>
      <c r="H619" t="inlineStr">
        <is>
          <t>Kommuner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8056-2026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46063</v>
      </c>
      <c r="E620" s="1" t="n">
        <v>46230</v>
      </c>
      <c r="F620" t="inlineStr">
        <is>
          <t>NORRBOTTENS LÄN</t>
        </is>
      </c>
      <c r="G620" t="inlineStr">
        <is>
          <t>BODEN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7923-2026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46230</v>
      </c>
      <c r="F621" t="inlineStr">
        <is>
          <t>NORRBOTTENS LÄN</t>
        </is>
      </c>
      <c r="G621" t="inlineStr">
        <is>
          <t>BODEN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46209</v>
      </c>
      <c r="E622" s="1" t="n">
        <v>46230</v>
      </c>
      <c r="F622" t="inlineStr">
        <is>
          <t>NORRBOTTENS LÄN</t>
        </is>
      </c>
      <c r="G622" t="inlineStr">
        <is>
          <t>BODEN</t>
        </is>
      </c>
      <c r="H622" t="inlineStr">
        <is>
          <t>Kommuner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46230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23792-2026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46230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46065</v>
      </c>
      <c r="E625" s="1" t="n">
        <v>46230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46230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38994-2024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45548</v>
      </c>
      <c r="E627" s="1" t="n">
        <v>46230</v>
      </c>
      <c r="F627" t="inlineStr">
        <is>
          <t>NORRBOTTENS LÄN</t>
        </is>
      </c>
      <c r="G627" t="inlineStr">
        <is>
          <t>BODEN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14995-2022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44657</v>
      </c>
      <c r="E628" s="1" t="n">
        <v>46230</v>
      </c>
      <c r="F628" t="inlineStr">
        <is>
          <t>NORRBOTTENS LÄN</t>
        </is>
      </c>
      <c r="G628" t="inlineStr">
        <is>
          <t>BODEN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15000-2022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44657</v>
      </c>
      <c r="E629" s="1" t="n">
        <v>46230</v>
      </c>
      <c r="F629" t="inlineStr">
        <is>
          <t>NORRBOTTENS LÄN</t>
        </is>
      </c>
      <c r="G629" t="inlineStr">
        <is>
          <t>BODEN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46230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30332-2026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46208</v>
      </c>
      <c r="E631" s="1" t="n">
        <v>46230</v>
      </c>
      <c r="F631" t="inlineStr">
        <is>
          <t>NORRBOTTENS LÄN</t>
        </is>
      </c>
      <c r="G631" t="inlineStr">
        <is>
          <t>BODEN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46209</v>
      </c>
      <c r="E632" s="1" t="n">
        <v>46230</v>
      </c>
      <c r="F632" t="inlineStr">
        <is>
          <t>NORRBOTTENS LÄN</t>
        </is>
      </c>
      <c r="G632" t="inlineStr">
        <is>
          <t>BODEN</t>
        </is>
      </c>
      <c r="H632" t="inlineStr">
        <is>
          <t>Kommuner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46164</v>
      </c>
      <c r="E633" s="1" t="n">
        <v>46230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46230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46230</v>
      </c>
      <c r="F635" t="inlineStr">
        <is>
          <t>NORRBOTTENS LÄN</t>
        </is>
      </c>
      <c r="G635" t="inlineStr">
        <is>
          <t>BODEN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6776-2023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44966</v>
      </c>
      <c r="E636" s="1" t="n">
        <v>46230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46230</v>
      </c>
      <c r="F637" t="inlineStr">
        <is>
          <t>NORRBOTTENS LÄN</t>
        </is>
      </c>
      <c r="G637" t="inlineStr">
        <is>
          <t>BODEN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46230</v>
      </c>
      <c r="F638" t="inlineStr">
        <is>
          <t>NORRBOTTENS LÄN</t>
        </is>
      </c>
      <c r="G638" t="inlineStr">
        <is>
          <t>BODEN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10694-2026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46078</v>
      </c>
      <c r="E639" s="1" t="n">
        <v>46230</v>
      </c>
      <c r="F639" t="inlineStr">
        <is>
          <t>NORRBOTTENS LÄN</t>
        </is>
      </c>
      <c r="G639" t="inlineStr">
        <is>
          <t>BODEN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46230</v>
      </c>
      <c r="F640" t="inlineStr">
        <is>
          <t>NORRBOTTENS LÄN</t>
        </is>
      </c>
      <c r="G640" t="inlineStr">
        <is>
          <t>BODEN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46230</v>
      </c>
      <c r="F641" t="inlineStr">
        <is>
          <t>NORRBOTTENS LÄN</t>
        </is>
      </c>
      <c r="G641" t="inlineStr">
        <is>
          <t>BODEN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46230</v>
      </c>
      <c r="F642" t="inlineStr">
        <is>
          <t>NORRBOTTENS LÄN</t>
        </is>
      </c>
      <c r="G642" t="inlineStr">
        <is>
          <t>BODEN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46230</v>
      </c>
      <c r="F643" t="inlineStr">
        <is>
          <t>NORRBOTTENS LÄN</t>
        </is>
      </c>
      <c r="G643" t="inlineStr">
        <is>
          <t>BODEN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46230</v>
      </c>
      <c r="F644" t="inlineStr">
        <is>
          <t>NORRBOTTENS LÄN</t>
        </is>
      </c>
      <c r="G644" t="inlineStr">
        <is>
          <t>BODEN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46230</v>
      </c>
      <c r="F645" t="inlineStr">
        <is>
          <t>NORRBOTTENS LÄN</t>
        </is>
      </c>
      <c r="G645" t="inlineStr">
        <is>
          <t>BODEN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46230</v>
      </c>
      <c r="F646" t="inlineStr">
        <is>
          <t>NORRBOTTENS LÄN</t>
        </is>
      </c>
      <c r="G646" t="inlineStr">
        <is>
          <t>BODEN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48592-2024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45593</v>
      </c>
      <c r="E647" s="1" t="n">
        <v>46230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46230</v>
      </c>
      <c r="F648" t="inlineStr">
        <is>
          <t>NORRBOTTENS LÄN</t>
        </is>
      </c>
      <c r="G648" t="inlineStr">
        <is>
          <t>BODEN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46230</v>
      </c>
      <c r="F649" t="inlineStr">
        <is>
          <t>NORRBOTTENS LÄN</t>
        </is>
      </c>
      <c r="G649" t="inlineStr">
        <is>
          <t>BODEN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46230</v>
      </c>
      <c r="F650" t="inlineStr">
        <is>
          <t>NORRBOTTENS LÄN</t>
        </is>
      </c>
      <c r="G650" t="inlineStr">
        <is>
          <t>BODEN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46230</v>
      </c>
      <c r="F651" t="inlineStr">
        <is>
          <t>NORRBOTTENS LÄN</t>
        </is>
      </c>
      <c r="G651" t="inlineStr">
        <is>
          <t>BODEN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46230</v>
      </c>
      <c r="F652" t="inlineStr">
        <is>
          <t>NORRBOTTENS LÄN</t>
        </is>
      </c>
      <c r="G652" t="inlineStr">
        <is>
          <t>BODEN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30745-2026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46211</v>
      </c>
      <c r="E653" s="1" t="n">
        <v>46230</v>
      </c>
      <c r="F653" t="inlineStr">
        <is>
          <t>NORRBOTTENS LÄN</t>
        </is>
      </c>
      <c r="G653" t="inlineStr">
        <is>
          <t>BODEN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46084</v>
      </c>
      <c r="E654" s="1" t="n">
        <v>46230</v>
      </c>
      <c r="F654" t="inlineStr">
        <is>
          <t>NORRBOTTENS LÄN</t>
        </is>
      </c>
      <c r="G654" t="inlineStr">
        <is>
          <t>BODEN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11631-2026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46230</v>
      </c>
      <c r="F655" t="inlineStr">
        <is>
          <t>NORRBOTTENS LÄN</t>
        </is>
      </c>
      <c r="G655" t="inlineStr">
        <is>
          <t>BODEN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24225-2026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46230</v>
      </c>
      <c r="F656" t="inlineStr">
        <is>
          <t>NORRBOTTENS LÄN</t>
        </is>
      </c>
      <c r="G656" t="inlineStr">
        <is>
          <t>BODEN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46086</v>
      </c>
      <c r="E657" s="1" t="n">
        <v>46230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45429</v>
      </c>
      <c r="E658" s="1" t="n">
        <v>46230</v>
      </c>
      <c r="F658" t="inlineStr">
        <is>
          <t>NORRBOTTENS LÄN</t>
        </is>
      </c>
      <c r="G658" t="inlineStr">
        <is>
          <t>BODEN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45429</v>
      </c>
      <c r="E659" s="1" t="n">
        <v>46230</v>
      </c>
      <c r="F659" t="inlineStr">
        <is>
          <t>NORRBOTTENS LÄN</t>
        </is>
      </c>
      <c r="G659" t="inlineStr">
        <is>
          <t>BODEN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46230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25920-2023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45085</v>
      </c>
      <c r="E661" s="1" t="n">
        <v>46230</v>
      </c>
      <c r="F661" t="inlineStr">
        <is>
          <t>NORRBOTTENS LÄN</t>
        </is>
      </c>
      <c r="G661" t="inlineStr">
        <is>
          <t>BODEN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46230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46230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45153</v>
      </c>
      <c r="E664" s="1" t="n">
        <v>46230</v>
      </c>
      <c r="F664" t="inlineStr">
        <is>
          <t>NORRBOTTENS LÄN</t>
        </is>
      </c>
      <c r="G664" t="inlineStr">
        <is>
          <t>BODEN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24805-2026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46172</v>
      </c>
      <c r="E665" s="1" t="n">
        <v>46230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45509</v>
      </c>
      <c r="E666" s="1" t="n">
        <v>46230</v>
      </c>
      <c r="F666" t="inlineStr">
        <is>
          <t>NORRBOTTENS LÄN</t>
        </is>
      </c>
      <c r="G666" t="inlineStr">
        <is>
          <t>BODEN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24717-2026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46171</v>
      </c>
      <c r="E667" s="1" t="n">
        <v>46230</v>
      </c>
      <c r="F667" t="inlineStr">
        <is>
          <t>NORRBOTTENS LÄN</t>
        </is>
      </c>
      <c r="G667" t="inlineStr">
        <is>
          <t>BODEN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46230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45256</v>
      </c>
      <c r="E669" s="1" t="n">
        <v>46230</v>
      </c>
      <c r="F669" t="inlineStr">
        <is>
          <t>NORRBOTTENS LÄN</t>
        </is>
      </c>
      <c r="G669" t="inlineStr">
        <is>
          <t>BODEN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42196-2024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45562</v>
      </c>
      <c r="E670" s="1" t="n">
        <v>46230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45653</v>
      </c>
      <c r="E671" s="1" t="n">
        <v>46230</v>
      </c>
      <c r="F671" t="inlineStr">
        <is>
          <t>NORRBOTTENS LÄN</t>
        </is>
      </c>
      <c r="G671" t="inlineStr">
        <is>
          <t>BODEN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45376-2025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45922</v>
      </c>
      <c r="E672" s="1" t="n">
        <v>46230</v>
      </c>
      <c r="F672" t="inlineStr">
        <is>
          <t>NORRBOTTENS LÄN</t>
        </is>
      </c>
      <c r="G672" t="inlineStr">
        <is>
          <t>BODEN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46217</v>
      </c>
      <c r="E673" s="1" t="n">
        <v>46230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14325-2026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46230</v>
      </c>
      <c r="F674" t="inlineStr">
        <is>
          <t>NORRBOTTENS LÄN</t>
        </is>
      </c>
      <c r="G674" t="inlineStr">
        <is>
          <t>BODEN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45761</v>
      </c>
      <c r="E675" s="1" t="n">
        <v>46230</v>
      </c>
      <c r="F675" t="inlineStr">
        <is>
          <t>NORRBOTTENS LÄN</t>
        </is>
      </c>
      <c r="G675" t="inlineStr">
        <is>
          <t>BODEN</t>
        </is>
      </c>
      <c r="H675" t="inlineStr">
        <is>
          <t>Övriga statliga verk och myndigheter</t>
        </is>
      </c>
      <c r="I675" t="n">
        <v>11.5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14245-2026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46099</v>
      </c>
      <c r="E676" s="1" t="n">
        <v>46230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46230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25042-2026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46230</v>
      </c>
      <c r="F678" t="inlineStr">
        <is>
          <t>NORRBOTTENS LÄN</t>
        </is>
      </c>
      <c r="G678" t="inlineStr">
        <is>
          <t>BODEN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46217</v>
      </c>
      <c r="E679" s="1" t="n">
        <v>46230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8.800000000000001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45247</v>
      </c>
      <c r="E680" s="1" t="n">
        <v>46230</v>
      </c>
      <c r="F680" t="inlineStr">
        <is>
          <t>NORRBOTTENS LÄN</t>
        </is>
      </c>
      <c r="G680" t="inlineStr">
        <is>
          <t>BODEN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46230</v>
      </c>
      <c r="F681" t="inlineStr">
        <is>
          <t>NORRBOTTENS LÄN</t>
        </is>
      </c>
      <c r="G681" t="inlineStr">
        <is>
          <t>BODEN</t>
        </is>
      </c>
      <c r="I681" t="n">
        <v>14.5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14984-2026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46230</v>
      </c>
      <c r="F682" t="inlineStr">
        <is>
          <t>NORRBOTTENS LÄN</t>
        </is>
      </c>
      <c r="G682" t="inlineStr">
        <is>
          <t>BODEN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45499</v>
      </c>
      <c r="E683" s="1" t="n">
        <v>46230</v>
      </c>
      <c r="F683" t="inlineStr">
        <is>
          <t>NORRBOTTENS LÄN</t>
        </is>
      </c>
      <c r="G683" t="inlineStr">
        <is>
          <t>BODEN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45156</v>
      </c>
      <c r="E684" s="1" t="n">
        <v>46230</v>
      </c>
      <c r="F684" t="inlineStr">
        <is>
          <t>NORRBOTTENS LÄN</t>
        </is>
      </c>
      <c r="G684" t="inlineStr">
        <is>
          <t>BODEN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15342-2026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46230</v>
      </c>
      <c r="F685" t="inlineStr">
        <is>
          <t>NORRBOTTENS LÄN</t>
        </is>
      </c>
      <c r="G685" t="inlineStr">
        <is>
          <t>BODEN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46217</v>
      </c>
      <c r="E686" s="1" t="n">
        <v>46230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44642</v>
      </c>
      <c r="E687" s="1" t="n">
        <v>46230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46230</v>
      </c>
      <c r="F688" t="inlineStr">
        <is>
          <t>NORRBOTTENS LÄN</t>
        </is>
      </c>
      <c r="G688" t="inlineStr">
        <is>
          <t>BODEN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58373-2022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44901</v>
      </c>
      <c r="E689" s="1" t="n">
        <v>46230</v>
      </c>
      <c r="F689" t="inlineStr">
        <is>
          <t>NORRBOTTENS LÄN</t>
        </is>
      </c>
      <c r="G689" t="inlineStr">
        <is>
          <t>BODEN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45929-2023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46230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46230</v>
      </c>
      <c r="F691" t="inlineStr">
        <is>
          <t>NORRBOTTENS LÄN</t>
        </is>
      </c>
      <c r="G691" t="inlineStr">
        <is>
          <t>BODEN</t>
        </is>
      </c>
      <c r="I691" t="n">
        <v>6.4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61750-2024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45649</v>
      </c>
      <c r="E692" s="1" t="n">
        <v>46230</v>
      </c>
      <c r="F692" t="inlineStr">
        <is>
          <t>NORRBOTTENS LÄN</t>
        </is>
      </c>
      <c r="G692" t="inlineStr">
        <is>
          <t>BODEN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46230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57575-2025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45980</v>
      </c>
      <c r="E694" s="1" t="n">
        <v>46230</v>
      </c>
      <c r="F694" t="inlineStr">
        <is>
          <t>NORRBOTTENS LÄN</t>
        </is>
      </c>
      <c r="G694" t="inlineStr">
        <is>
          <t>BODEN</t>
        </is>
      </c>
      <c r="I694" t="n">
        <v>19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46230</v>
      </c>
      <c r="F695" t="inlineStr">
        <is>
          <t>NORRBOTTENS LÄN</t>
        </is>
      </c>
      <c r="G695" t="inlineStr">
        <is>
          <t>BODEN</t>
        </is>
      </c>
      <c r="H695" t="inlineStr">
        <is>
          <t>Naturvårdsverket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45589</v>
      </c>
      <c r="E696" s="1" t="n">
        <v>46230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8869-2024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45356</v>
      </c>
      <c r="E697" s="1" t="n">
        <v>46230</v>
      </c>
      <c r="F697" t="inlineStr">
        <is>
          <t>NORRBOTTENS LÄN</t>
        </is>
      </c>
      <c r="G697" t="inlineStr">
        <is>
          <t>BODEN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46230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17909-2026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46230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46230</v>
      </c>
      <c r="F700" t="inlineStr">
        <is>
          <t>NORRBOTTENS LÄN</t>
        </is>
      </c>
      <c r="G700" t="inlineStr">
        <is>
          <t>BODEN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46126</v>
      </c>
      <c r="E701" s="1" t="n">
        <v>46230</v>
      </c>
      <c r="F701" t="inlineStr">
        <is>
          <t>NORRBOTTENS LÄN</t>
        </is>
      </c>
      <c r="G701" t="inlineStr">
        <is>
          <t>BODEN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24744-2024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46230</v>
      </c>
      <c r="F702" t="inlineStr">
        <is>
          <t>NORRBOTTENS LÄN</t>
        </is>
      </c>
      <c r="G702" t="inlineStr">
        <is>
          <t>BODEN</t>
        </is>
      </c>
      <c r="H702" t="inlineStr">
        <is>
          <t>Övriga Aktiebolag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46126</v>
      </c>
      <c r="E703" s="1" t="n">
        <v>46230</v>
      </c>
      <c r="F703" t="inlineStr">
        <is>
          <t>NORRBOTTENS LÄN</t>
        </is>
      </c>
      <c r="G703" t="inlineStr">
        <is>
          <t>BODEN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46230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18448-2026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46127</v>
      </c>
      <c r="E705" s="1" t="n">
        <v>46230</v>
      </c>
      <c r="F705" t="inlineStr">
        <is>
          <t>NORRBOTTENS LÄN</t>
        </is>
      </c>
      <c r="G705" t="inlineStr">
        <is>
          <t>BODEN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8028-2024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45350</v>
      </c>
      <c r="E706" s="1" t="n">
        <v>46230</v>
      </c>
      <c r="F706" t="inlineStr">
        <is>
          <t>NORRBOTTENS LÄN</t>
        </is>
      </c>
      <c r="G706" t="inlineStr">
        <is>
          <t>BODEN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46230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46225</v>
      </c>
      <c r="E708" s="1" t="n">
        <v>46230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46230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25627-2022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44732</v>
      </c>
      <c r="E710" s="1" t="n">
        <v>46230</v>
      </c>
      <c r="F710" t="inlineStr">
        <is>
          <t>NORRBOTTENS LÄN</t>
        </is>
      </c>
      <c r="G710" t="inlineStr">
        <is>
          <t>BODEN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45677</v>
      </c>
      <c r="E711" s="1" t="n">
        <v>46230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61107-2022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46230</v>
      </c>
      <c r="F712" t="inlineStr">
        <is>
          <t>NORRBOTTENS LÄN</t>
        </is>
      </c>
      <c r="G712" t="inlineStr">
        <is>
          <t>BODEN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46230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46181</v>
      </c>
      <c r="E714" s="1" t="n">
        <v>46230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46230</v>
      </c>
      <c r="F715" t="inlineStr">
        <is>
          <t>NORRBOTTENS LÄN</t>
        </is>
      </c>
      <c r="G715" t="inlineStr">
        <is>
          <t>BODEN</t>
        </is>
      </c>
      <c r="I715" t="n">
        <v>11.7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19200-2026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46230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46230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50327-2023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45216</v>
      </c>
      <c r="E718" s="1" t="n">
        <v>46230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26182-2026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46230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8.5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24400-2022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44726</v>
      </c>
      <c r="E720" s="1" t="n">
        <v>46230</v>
      </c>
      <c r="F720" t="inlineStr">
        <is>
          <t>NORRBOTTENS LÄN</t>
        </is>
      </c>
      <c r="G720" t="inlineStr">
        <is>
          <t>BODEN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706-2022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44566</v>
      </c>
      <c r="E721" s="1" t="n">
        <v>46230</v>
      </c>
      <c r="F721" t="inlineStr">
        <is>
          <t>NORRBOTTENS LÄN</t>
        </is>
      </c>
      <c r="G721" t="inlineStr">
        <is>
          <t>BODEN</t>
        </is>
      </c>
      <c r="I721" t="n">
        <v>12.4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26056-2026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46230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45035-2022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44841</v>
      </c>
      <c r="E723" s="1" t="n">
        <v>46230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62589-2025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46007</v>
      </c>
      <c r="E724" s="1" t="n">
        <v>46230</v>
      </c>
      <c r="F724" t="inlineStr">
        <is>
          <t>NORRBOTTENS LÄN</t>
        </is>
      </c>
      <c r="G724" t="inlineStr">
        <is>
          <t>BODEN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8873-2024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46230</v>
      </c>
      <c r="F725" t="inlineStr">
        <is>
          <t>NORRBOTTENS LÄN</t>
        </is>
      </c>
      <c r="G725" t="inlineStr">
        <is>
          <t>BODEN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46230</v>
      </c>
      <c r="F726" t="inlineStr">
        <is>
          <t>NORRBOTTENS LÄN</t>
        </is>
      </c>
      <c r="G726" t="inlineStr">
        <is>
          <t>BODEN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45115-2021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44438</v>
      </c>
      <c r="E727" s="1" t="n">
        <v>46230</v>
      </c>
      <c r="F727" t="inlineStr">
        <is>
          <t>NORRBOTTENS LÄN</t>
        </is>
      </c>
      <c r="G727" t="inlineStr">
        <is>
          <t>BODEN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26714-2026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46230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26776-2026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46184</v>
      </c>
      <c r="E729" s="1" t="n">
        <v>46230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  <c r="Z729">
        <f>HYPERLINK("https://klasma.github.io/Logging_2582/knärot/A 26776-2026 karta knärot.png", "A 26776-2026")</f>
        <v/>
      </c>
      <c r="AA729">
        <f>HYPERLINK("https://klasma.github.io/Logging_2582/klagomål/A 26776-2026 FSC-klagomål.docx", "A 26776-2026")</f>
        <v/>
      </c>
      <c r="AB729">
        <f>HYPERLINK("https://klasma.github.io/Logging_2582/klagomålsmail/A 26776-2026 FSC-klagomål mail.docx", "A 26776-2026")</f>
        <v/>
      </c>
      <c r="AC729">
        <f>HYPERLINK("https://klasma.github.io/Logging_2582/tillsyn/A 26776-2026 tillsynsbegäran.docx", "A 26776-2026")</f>
        <v/>
      </c>
      <c r="AD729">
        <f>HYPERLINK("https://klasma.github.io/Logging_2582/tillsynsmail/A 26776-2026 tillsynsbegäran mail.docx", "A 26776-2026")</f>
        <v/>
      </c>
    </row>
    <row r="730" ht="15" customHeight="1">
      <c r="A730" t="inlineStr">
        <is>
          <t>A 26375-2026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46230</v>
      </c>
      <c r="F730" t="inlineStr">
        <is>
          <t>NORRBOTTENS LÄN</t>
        </is>
      </c>
      <c r="G730" t="inlineStr">
        <is>
          <t>BODEN</t>
        </is>
      </c>
      <c r="I730" t="n">
        <v>18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26386-2026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46183</v>
      </c>
      <c r="E731" s="1" t="n">
        <v>46230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26022-2022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44734</v>
      </c>
      <c r="E732" s="1" t="n">
        <v>46230</v>
      </c>
      <c r="F732" t="inlineStr">
        <is>
          <t>NORRBOTTENS LÄN</t>
        </is>
      </c>
      <c r="G732" t="inlineStr">
        <is>
          <t>BODEN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61969-2024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45653</v>
      </c>
      <c r="E733" s="1" t="n">
        <v>46230</v>
      </c>
      <c r="F733" t="inlineStr">
        <is>
          <t>NORRBOTTENS LÄN</t>
        </is>
      </c>
      <c r="G733" t="inlineStr">
        <is>
          <t>BODEN</t>
        </is>
      </c>
      <c r="I733" t="n">
        <v>9.699999999999999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19584-2025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45770</v>
      </c>
      <c r="E734" s="1" t="n">
        <v>46230</v>
      </c>
      <c r="F734" t="inlineStr">
        <is>
          <t>NORRBOTTENS LÄN</t>
        </is>
      </c>
      <c r="G734" t="inlineStr">
        <is>
          <t>BODEN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37866-2024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45544</v>
      </c>
      <c r="E735" s="1" t="n">
        <v>46230</v>
      </c>
      <c r="F735" t="inlineStr">
        <is>
          <t>NORRBOTTENS LÄN</t>
        </is>
      </c>
      <c r="G735" t="inlineStr">
        <is>
          <t>BODEN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46230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42.2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34760-2022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44795</v>
      </c>
      <c r="E737" s="1" t="n">
        <v>46230</v>
      </c>
      <c r="F737" t="inlineStr">
        <is>
          <t>NORRBOTTENS LÄN</t>
        </is>
      </c>
      <c r="G737" t="inlineStr">
        <is>
          <t>BODEN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46230</v>
      </c>
      <c r="F738" t="inlineStr">
        <is>
          <t>NORRBOTTENS LÄN</t>
        </is>
      </c>
      <c r="G738" t="inlineStr">
        <is>
          <t>BODEN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46230</v>
      </c>
      <c r="F739" t="inlineStr">
        <is>
          <t>NORRBOTTENS LÄN</t>
        </is>
      </c>
      <c r="G739" t="inlineStr">
        <is>
          <t>BODEN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45448-2023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46230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61103-2022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44908</v>
      </c>
      <c r="E741" s="1" t="n">
        <v>46230</v>
      </c>
      <c r="F741" t="inlineStr">
        <is>
          <t>NORRBOTTENS LÄN</t>
        </is>
      </c>
      <c r="G741" t="inlineStr">
        <is>
          <t>BODEN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45358</v>
      </c>
      <c r="E742" s="1" t="n">
        <v>46230</v>
      </c>
      <c r="F742" t="inlineStr">
        <is>
          <t>NORRBOTTENS LÄN</t>
        </is>
      </c>
      <c r="G742" t="inlineStr">
        <is>
          <t>BODEN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45680</v>
      </c>
      <c r="E743" s="1" t="n">
        <v>46230</v>
      </c>
      <c r="F743" t="inlineStr">
        <is>
          <t>NORRBOTTENS LÄN</t>
        </is>
      </c>
      <c r="G743" t="inlineStr">
        <is>
          <t>BODEN</t>
        </is>
      </c>
      <c r="H743" t="inlineStr">
        <is>
          <t>Naturvårdsverket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43648-2023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45187</v>
      </c>
      <c r="E744" s="1" t="n">
        <v>46230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55540-2022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44887</v>
      </c>
      <c r="E745" s="1" t="n">
        <v>46230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39463-2023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46230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45653</v>
      </c>
      <c r="E747" s="1" t="n">
        <v>46230</v>
      </c>
      <c r="F747" t="inlineStr">
        <is>
          <t>NORRBOTTENS LÄN</t>
        </is>
      </c>
      <c r="G747" t="inlineStr">
        <is>
          <t>BODEN</t>
        </is>
      </c>
      <c r="I747" t="n">
        <v>47.3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41212-2023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46230</v>
      </c>
      <c r="F748" t="inlineStr">
        <is>
          <t>NORRBOTTENS LÄN</t>
        </is>
      </c>
      <c r="G748" t="inlineStr">
        <is>
          <t>BODEN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46230</v>
      </c>
      <c r="F749" t="inlineStr">
        <is>
          <t>NORRBOTTENS LÄN</t>
        </is>
      </c>
      <c r="G749" t="inlineStr">
        <is>
          <t>BODEN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877-2023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44931</v>
      </c>
      <c r="E750" s="1" t="n">
        <v>46230</v>
      </c>
      <c r="F750" t="inlineStr">
        <is>
          <t>NORRBOTTENS LÄN</t>
        </is>
      </c>
      <c r="G750" t="inlineStr">
        <is>
          <t>BODEN</t>
        </is>
      </c>
      <c r="I750" t="n">
        <v>8.699999999999999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12801-2023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45001</v>
      </c>
      <c r="E751" s="1" t="n">
        <v>46230</v>
      </c>
      <c r="F751" t="inlineStr">
        <is>
          <t>NORRBOTTENS LÄN</t>
        </is>
      </c>
      <c r="G751" t="inlineStr">
        <is>
          <t>BODEN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45772</v>
      </c>
      <c r="E752" s="1" t="n">
        <v>46230</v>
      </c>
      <c r="F752" t="inlineStr">
        <is>
          <t>NORRBOTTENS LÄN</t>
        </is>
      </c>
      <c r="G752" t="inlineStr">
        <is>
          <t>BODEN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19582-2025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45770</v>
      </c>
      <c r="E753" s="1" t="n">
        <v>46230</v>
      </c>
      <c r="F753" t="inlineStr">
        <is>
          <t>NORRBOTTENS LÄN</t>
        </is>
      </c>
      <c r="G753" t="inlineStr">
        <is>
          <t>BODEN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45708</v>
      </c>
      <c r="E754" s="1" t="n">
        <v>46230</v>
      </c>
      <c r="F754" t="inlineStr">
        <is>
          <t>NORRBOTTENS LÄN</t>
        </is>
      </c>
      <c r="G754" t="inlineStr">
        <is>
          <t>BODEN</t>
        </is>
      </c>
      <c r="H754" t="inlineStr">
        <is>
          <t>Övriga Aktiebolag</t>
        </is>
      </c>
      <c r="I754" t="n">
        <v>15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6242-2023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44964</v>
      </c>
      <c r="E755" s="1" t="n">
        <v>46230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17417-2023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45035</v>
      </c>
      <c r="E756" s="1" t="n">
        <v>46230</v>
      </c>
      <c r="F756" t="inlineStr">
        <is>
          <t>NORRBOTTENS LÄN</t>
        </is>
      </c>
      <c r="G756" t="inlineStr">
        <is>
          <t>BODEN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28074-2024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45476</v>
      </c>
      <c r="E757" s="1" t="n">
        <v>46230</v>
      </c>
      <c r="F757" t="inlineStr">
        <is>
          <t>NORRBOTTENS LÄN</t>
        </is>
      </c>
      <c r="G757" t="inlineStr">
        <is>
          <t>BODEN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26964-2023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45093</v>
      </c>
      <c r="E758" s="1" t="n">
        <v>46230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54590-2022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44883</v>
      </c>
      <c r="E759" s="1" t="n">
        <v>46230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35115-2024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45529</v>
      </c>
      <c r="E760" s="1" t="n">
        <v>46230</v>
      </c>
      <c r="F760" t="inlineStr">
        <is>
          <t>NORRBOTTENS LÄN</t>
        </is>
      </c>
      <c r="G760" t="inlineStr">
        <is>
          <t>BODEN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30105-2023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45099</v>
      </c>
      <c r="E761" s="1" t="n">
        <v>46230</v>
      </c>
      <c r="F761" t="inlineStr">
        <is>
          <t>NORRBOTTENS LÄN</t>
        </is>
      </c>
      <c r="G761" t="inlineStr">
        <is>
          <t>BODEN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57604-2021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44484</v>
      </c>
      <c r="E762" s="1" t="n">
        <v>46230</v>
      </c>
      <c r="F762" t="inlineStr">
        <is>
          <t>NORRBOTTENS LÄN</t>
        </is>
      </c>
      <c r="G762" t="inlineStr">
        <is>
          <t>BODEN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23706-2024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45454</v>
      </c>
      <c r="E763" s="1" t="n">
        <v>46230</v>
      </c>
      <c r="F763" t="inlineStr">
        <is>
          <t>NORRBOTTENS LÄN</t>
        </is>
      </c>
      <c r="G763" t="inlineStr">
        <is>
          <t>BODEN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8776-2022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44614</v>
      </c>
      <c r="E764" s="1" t="n">
        <v>46230</v>
      </c>
      <c r="F764" t="inlineStr">
        <is>
          <t>NORRBOTTENS LÄN</t>
        </is>
      </c>
      <c r="G764" t="inlineStr">
        <is>
          <t>BODEN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25387-2023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45079</v>
      </c>
      <c r="E765" s="1" t="n">
        <v>46230</v>
      </c>
      <c r="F765" t="inlineStr">
        <is>
          <t>NORRBOTTENS LÄN</t>
        </is>
      </c>
      <c r="G765" t="inlineStr">
        <is>
          <t>BODEN</t>
        </is>
      </c>
      <c r="I765" t="n">
        <v>6.7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18428-2025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45762</v>
      </c>
      <c r="E766" s="1" t="n">
        <v>46230</v>
      </c>
      <c r="F766" t="inlineStr">
        <is>
          <t>NORRBOTTENS LÄN</t>
        </is>
      </c>
      <c r="G766" t="inlineStr">
        <is>
          <t>BODEN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62140-2024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45646</v>
      </c>
      <c r="E767" s="1" t="n">
        <v>46230</v>
      </c>
      <c r="F767" t="inlineStr">
        <is>
          <t>NORRBOTTENS LÄN</t>
        </is>
      </c>
      <c r="G767" t="inlineStr">
        <is>
          <t>BODEN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46230</v>
      </c>
      <c r="F768" t="inlineStr">
        <is>
          <t>NORRBOTTENS LÄN</t>
        </is>
      </c>
      <c r="G768" t="inlineStr">
        <is>
          <t>BODEN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54616-2023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45233</v>
      </c>
      <c r="E769" s="1" t="n">
        <v>46230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12562-2024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45379</v>
      </c>
      <c r="E770" s="1" t="n">
        <v>46230</v>
      </c>
      <c r="F770" t="inlineStr">
        <is>
          <t>NORRBOTTENS LÄN</t>
        </is>
      </c>
      <c r="G770" t="inlineStr">
        <is>
          <t>BODEN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20260-2025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45773</v>
      </c>
      <c r="E771" s="1" t="n">
        <v>46230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11651-2023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44994</v>
      </c>
      <c r="E772" s="1" t="n">
        <v>46230</v>
      </c>
      <c r="F772" t="inlineStr">
        <is>
          <t>NORRBOTTENS LÄN</t>
        </is>
      </c>
      <c r="G772" t="inlineStr">
        <is>
          <t>BODEN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718-2022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44568</v>
      </c>
      <c r="E773" s="1" t="n">
        <v>46230</v>
      </c>
      <c r="F773" t="inlineStr">
        <is>
          <t>NORRBOTTENS LÄN</t>
        </is>
      </c>
      <c r="G773" t="inlineStr">
        <is>
          <t>BODEN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43969-2024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45572</v>
      </c>
      <c r="E774" s="1" t="n">
        <v>46230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19048-2025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45764</v>
      </c>
      <c r="E775" s="1" t="n">
        <v>46230</v>
      </c>
      <c r="F775" t="inlineStr">
        <is>
          <t>NORRBOTTENS LÄN</t>
        </is>
      </c>
      <c r="G775" t="inlineStr">
        <is>
          <t>BODEN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19050-2025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45764</v>
      </c>
      <c r="E776" s="1" t="n">
        <v>46230</v>
      </c>
      <c r="F776" t="inlineStr">
        <is>
          <t>NORRBOTTENS LÄN</t>
        </is>
      </c>
      <c r="G776" t="inlineStr">
        <is>
          <t>BODEN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54718-2024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45618</v>
      </c>
      <c r="E777" s="1" t="n">
        <v>46230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28357-2023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45099</v>
      </c>
      <c r="E778" s="1" t="n">
        <v>46230</v>
      </c>
      <c r="F778" t="inlineStr">
        <is>
          <t>NORRBOTTENS LÄN</t>
        </is>
      </c>
      <c r="G778" t="inlineStr">
        <is>
          <t>BODEN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38219-2022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44812</v>
      </c>
      <c r="E779" s="1" t="n">
        <v>46230</v>
      </c>
      <c r="F779" t="inlineStr">
        <is>
          <t>NORRBOTTENS LÄN</t>
        </is>
      </c>
      <c r="G779" t="inlineStr">
        <is>
          <t>BODEN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40624-2022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44823</v>
      </c>
      <c r="E780" s="1" t="n">
        <v>46230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56457-2024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45625</v>
      </c>
      <c r="E781" s="1" t="n">
        <v>46230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48107-2022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44856</v>
      </c>
      <c r="E782" s="1" t="n">
        <v>46230</v>
      </c>
      <c r="F782" t="inlineStr">
        <is>
          <t>NORRBOTTENS LÄN</t>
        </is>
      </c>
      <c r="G782" t="inlineStr">
        <is>
          <t>BODEN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14743-2023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45013</v>
      </c>
      <c r="E783" s="1" t="n">
        <v>46230</v>
      </c>
      <c r="F783" t="inlineStr">
        <is>
          <t>NORRBOTTENS LÄN</t>
        </is>
      </c>
      <c r="G783" t="inlineStr">
        <is>
          <t>BODEN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3462-2022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44585</v>
      </c>
      <c r="E784" s="1" t="n">
        <v>46230</v>
      </c>
      <c r="F784" t="inlineStr">
        <is>
          <t>NORRBOTTENS LÄN</t>
        </is>
      </c>
      <c r="G784" t="inlineStr">
        <is>
          <t>BODEN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49113-2023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45204</v>
      </c>
      <c r="E785" s="1" t="n">
        <v>46230</v>
      </c>
      <c r="F785" t="inlineStr">
        <is>
          <t>NORRBOTTENS LÄN</t>
        </is>
      </c>
      <c r="G785" t="inlineStr">
        <is>
          <t>BODEN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46230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44935</v>
      </c>
      <c r="E787" s="1" t="n">
        <v>46230</v>
      </c>
      <c r="F787" t="inlineStr">
        <is>
          <t>NORRBOTTENS LÄN</t>
        </is>
      </c>
      <c r="G787" t="inlineStr">
        <is>
          <t>BODEN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23232-2024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45453</v>
      </c>
      <c r="E788" s="1" t="n">
        <v>46230</v>
      </c>
      <c r="F788" t="inlineStr">
        <is>
          <t>NORRBOTTENS LÄN</t>
        </is>
      </c>
      <c r="G788" t="inlineStr">
        <is>
          <t>BODEN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61588-2024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46230</v>
      </c>
      <c r="F789" t="inlineStr">
        <is>
          <t>NORRBOTTENS LÄN</t>
        </is>
      </c>
      <c r="G789" t="inlineStr">
        <is>
          <t>BODEN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45478</v>
      </c>
      <c r="E790" s="1" t="n">
        <v>46230</v>
      </c>
      <c r="F790" t="inlineStr">
        <is>
          <t>NORRBOTTENS LÄN</t>
        </is>
      </c>
      <c r="G790" t="inlineStr">
        <is>
          <t>BODEN</t>
        </is>
      </c>
      <c r="I790" t="n">
        <v>7.5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13925-2024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45391</v>
      </c>
      <c r="E791" s="1" t="n">
        <v>46230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21128-2025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45778</v>
      </c>
      <c r="E792" s="1" t="n">
        <v>46230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45782</v>
      </c>
      <c r="E793" s="1" t="n">
        <v>46230</v>
      </c>
      <c r="F793" t="inlineStr">
        <is>
          <t>NORRBOTTENS LÄN</t>
        </is>
      </c>
      <c r="G793" t="inlineStr">
        <is>
          <t>BODEN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45149</v>
      </c>
      <c r="E794" s="1" t="n">
        <v>46230</v>
      </c>
      <c r="F794" t="inlineStr">
        <is>
          <t>NORRBOTTENS LÄN</t>
        </is>
      </c>
      <c r="G794" t="inlineStr">
        <is>
          <t>BODEN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22372-2025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45786</v>
      </c>
      <c r="E795" s="1" t="n">
        <v>46230</v>
      </c>
      <c r="F795" t="inlineStr">
        <is>
          <t>NORRBOTTENS LÄN</t>
        </is>
      </c>
      <c r="G795" t="inlineStr">
        <is>
          <t>BODEN</t>
        </is>
      </c>
      <c r="H795" t="inlineStr">
        <is>
          <t>Kommuner</t>
        </is>
      </c>
      <c r="I795" t="n">
        <v>16.3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23321-2025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45791</v>
      </c>
      <c r="E796" s="1" t="n">
        <v>46230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12558-2024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45379</v>
      </c>
      <c r="E797" s="1" t="n">
        <v>46230</v>
      </c>
      <c r="F797" t="inlineStr">
        <is>
          <t>NORRBOTTENS LÄN</t>
        </is>
      </c>
      <c r="G797" t="inlineStr">
        <is>
          <t>BODEN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23761-2025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46230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23763-2025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45793</v>
      </c>
      <c r="E799" s="1" t="n">
        <v>46230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23724-2025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45793</v>
      </c>
      <c r="E800" s="1" t="n">
        <v>46230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46230</v>
      </c>
      <c r="F801" t="inlineStr">
        <is>
          <t>NORRBOTTENS LÄN</t>
        </is>
      </c>
      <c r="G801" t="inlineStr">
        <is>
          <t>BODEN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48427-2024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45590</v>
      </c>
      <c r="E802" s="1" t="n">
        <v>46230</v>
      </c>
      <c r="F802" t="inlineStr">
        <is>
          <t>NORRBOTTENS LÄN</t>
        </is>
      </c>
      <c r="G802" t="inlineStr">
        <is>
          <t>BODEN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24358-2025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46230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24733-2025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45799</v>
      </c>
      <c r="E804" s="1" t="n">
        <v>46230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24545-2025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45798</v>
      </c>
      <c r="E805" s="1" t="n">
        <v>46230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46230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15.8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49806-2022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44862</v>
      </c>
      <c r="E807" s="1" t="n">
        <v>46230</v>
      </c>
      <c r="F807" t="inlineStr">
        <is>
          <t>NORRBOTTENS LÄN</t>
        </is>
      </c>
      <c r="G807" t="inlineStr">
        <is>
          <t>BODEN</t>
        </is>
      </c>
      <c r="I807" t="n">
        <v>7.9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24699-2025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45798</v>
      </c>
      <c r="E808" s="1" t="n">
        <v>46230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25983-2025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46230</v>
      </c>
      <c r="F809" t="inlineStr">
        <is>
          <t>NORRBOTTENS LÄN</t>
        </is>
      </c>
      <c r="G809" t="inlineStr">
        <is>
          <t>BODEN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52247-2024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45608</v>
      </c>
      <c r="E810" s="1" t="n">
        <v>46230</v>
      </c>
      <c r="F810" t="inlineStr">
        <is>
          <t>NORRBOTTENS LÄN</t>
        </is>
      </c>
      <c r="G810" t="inlineStr">
        <is>
          <t>BODEN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52248-2024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45608</v>
      </c>
      <c r="E811" s="1" t="n">
        <v>46230</v>
      </c>
      <c r="F811" t="inlineStr">
        <is>
          <t>NORRBOTTENS LÄN</t>
        </is>
      </c>
      <c r="G811" t="inlineStr">
        <is>
          <t>BODEN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48431-2024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46230</v>
      </c>
      <c r="F812" t="inlineStr">
        <is>
          <t>NORRBOTTENS LÄN</t>
        </is>
      </c>
      <c r="G812" t="inlineStr">
        <is>
          <t>BODEN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19564-2024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45429</v>
      </c>
      <c r="E813" s="1" t="n">
        <v>46230</v>
      </c>
      <c r="F813" t="inlineStr">
        <is>
          <t>NORRBOTTENS LÄN</t>
        </is>
      </c>
      <c r="G813" t="inlineStr">
        <is>
          <t>BODEN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25735-2024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45464</v>
      </c>
      <c r="E814" s="1" t="n">
        <v>46230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61031-2024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45645</v>
      </c>
      <c r="E815" s="1" t="n">
        <v>46230</v>
      </c>
      <c r="F815" t="inlineStr">
        <is>
          <t>NORRBOTTENS LÄN</t>
        </is>
      </c>
      <c r="G815" t="inlineStr">
        <is>
          <t>BODEN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18671-2025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45763</v>
      </c>
      <c r="E816" s="1" t="n">
        <v>46230</v>
      </c>
      <c r="F816" t="inlineStr">
        <is>
          <t>NORRBOTTENS LÄN</t>
        </is>
      </c>
      <c r="G816" t="inlineStr">
        <is>
          <t>BODEN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38652-2024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45546</v>
      </c>
      <c r="E817" s="1" t="n">
        <v>46230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56474-2023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45243</v>
      </c>
      <c r="E818" s="1" t="n">
        <v>46230</v>
      </c>
      <c r="F818" t="inlineStr">
        <is>
          <t>NORRBOTTENS LÄN</t>
        </is>
      </c>
      <c r="G818" t="inlineStr">
        <is>
          <t>BODEN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27604-2025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45813</v>
      </c>
      <c r="E819" s="1" t="n">
        <v>46230</v>
      </c>
      <c r="F819" t="inlineStr">
        <is>
          <t>NORRBOTTENS LÄN</t>
        </is>
      </c>
      <c r="G819" t="inlineStr">
        <is>
          <t>BODEN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27543-2025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45813</v>
      </c>
      <c r="E820" s="1" t="n">
        <v>46230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27508-2025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45813</v>
      </c>
      <c r="E821" s="1" t="n">
        <v>46230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45316</v>
      </c>
      <c r="E822" s="1" t="n">
        <v>46230</v>
      </c>
      <c r="F822" t="inlineStr">
        <is>
          <t>NORRBOTTENS LÄN</t>
        </is>
      </c>
      <c r="G822" t="inlineStr">
        <is>
          <t>BODEN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29109-2024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45481</v>
      </c>
      <c r="E823" s="1" t="n">
        <v>46230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19080-2025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45766</v>
      </c>
      <c r="E824" s="1" t="n">
        <v>46230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28297-2025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46230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19060-2024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45427</v>
      </c>
      <c r="E826" s="1" t="n">
        <v>46230</v>
      </c>
      <c r="F826" t="inlineStr">
        <is>
          <t>NORRBOTTENS LÄN</t>
        </is>
      </c>
      <c r="G826" t="inlineStr">
        <is>
          <t>BODEN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28134-2025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45818</v>
      </c>
      <c r="E827" s="1" t="n">
        <v>46230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44625-2024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45574</v>
      </c>
      <c r="E828" s="1" t="n">
        <v>46230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28270-2025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45818</v>
      </c>
      <c r="E829" s="1" t="n">
        <v>46230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30089-2025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45826</v>
      </c>
      <c r="E830" s="1" t="n">
        <v>46230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31203-2025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45832</v>
      </c>
      <c r="E831" s="1" t="n">
        <v>46230</v>
      </c>
      <c r="F831" t="inlineStr">
        <is>
          <t>NORRBOTTENS LÄN</t>
        </is>
      </c>
      <c r="G831" t="inlineStr">
        <is>
          <t>BODEN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31200-2025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45832</v>
      </c>
      <c r="E832" s="1" t="n">
        <v>46230</v>
      </c>
      <c r="F832" t="inlineStr">
        <is>
          <t>NORRBOTTENS LÄN</t>
        </is>
      </c>
      <c r="G832" t="inlineStr">
        <is>
          <t>BODEN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45833</v>
      </c>
      <c r="E833" s="1" t="n">
        <v>46230</v>
      </c>
      <c r="F833" t="inlineStr">
        <is>
          <t>NORRBOTTENS LÄN</t>
        </is>
      </c>
      <c r="G833" t="inlineStr">
        <is>
          <t>BODEN</t>
        </is>
      </c>
      <c r="H833" t="inlineStr">
        <is>
          <t>Övriga Aktiebolag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31531-2025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45833</v>
      </c>
      <c r="E834" s="1" t="n">
        <v>46230</v>
      </c>
      <c r="F834" t="inlineStr">
        <is>
          <t>NORRBOTTENS LÄN</t>
        </is>
      </c>
      <c r="G834" t="inlineStr">
        <is>
          <t>BODEN</t>
        </is>
      </c>
      <c r="H834" t="inlineStr">
        <is>
          <t>Övriga Aktiebolag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32052-2025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45835</v>
      </c>
      <c r="E835" s="1" t="n">
        <v>46230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7.3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25926-2025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45803</v>
      </c>
      <c r="E836" s="1" t="n">
        <v>46230</v>
      </c>
      <c r="F836" t="inlineStr">
        <is>
          <t>NORRBOTTENS LÄN</t>
        </is>
      </c>
      <c r="G836" t="inlineStr">
        <is>
          <t>BODEN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33130-2025</t>
        </is>
      </c>
      <c r="B837" t="inlineStr">
        <is>
          <t>avverkningsanmälan</t>
        </is>
      </c>
      <c r="C837" t="inlineStr">
        <is>
          <t>Avverkning för att bevara och utveckla /försöksver</t>
        </is>
      </c>
      <c r="D837" s="1" t="n">
        <v>45840</v>
      </c>
      <c r="E837" s="1" t="n">
        <v>46230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33276-2025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45840</v>
      </c>
      <c r="E838" s="1" t="n">
        <v>46230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15486-2025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45747</v>
      </c>
      <c r="E839" s="1" t="n">
        <v>46230</v>
      </c>
      <c r="F839" t="inlineStr">
        <is>
          <t>NORRBOTTENS LÄN</t>
        </is>
      </c>
      <c r="G839" t="inlineStr">
        <is>
          <t>BODEN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33981-2025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45843</v>
      </c>
      <c r="E840" s="1" t="n">
        <v>46230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51280-2024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45603</v>
      </c>
      <c r="E841" s="1" t="n">
        <v>46230</v>
      </c>
      <c r="F841" t="inlineStr">
        <is>
          <t>NORRBOTTENS LÄN</t>
        </is>
      </c>
      <c r="G841" t="inlineStr">
        <is>
          <t>BODEN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35561-2025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45856</v>
      </c>
      <c r="E842" s="1" t="n">
        <v>46230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10.8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46230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2601-2025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45674</v>
      </c>
      <c r="E844" s="1" t="n">
        <v>46230</v>
      </c>
      <c r="F844" t="inlineStr">
        <is>
          <t>NORRBOTTENS LÄN</t>
        </is>
      </c>
      <c r="G844" t="inlineStr">
        <is>
          <t>BODEN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49728-2024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45596</v>
      </c>
      <c r="E845" s="1" t="n">
        <v>46230</v>
      </c>
      <c r="F845" t="inlineStr">
        <is>
          <t>NORRBOTTENS LÄN</t>
        </is>
      </c>
      <c r="G845" t="inlineStr">
        <is>
          <t>BODEN</t>
        </is>
      </c>
      <c r="I845" t="n">
        <v>22.7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36019-2025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45863</v>
      </c>
      <c r="E846" s="1" t="n">
        <v>46230</v>
      </c>
      <c r="F846" t="inlineStr">
        <is>
          <t>NORRBOTTENS LÄN</t>
        </is>
      </c>
      <c r="G846" t="inlineStr">
        <is>
          <t>BODEN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24193-2024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45456</v>
      </c>
      <c r="E847" s="1" t="n">
        <v>46230</v>
      </c>
      <c r="F847" t="inlineStr">
        <is>
          <t>NORRBOTTENS LÄN</t>
        </is>
      </c>
      <c r="G847" t="inlineStr">
        <is>
          <t>BODEN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46230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46230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46230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46230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46230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46230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46230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46230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46230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46230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46230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46230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46230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46230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46230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46230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46230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46230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46230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46230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46230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46230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2026-07-27T01:50:13Z</dcterms:created>
  <dcterms:modified xmlns:dcterms="http://purl.org/dc/terms/" xmlns:xsi="http://www.w3.org/2001/XMLSchema-instance" xsi:type="dcterms:W3CDTF">2026-07-27T01:50:14Z</dcterms:modified>
</cp:coreProperties>
</file>