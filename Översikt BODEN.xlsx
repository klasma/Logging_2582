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45626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45626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45626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45626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45626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45626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45626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45626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50504-2023</t>
        </is>
      </c>
      <c r="B10" s="1" t="n">
        <v>45216</v>
      </c>
      <c r="C10" s="1" t="n">
        <v>45626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7.2</v>
      </c>
      <c r="H10" t="n">
        <v>1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10</v>
      </c>
      <c r="R10" s="2" t="inlineStr">
        <is>
          <t>Gammelgransskål
Garnlav
Knottrig blåslav
Nordlig nållav
Ullticka
Vedskivlav
Vitgrynig nållav
Äggvaxskivling
Skinnlav
Lavskrika</t>
        </is>
      </c>
      <c r="S10">
        <f>HYPERLINK("https://klasma.github.io/Logging_2582/artfynd/A 50504-2023 artfynd.xlsx", "A 50504-2023")</f>
        <v/>
      </c>
      <c r="T10">
        <f>HYPERLINK("https://klasma.github.io/Logging_2582/kartor/A 50504-2023 karta.png", "A 50504-2023")</f>
        <v/>
      </c>
      <c r="V10">
        <f>HYPERLINK("https://klasma.github.io/Logging_2582/klagomål/A 50504-2023 FSC-klagomål.docx", "A 50504-2023")</f>
        <v/>
      </c>
      <c r="W10">
        <f>HYPERLINK("https://klasma.github.io/Logging_2582/klagomålsmail/A 50504-2023 FSC-klagomål mail.docx", "A 50504-2023")</f>
        <v/>
      </c>
      <c r="X10">
        <f>HYPERLINK("https://klasma.github.io/Logging_2582/tillsyn/A 50504-2023 tillsynsbegäran.docx", "A 50504-2023")</f>
        <v/>
      </c>
      <c r="Y10">
        <f>HYPERLINK("https://klasma.github.io/Logging_2582/tillsynsmail/A 50504-2023 tillsynsbegäran mail.docx", "A 50504-2023")</f>
        <v/>
      </c>
      <c r="Z10">
        <f>HYPERLINK("https://klasma.github.io/Logging_2582/fåglar/A 50504-2023 prioriterade fågelarter.docx", "A 50504-2023")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45626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45626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45626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45626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45626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45626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45626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45626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45626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45626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45626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45626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45626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45626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45626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45626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45626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45626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45626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45626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45626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45626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45626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45626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45626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45626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45626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45626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45626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45626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45626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45626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45626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45626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45626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45626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45626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45626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45626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45626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45626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45626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45626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45626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45626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45626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45626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45626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45626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45626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45626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45626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45626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45626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45626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45626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45626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45626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45626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45626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45626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45626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45626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45626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45626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45626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45626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45626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45626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45626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45626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45626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45626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45626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45626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45626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45626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45626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45626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45626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45626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45626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45626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45626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45626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45626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45626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45626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45626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45626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45626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45626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45626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45626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45626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45626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45626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45626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45626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45626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45626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45626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45626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45626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45626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45626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45626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45626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45626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45626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45626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45626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45626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45626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45626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45626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45626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45626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45626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45626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45626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45626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45626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45626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45626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45626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45626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45626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45626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45626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45626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50866-2024</t>
        </is>
      </c>
      <c r="B142" s="1" t="n">
        <v>45602</v>
      </c>
      <c r="C142" s="1" t="n">
        <v>45626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HYPERLINK("https://klasma.github.io/Logging_2582/artfynd/A 50866-2024 artfynd.xlsx", "A 50866-2024")</f>
        <v/>
      </c>
      <c r="T142">
        <f>HYPERLINK("https://klasma.github.io/Logging_2582/kartor/A 50866-2024 karta.png", "A 50866-2024")</f>
        <v/>
      </c>
      <c r="V142">
        <f>HYPERLINK("https://klasma.github.io/Logging_2582/klagomål/A 50866-2024 FSC-klagomål.docx", "A 50866-2024")</f>
        <v/>
      </c>
      <c r="W142">
        <f>HYPERLINK("https://klasma.github.io/Logging_2582/klagomålsmail/A 50866-2024 FSC-klagomål mail.docx", "A 50866-2024")</f>
        <v/>
      </c>
      <c r="X142">
        <f>HYPERLINK("https://klasma.github.io/Logging_2582/tillsyn/A 50866-2024 tillsynsbegäran.docx", "A 50866-2024")</f>
        <v/>
      </c>
      <c r="Y142">
        <f>HYPERLINK("https://klasma.github.io/Logging_2582/tillsynsmail/A 50866-2024 tillsynsbegäran mail.docx", "A 50866-2024")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45626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45626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45626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45626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45626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45626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45626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45626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45626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45626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45626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45626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45626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45626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45626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45626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45626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45626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45626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45626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45626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45626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45626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45626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45626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45626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45626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45626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45626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45626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45626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45626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45626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45626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45626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45626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45626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45626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45626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45626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45626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45626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45626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45626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45626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45626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45626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45626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45626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45626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45626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45626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45626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45626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45626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45626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45626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45626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45626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45626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45626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45626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45626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45626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45626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45626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45626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45626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45626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45626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45626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45626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45626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45626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45626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45626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45626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45626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45626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45626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45626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45626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45626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45626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45626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45626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45626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45626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45626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45626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45626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45626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45626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45626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45626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45626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45626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45626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45626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45626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45626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45626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45626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45626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45626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45626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45626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45626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45626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45626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45626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45626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45626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45626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45626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45626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45626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45626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45626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45626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45626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45626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45626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45626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45626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45626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45626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45626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45626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45626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45626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45626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45626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45626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45626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45626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45626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45626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45626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45626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45626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45626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45626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45626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45626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45626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45626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45626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45626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45626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45626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45626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45626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45626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45626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45626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45626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45626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45626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45626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45626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45626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45626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45626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45626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45626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45626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45626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45626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45626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45626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45626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45626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45626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45626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45626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45626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45626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45626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45626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45626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45626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45626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45626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45626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45626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45626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45626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45626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45626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45626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45626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45626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45626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45626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45626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45626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45626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45626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45626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45626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45626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45626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45626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45626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45626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45626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45626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45626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45626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45626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45626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45626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45626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45626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45626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45626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45626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45626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45626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45626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45626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45626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45626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45626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45626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45626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45626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45626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45626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45626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45626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45626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45626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45626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45626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45626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45626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45626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45626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45626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45626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45626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45626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45626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45626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45626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45626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45626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45626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45626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45626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45626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45626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45626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45626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45626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45626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45626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45626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45626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45626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45626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45626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45626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45626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45626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45626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45626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45626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45626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45626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45626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45626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45626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45626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45626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45626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45626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45626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45626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45626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45626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45626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45626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45626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45626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45626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45626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45626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45626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45626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45626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45626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45626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45626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45626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45626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45626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45626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45626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45626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45626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45626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45626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45626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45626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45626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45626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45626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45626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45626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45626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45626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45626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45626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45626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45626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45626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45626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45626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45626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45626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45626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45626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45626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45626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45626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45626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45626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45626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45626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45626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45626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45626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45626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45626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45626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45626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45626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45626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45626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45626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45626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45626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45626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45626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45626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45626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45626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45626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45626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45626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45626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45626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45626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45626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45626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45626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45626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45626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45626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45626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45626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45626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45626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45626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45626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45626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45626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45626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45626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45626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45626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45626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45626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45626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45626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45626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45626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45626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45626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45626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45626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45626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45626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45626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45626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45626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45626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45626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45626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45626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45626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45626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45626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45626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45626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45626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45626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45626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45626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45626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45626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45626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45626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45626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45626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45626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45626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45626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45626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45626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45626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45626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45626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45626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45626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45626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45626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45626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45626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45626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45626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45626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45626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45626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45626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45626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45626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45626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45626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45626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45626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45626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45626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45626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45626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45626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45626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45626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45626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45626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45626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45626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45626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45626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45626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45626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45626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45626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45626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45626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45626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45626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45626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45626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45626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45626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45626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45626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45626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45626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45626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45626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45626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45626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45626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45626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45626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45626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45626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45626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45626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45626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45626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45626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45626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45626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45626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45626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45626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45626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45626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45626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45626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45626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45626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45626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45626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45626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45626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45626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45626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45626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45626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45626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45626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45626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45626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45626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45626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45626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45626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45626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45626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45626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45626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45626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45626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45626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45626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45626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45626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45626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45626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45626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45626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45626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45626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45626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45626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45626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45626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45626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45626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45626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45626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45626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45626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45626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45626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45626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45626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45626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45626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45626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45626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45626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45626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45626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45626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45626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45626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45626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45626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45626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45626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45626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45626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45626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45626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45626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45626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45626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45626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45626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45626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45626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45626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45626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45626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45626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45626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45626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45626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45626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45626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45626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45626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45626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45626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45626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45626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45626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45626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45626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45626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45626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45626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45626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45626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45626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45626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45626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45626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45626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45626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45626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45626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45626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45626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45626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45626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45626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45626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45626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45626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45626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45626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45626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45626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45626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45626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45626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45626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45626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45626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45626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45626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45626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45626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45626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45626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45626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45626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45626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45626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45626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45626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45626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45626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45626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45626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45626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45626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45626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45626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45626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45626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45626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45626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45626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45626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45626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45626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45626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45626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45626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45626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45626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45626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45626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45626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45626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45626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45626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45626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45626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45626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45626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45626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45626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45626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45626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45626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45626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45626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45626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45626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45626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45626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45626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45626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45626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45626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45626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45626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45626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45626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45626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45626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45626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45626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45626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45626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45626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45626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45626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45626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45626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45626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45626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45626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45626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45626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45626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45626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45626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45626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45626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45626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45626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45626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45626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45626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45626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45626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45626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45626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45626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45626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45626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45626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45626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45626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45626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45626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45626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45626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45626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45626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45626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45626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45626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45626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45626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45626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45626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45626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45626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45626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45626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45626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45626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45626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45626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45626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45626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45626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45626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45626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45626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45626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45626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45626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45626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45626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45626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45626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45626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45626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45626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45626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45626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45626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45626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45626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45626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45626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45626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45626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45626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45626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45626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45626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45626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45626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45626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45626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45626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45626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45626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45626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45626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45626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45626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45626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45626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45626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45626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45626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45626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45626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45626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45626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45626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45626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45626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45626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45626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45626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45626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45626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45626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45626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45626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45626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45626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45626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45626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45626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45626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45626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45626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45626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45626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45626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45626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45626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45626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45626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45626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45626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45626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45626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45626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45626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45626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45626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45626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45626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45626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45626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45626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45626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45626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45626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45626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45626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45626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45626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45626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45626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45626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45626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45626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45626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45626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45626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45626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45626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45626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45626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45626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45626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45626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45626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45626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45626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45626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45626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45626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45626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45626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45626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45626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45626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45626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45626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45626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45626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45626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45626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45626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45626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45626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45626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45626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45626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45626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45626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45626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45626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45626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45626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45626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45626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45626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45626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45626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45626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45626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45626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45626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45626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45626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45626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45626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45626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45626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45626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45626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45626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45626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45626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45626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45626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45626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45626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45626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45626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45626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45626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45626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45626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45626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45626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45626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45626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45626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45626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45626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45626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45626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45626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45626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45626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45626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45626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45626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45626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45626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45626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45626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45626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45626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45626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45626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45626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45626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45626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45626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45626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45626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45626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45626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45626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45626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45626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45626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45626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45626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45626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45626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45626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45626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45626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45626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45626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45626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45626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45626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45626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45626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45626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45626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45626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45626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45626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45626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45626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45626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45626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45626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45626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45626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45626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45626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45626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45626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45626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45626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45626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45626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45626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45626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45626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45626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45626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45626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45626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45626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45626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45626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45626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45626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45626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45626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45626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45626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45626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45626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45626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45626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45626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45626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45626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45626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45626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45626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45626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45626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45626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45626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45626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45626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45626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45626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45626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45626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45626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45626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45626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45626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45626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45626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45626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45626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45626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45626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45626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45626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45626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45626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45626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45626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45626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45626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45626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45626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45626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45626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45626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45626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45626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45626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45626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45626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45626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45626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45626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45626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45626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45626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45626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45626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45626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45626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45626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45626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45626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45626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45626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45626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45626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45626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45626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45626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45626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45626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45626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45626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45626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45626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45626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45626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45626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45626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45626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45626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45626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45626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45626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45626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45626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45626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45626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45626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45626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45626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45626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45626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45626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45626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45626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45626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45626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45626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45626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45626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45626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45626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45626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45626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45626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45626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45626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45626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45626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45626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45626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45626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45626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45626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45626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45626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45626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45626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45626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45626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45626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45626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45626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45626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45626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45626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45626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45626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45626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45626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45626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45626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45626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45626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45626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45626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45626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45626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45626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45626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45626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45626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45626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45626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45626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45626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45626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45626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45626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45626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45626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45626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45626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45626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45626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45626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45626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45626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45626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45626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45626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45626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45626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45626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45626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45626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45626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45626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45626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45626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45626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45626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45626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45626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45626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45626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45626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45626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45626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45626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45626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45626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45626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45626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45626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45626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45626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51280-2024</t>
        </is>
      </c>
      <c r="B1311" s="1" t="n">
        <v>45603</v>
      </c>
      <c r="C1311" s="1" t="n">
        <v>45626</v>
      </c>
      <c r="D1311" t="inlineStr">
        <is>
          <t>NORRBOTTENS LÄN</t>
        </is>
      </c>
      <c r="E1311" t="inlineStr">
        <is>
          <t>BODEN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45626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45626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51614-2024</t>
        </is>
      </c>
      <c r="B1314" s="1" t="n">
        <v>45604</v>
      </c>
      <c r="C1314" s="1" t="n">
        <v>45626</v>
      </c>
      <c r="D1314" t="inlineStr">
        <is>
          <t>NORRBOTTENS LÄN</t>
        </is>
      </c>
      <c r="E1314" t="inlineStr">
        <is>
          <t>BODEN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51607-2024</t>
        </is>
      </c>
      <c r="B1315" s="1" t="n">
        <v>45604</v>
      </c>
      <c r="C1315" s="1" t="n">
        <v>45626</v>
      </c>
      <c r="D1315" t="inlineStr">
        <is>
          <t>NORRBOTTENS LÄN</t>
        </is>
      </c>
      <c r="E1315" t="inlineStr">
        <is>
          <t>BODEN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45626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45626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45626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45626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45626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45626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54718-2024</t>
        </is>
      </c>
      <c r="B1322" s="1" t="n">
        <v>45618</v>
      </c>
      <c r="C1322" s="1" t="n">
        <v>45626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54722-2024</t>
        </is>
      </c>
      <c r="B1323" s="1" t="n">
        <v>45618</v>
      </c>
      <c r="C1323" s="1" t="n">
        <v>45626</v>
      </c>
      <c r="D1323" t="inlineStr">
        <is>
          <t>NORRBOTTENS LÄN</t>
        </is>
      </c>
      <c r="E1323" t="inlineStr">
        <is>
          <t>BODEN</t>
        </is>
      </c>
      <c r="F1323" t="inlineStr">
        <is>
          <t>Naturvårdsverket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54765-2024</t>
        </is>
      </c>
      <c r="B1324" s="1" t="n">
        <v>45618</v>
      </c>
      <c r="C1324" s="1" t="n">
        <v>45626</v>
      </c>
      <c r="D1324" t="inlineStr">
        <is>
          <t>NORRBOTTENS LÄN</t>
        </is>
      </c>
      <c r="E1324" t="inlineStr">
        <is>
          <t>BODEN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45626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56457-2024</t>
        </is>
      </c>
      <c r="B1326" s="1" t="n">
        <v>45625</v>
      </c>
      <c r="C1326" s="1" t="n">
        <v>45626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2024-11-30T18:49:50Z</dcterms:created>
  <dcterms:modified xmlns:dcterms="http://purl.org/dc/terms/" xmlns:xsi="http://www.w3.org/2001/XMLSchema-instance" xsi:type="dcterms:W3CDTF">2024-11-30T18:49:51Z</dcterms:modified>
</cp:coreProperties>
</file>