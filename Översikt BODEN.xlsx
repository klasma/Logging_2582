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45698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45698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45698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45698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45698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45698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45698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45698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45698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45698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45698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45698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45698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45698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45698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45698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45698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45698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45698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45698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45698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45698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45698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45698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45698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45698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45698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45698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45698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45698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45698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45698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45698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45698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19598-2023</t>
        </is>
      </c>
      <c r="B36" s="1" t="n">
        <v>45049</v>
      </c>
      <c r="C36" s="1" t="n">
        <v>45698</v>
      </c>
      <c r="D36" t="inlineStr">
        <is>
          <t>NORRBOTTENS LÄN</t>
        </is>
      </c>
      <c r="E36" t="inlineStr">
        <is>
          <t>BODEN</t>
        </is>
      </c>
      <c r="G36" t="n">
        <v>1.8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Grenlav
Garnlav
Granticka
Källpraktmossa
Lappranunkel</t>
        </is>
      </c>
      <c r="S36">
        <f>HYPERLINK("https://klasma.github.io/Logging_2582/artfynd/A 19598-2023 artfynd.xlsx", "A 19598-2023")</f>
        <v/>
      </c>
      <c r="T36">
        <f>HYPERLINK("https://klasma.github.io/Logging_2582/kartor/A 19598-2023 karta.png", "A 19598-2023")</f>
        <v/>
      </c>
      <c r="V36">
        <f>HYPERLINK("https://klasma.github.io/Logging_2582/klagomål/A 19598-2023 FSC-klagomål.docx", "A 19598-2023")</f>
        <v/>
      </c>
      <c r="W36">
        <f>HYPERLINK("https://klasma.github.io/Logging_2582/klagomålsmail/A 19598-2023 FSC-klagomål mail.docx", "A 19598-2023")</f>
        <v/>
      </c>
      <c r="X36">
        <f>HYPERLINK("https://klasma.github.io/Logging_2582/tillsyn/A 19598-2023 tillsynsbegäran.docx", "A 19598-2023")</f>
        <v/>
      </c>
      <c r="Y36">
        <f>HYPERLINK("https://klasma.github.io/Logging_2582/tillsynsmail/A 19598-2023 tillsynsbegäran mail.docx", "A 19598-2023")</f>
        <v/>
      </c>
    </row>
    <row r="37" ht="15" customHeight="1">
      <c r="A37" t="inlineStr">
        <is>
          <t>A 32325-2024</t>
        </is>
      </c>
      <c r="B37" s="1" t="n">
        <v>45512</v>
      </c>
      <c r="C37" s="1" t="n">
        <v>45698</v>
      </c>
      <c r="D37" t="inlineStr">
        <is>
          <t>NORRBOTTENS LÄN</t>
        </is>
      </c>
      <c r="E37" t="inlineStr">
        <is>
          <t>BODEN</t>
        </is>
      </c>
      <c r="F37" t="inlineStr">
        <is>
          <t>Övriga Aktiebolag</t>
        </is>
      </c>
      <c r="G37" t="n">
        <v>36.5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Luddlav
Skinnlav</t>
        </is>
      </c>
      <c r="S37">
        <f>HYPERLINK("https://klasma.github.io/Logging_2582/artfynd/A 32325-2024 artfynd.xlsx", "A 32325-2024")</f>
        <v/>
      </c>
      <c r="T37">
        <f>HYPERLINK("https://klasma.github.io/Logging_2582/kartor/A 32325-2024 karta.png", "A 32325-2024")</f>
        <v/>
      </c>
      <c r="U37">
        <f>HYPERLINK("https://klasma.github.io/Logging_2582/knärot/A 32325-2024 karta knärot.png", "A 32325-2024")</f>
        <v/>
      </c>
      <c r="V37">
        <f>HYPERLINK("https://klasma.github.io/Logging_2582/klagomål/A 32325-2024 FSC-klagomål.docx", "A 32325-2024")</f>
        <v/>
      </c>
      <c r="W37">
        <f>HYPERLINK("https://klasma.github.io/Logging_2582/klagomålsmail/A 32325-2024 FSC-klagomål mail.docx", "A 32325-2024")</f>
        <v/>
      </c>
      <c r="X37">
        <f>HYPERLINK("https://klasma.github.io/Logging_2582/tillsyn/A 32325-2024 tillsynsbegäran.docx", "A 32325-2024")</f>
        <v/>
      </c>
      <c r="Y37">
        <f>HYPERLINK("https://klasma.github.io/Logging_2582/tillsynsmail/A 32325-2024 tillsynsbegäran mail.docx", "A 32325-2024")</f>
        <v/>
      </c>
    </row>
    <row r="38" ht="15" customHeight="1">
      <c r="A38" t="inlineStr">
        <is>
          <t>A 39991-2024</t>
        </is>
      </c>
      <c r="B38" s="1" t="n">
        <v>45553</v>
      </c>
      <c r="C38" s="1" t="n">
        <v>45698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10.8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Blå taggsvamp
Orange taggsvamp
Svart taggsvamp
Dropptaggsvamp
Skarp dropptaggsvamp</t>
        </is>
      </c>
      <c r="S38">
        <f>HYPERLINK("https://klasma.github.io/Logging_2582/artfynd/A 39991-2024 artfynd.xlsx", "A 39991-2024")</f>
        <v/>
      </c>
      <c r="T38">
        <f>HYPERLINK("https://klasma.github.io/Logging_2582/kartor/A 39991-2024 karta.png", "A 39991-2024")</f>
        <v/>
      </c>
      <c r="V38">
        <f>HYPERLINK("https://klasma.github.io/Logging_2582/klagomål/A 39991-2024 FSC-klagomål.docx", "A 39991-2024")</f>
        <v/>
      </c>
      <c r="W38">
        <f>HYPERLINK("https://klasma.github.io/Logging_2582/klagomålsmail/A 39991-2024 FSC-klagomål mail.docx", "A 39991-2024")</f>
        <v/>
      </c>
      <c r="X38">
        <f>HYPERLINK("https://klasma.github.io/Logging_2582/tillsyn/A 39991-2024 tillsynsbegäran.docx", "A 39991-2024")</f>
        <v/>
      </c>
      <c r="Y38">
        <f>HYPERLINK("https://klasma.github.io/Logging_2582/tillsynsmail/A 39991-2024 tillsynsbegäran mail.docx", "A 39991-2024")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45698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Doftticka
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56355-2019</t>
        </is>
      </c>
      <c r="B40" s="1" t="n">
        <v>43762</v>
      </c>
      <c r="C40" s="1" t="n">
        <v>45698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34.5</v>
      </c>
      <c r="H40" t="n">
        <v>4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Järpe
Spillkråka
Talltita
Kungsfågel</t>
        </is>
      </c>
      <c r="S40">
        <f>HYPERLINK("https://klasma.github.io/Logging_2582/artfynd/A 56355-2019 artfynd.xlsx", "A 56355-2019")</f>
        <v/>
      </c>
      <c r="T40">
        <f>HYPERLINK("https://klasma.github.io/Logging_2582/kartor/A 56355-2019 karta.png", "A 56355-2019")</f>
        <v/>
      </c>
      <c r="V40">
        <f>HYPERLINK("https://klasma.github.io/Logging_2582/klagomål/A 56355-2019 FSC-klagomål.docx", "A 56355-2019")</f>
        <v/>
      </c>
      <c r="W40">
        <f>HYPERLINK("https://klasma.github.io/Logging_2582/klagomålsmail/A 56355-2019 FSC-klagomål mail.docx", "A 56355-2019")</f>
        <v/>
      </c>
      <c r="X40">
        <f>HYPERLINK("https://klasma.github.io/Logging_2582/tillsyn/A 56355-2019 tillsynsbegäran.docx", "A 56355-2019")</f>
        <v/>
      </c>
      <c r="Y40">
        <f>HYPERLINK("https://klasma.github.io/Logging_2582/tillsynsmail/A 56355-2019 tillsynsbegäran mail.docx", "A 56355-2019")</f>
        <v/>
      </c>
      <c r="Z40">
        <f>HYPERLINK("https://klasma.github.io/Logging_2582/fåglar/A 56355-2019 prioriterade fågelarter.docx", "A 56355-2019")</f>
        <v/>
      </c>
    </row>
    <row r="41" ht="15" customHeight="1">
      <c r="A41" t="inlineStr">
        <is>
          <t>A 27084-2020</t>
        </is>
      </c>
      <c r="B41" s="1" t="n">
        <v>43991</v>
      </c>
      <c r="C41" s="1" t="n">
        <v>45698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Knottrig blåslav
Vedskivlav
Vedticka</t>
        </is>
      </c>
      <c r="S41">
        <f>HYPERLINK("https://klasma.github.io/Logging_2582/artfynd/A 27084-2020 artfynd.xlsx", "A 27084-2020")</f>
        <v/>
      </c>
      <c r="T41">
        <f>HYPERLINK("https://klasma.github.io/Logging_2582/kartor/A 27084-2020 karta.png", "A 27084-2020")</f>
        <v/>
      </c>
      <c r="V41">
        <f>HYPERLINK("https://klasma.github.io/Logging_2582/klagomål/A 27084-2020 FSC-klagomål.docx", "A 27084-2020")</f>
        <v/>
      </c>
      <c r="W41">
        <f>HYPERLINK("https://klasma.github.io/Logging_2582/klagomålsmail/A 27084-2020 FSC-klagomål mail.docx", "A 27084-2020")</f>
        <v/>
      </c>
      <c r="X41">
        <f>HYPERLINK("https://klasma.github.io/Logging_2582/tillsyn/A 27084-2020 tillsynsbegäran.docx", "A 27084-2020")</f>
        <v/>
      </c>
      <c r="Y41">
        <f>HYPERLINK("https://klasma.github.io/Logging_2582/tillsynsmail/A 27084-2020 tillsynsbegäran mail.docx", "A 27084-2020")</f>
        <v/>
      </c>
    </row>
    <row r="42" ht="15" customHeight="1">
      <c r="A42" t="inlineStr">
        <is>
          <t>A 30786-2020</t>
        </is>
      </c>
      <c r="B42" s="1" t="n">
        <v>44010</v>
      </c>
      <c r="C42" s="1" t="n">
        <v>45698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3.5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Rynkskinn
Rosenticka
Ullticka
Stuplav</t>
        </is>
      </c>
      <c r="S42">
        <f>HYPERLINK("https://klasma.github.io/Logging_2582/artfynd/A 30786-2020 artfynd.xlsx", "A 30786-2020")</f>
        <v/>
      </c>
      <c r="T42">
        <f>HYPERLINK("https://klasma.github.io/Logging_2582/kartor/A 30786-2020 karta.png", "A 30786-2020")</f>
        <v/>
      </c>
      <c r="V42">
        <f>HYPERLINK("https://klasma.github.io/Logging_2582/klagomål/A 30786-2020 FSC-klagomål.docx", "A 30786-2020")</f>
        <v/>
      </c>
      <c r="W42">
        <f>HYPERLINK("https://klasma.github.io/Logging_2582/klagomålsmail/A 30786-2020 FSC-klagomål mail.docx", "A 30786-2020")</f>
        <v/>
      </c>
      <c r="X42">
        <f>HYPERLINK("https://klasma.github.io/Logging_2582/tillsyn/A 30786-2020 tillsynsbegäran.docx", "A 30786-2020")</f>
        <v/>
      </c>
      <c r="Y42">
        <f>HYPERLINK("https://klasma.github.io/Logging_2582/tillsynsmail/A 30786-2020 tillsynsbegäran mail.docx", "A 30786-2020")</f>
        <v/>
      </c>
    </row>
    <row r="43" ht="15" customHeight="1">
      <c r="A43" t="inlineStr">
        <is>
          <t>A 62075-2020</t>
        </is>
      </c>
      <c r="B43" s="1" t="n">
        <v>44158</v>
      </c>
      <c r="C43" s="1" t="n">
        <v>45698</v>
      </c>
      <c r="D43" t="inlineStr">
        <is>
          <t>NORRBOTTENS LÄN</t>
        </is>
      </c>
      <c r="E43" t="inlineStr">
        <is>
          <t>BODEN</t>
        </is>
      </c>
      <c r="G43" t="n">
        <v>6.9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Liten hornflikmossa
Veckticka
Vedflikmossa
Vedtrappmossa</t>
        </is>
      </c>
      <c r="S43">
        <f>HYPERLINK("https://klasma.github.io/Logging_2582/artfynd/A 62075-2020 artfynd.xlsx", "A 62075-2020")</f>
        <v/>
      </c>
      <c r="T43">
        <f>HYPERLINK("https://klasma.github.io/Logging_2582/kartor/A 62075-2020 karta.png", "A 62075-2020")</f>
        <v/>
      </c>
      <c r="V43">
        <f>HYPERLINK("https://klasma.github.io/Logging_2582/klagomål/A 62075-2020 FSC-klagomål.docx", "A 62075-2020")</f>
        <v/>
      </c>
      <c r="W43">
        <f>HYPERLINK("https://klasma.github.io/Logging_2582/klagomålsmail/A 62075-2020 FSC-klagomål mail.docx", "A 62075-2020")</f>
        <v/>
      </c>
      <c r="X43">
        <f>HYPERLINK("https://klasma.github.io/Logging_2582/tillsyn/A 62075-2020 tillsynsbegäran.docx", "A 62075-2020")</f>
        <v/>
      </c>
      <c r="Y43">
        <f>HYPERLINK("https://klasma.github.io/Logging_2582/tillsynsmail/A 62075-2020 tillsynsbegäran mail.docx", "A 62075-2020")</f>
        <v/>
      </c>
    </row>
    <row r="44" ht="15" customHeight="1">
      <c r="A44" t="inlineStr">
        <is>
          <t>A 30541-2021</t>
        </is>
      </c>
      <c r="B44" s="1" t="n">
        <v>44364</v>
      </c>
      <c r="C44" s="1" t="n">
        <v>45698</v>
      </c>
      <c r="D44" t="inlineStr">
        <is>
          <t>NORRBOTTENS LÄN</t>
        </is>
      </c>
      <c r="E44" t="inlineStr">
        <is>
          <t>BODEN</t>
        </is>
      </c>
      <c r="G44" t="n">
        <v>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Älvstarr
Bollvitmossa
Vanlig padda
Revlummer</t>
        </is>
      </c>
      <c r="S44">
        <f>HYPERLINK("https://klasma.github.io/Logging_2582/artfynd/A 30541-2021 artfynd.xlsx", "A 30541-2021")</f>
        <v/>
      </c>
      <c r="T44">
        <f>HYPERLINK("https://klasma.github.io/Logging_2582/kartor/A 30541-2021 karta.png", "A 30541-2021")</f>
        <v/>
      </c>
      <c r="V44">
        <f>HYPERLINK("https://klasma.github.io/Logging_2582/klagomål/A 30541-2021 FSC-klagomål.docx", "A 30541-2021")</f>
        <v/>
      </c>
      <c r="W44">
        <f>HYPERLINK("https://klasma.github.io/Logging_2582/klagomålsmail/A 30541-2021 FSC-klagomål mail.docx", "A 30541-2021")</f>
        <v/>
      </c>
      <c r="X44">
        <f>HYPERLINK("https://klasma.github.io/Logging_2582/tillsyn/A 30541-2021 tillsynsbegäran.docx", "A 30541-2021")</f>
        <v/>
      </c>
      <c r="Y44">
        <f>HYPERLINK("https://klasma.github.io/Logging_2582/tillsynsmail/A 30541-2021 tillsynsbegäran mail.docx", "A 30541-2021")</f>
        <v/>
      </c>
    </row>
    <row r="45" ht="15" customHeight="1">
      <c r="A45" t="inlineStr">
        <is>
          <t>A 51389-2022</t>
        </is>
      </c>
      <c r="B45" s="1" t="n">
        <v>44869</v>
      </c>
      <c r="C45" s="1" t="n">
        <v>45698</v>
      </c>
      <c r="D45" t="inlineStr">
        <is>
          <t>NORRBOTTENS LÄN</t>
        </is>
      </c>
      <c r="E45" t="inlineStr">
        <is>
          <t>BODEN</t>
        </is>
      </c>
      <c r="F45" t="inlineStr">
        <is>
          <t>Övriga statliga verk och myndigheter</t>
        </is>
      </c>
      <c r="G45" t="n">
        <v>15.6</v>
      </c>
      <c r="H45" t="n">
        <v>4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Tallbit
Grönsångare
Järpe
Talltita</t>
        </is>
      </c>
      <c r="S45">
        <f>HYPERLINK("https://klasma.github.io/Logging_2582/artfynd/A 51389-2022 artfynd.xlsx", "A 51389-2022")</f>
        <v/>
      </c>
      <c r="T45">
        <f>HYPERLINK("https://klasma.github.io/Logging_2582/kartor/A 51389-2022 karta.png", "A 51389-2022")</f>
        <v/>
      </c>
      <c r="V45">
        <f>HYPERLINK("https://klasma.github.io/Logging_2582/klagomål/A 51389-2022 FSC-klagomål.docx", "A 51389-2022")</f>
        <v/>
      </c>
      <c r="W45">
        <f>HYPERLINK("https://klasma.github.io/Logging_2582/klagomålsmail/A 51389-2022 FSC-klagomål mail.docx", "A 51389-2022")</f>
        <v/>
      </c>
      <c r="X45">
        <f>HYPERLINK("https://klasma.github.io/Logging_2582/tillsyn/A 51389-2022 tillsynsbegäran.docx", "A 51389-2022")</f>
        <v/>
      </c>
      <c r="Y45">
        <f>HYPERLINK("https://klasma.github.io/Logging_2582/tillsynsmail/A 51389-2022 tillsynsbegäran mail.docx", "A 51389-2022")</f>
        <v/>
      </c>
      <c r="Z45">
        <f>HYPERLINK("https://klasma.github.io/Logging_2582/fåglar/A 51389-2022 prioriterade fågelarter.docx", "A 51389-2022")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45698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45698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45698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45698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45698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45698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45698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45698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45698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45698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45698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45698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45698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45698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45698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45698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45698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45698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45698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45698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45698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45698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45698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45698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45698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45698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45698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45698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45698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45698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45698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45698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45698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45698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45698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45698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45698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45698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45698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45698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45698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45698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45698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45698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45698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45698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45698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45698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35824-2019</t>
        </is>
      </c>
      <c r="B94" s="1" t="n">
        <v>43665</v>
      </c>
      <c r="C94" s="1" t="n">
        <v>45698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HYPERLINK("https://klasma.github.io/Logging_2582/artfynd/A 35824-2019 artfynd.xlsx", "A 35824-2019")</f>
        <v/>
      </c>
      <c r="T94">
        <f>HYPERLINK("https://klasma.github.io/Logging_2582/kartor/A 35824-2019 karta.png", "A 35824-2019")</f>
        <v/>
      </c>
      <c r="V94">
        <f>HYPERLINK("https://klasma.github.io/Logging_2582/klagomål/A 35824-2019 FSC-klagomål.docx", "A 35824-2019")</f>
        <v/>
      </c>
      <c r="W94">
        <f>HYPERLINK("https://klasma.github.io/Logging_2582/klagomålsmail/A 35824-2019 FSC-klagomål mail.docx", "A 35824-2019")</f>
        <v/>
      </c>
      <c r="X94">
        <f>HYPERLINK("https://klasma.github.io/Logging_2582/tillsyn/A 35824-2019 tillsynsbegäran.docx", "A 35824-2019")</f>
        <v/>
      </c>
      <c r="Y94">
        <f>HYPERLINK("https://klasma.github.io/Logging_2582/tillsynsmail/A 35824-2019 tillsynsbegäran mail.docx", "A 35824-2019")</f>
        <v/>
      </c>
    </row>
    <row r="95" ht="15" customHeight="1">
      <c r="A95" t="inlineStr">
        <is>
          <t>A 54126-2019</t>
        </is>
      </c>
      <c r="B95" s="1" t="n">
        <v>43752</v>
      </c>
      <c r="C95" s="1" t="n">
        <v>45698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7.6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54126-2019 artfynd.xlsx", "A 54126-2019")</f>
        <v/>
      </c>
      <c r="T95">
        <f>HYPERLINK("https://klasma.github.io/Logging_2582/kartor/A 54126-2019 karta.png", "A 54126-2019")</f>
        <v/>
      </c>
      <c r="U95">
        <f>HYPERLINK("https://klasma.github.io/Logging_2582/knärot/A 54126-2019 karta knärot.png", "A 54126-2019")</f>
        <v/>
      </c>
      <c r="V95">
        <f>HYPERLINK("https://klasma.github.io/Logging_2582/klagomål/A 54126-2019 FSC-klagomål.docx", "A 54126-2019")</f>
        <v/>
      </c>
      <c r="W95">
        <f>HYPERLINK("https://klasma.github.io/Logging_2582/klagomålsmail/A 54126-2019 FSC-klagomål mail.docx", "A 54126-2019")</f>
        <v/>
      </c>
      <c r="X95">
        <f>HYPERLINK("https://klasma.github.io/Logging_2582/tillsyn/A 54126-2019 tillsynsbegäran.docx", "A 54126-2019")</f>
        <v/>
      </c>
      <c r="Y95">
        <f>HYPERLINK("https://klasma.github.io/Logging_2582/tillsynsmail/A 54126-2019 tillsynsbegäran mail.docx", "A 54126-2019")</f>
        <v/>
      </c>
    </row>
    <row r="96" ht="15" customHeight="1">
      <c r="A96" t="inlineStr">
        <is>
          <t>A 56937-2019</t>
        </is>
      </c>
      <c r="B96" s="1" t="n">
        <v>43759</v>
      </c>
      <c r="C96" s="1" t="n">
        <v>45698</v>
      </c>
      <c r="D96" t="inlineStr">
        <is>
          <t>NORRBOTTENS LÄN</t>
        </is>
      </c>
      <c r="E96" t="inlineStr">
        <is>
          <t>BODEN</t>
        </is>
      </c>
      <c r="G96" t="n">
        <v>11.2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Rödvingetrast</t>
        </is>
      </c>
      <c r="S96">
        <f>HYPERLINK("https://klasma.github.io/Logging_2582/artfynd/A 56937-2019 artfynd.xlsx", "A 56937-2019")</f>
        <v/>
      </c>
      <c r="T96">
        <f>HYPERLINK("https://klasma.github.io/Logging_2582/kartor/A 56937-2019 karta.png", "A 56937-2019")</f>
        <v/>
      </c>
      <c r="V96">
        <f>HYPERLINK("https://klasma.github.io/Logging_2582/klagomål/A 56937-2019 FSC-klagomål.docx", "A 56937-2019")</f>
        <v/>
      </c>
      <c r="W96">
        <f>HYPERLINK("https://klasma.github.io/Logging_2582/klagomålsmail/A 56937-2019 FSC-klagomål mail.docx", "A 56937-2019")</f>
        <v/>
      </c>
      <c r="X96">
        <f>HYPERLINK("https://klasma.github.io/Logging_2582/tillsyn/A 56937-2019 tillsynsbegäran.docx", "A 56937-2019")</f>
        <v/>
      </c>
      <c r="Y96">
        <f>HYPERLINK("https://klasma.github.io/Logging_2582/tillsynsmail/A 56937-2019 tillsynsbegäran mail.docx", "A 56937-2019")</f>
        <v/>
      </c>
      <c r="Z96">
        <f>HYPERLINK("https://klasma.github.io/Logging_2582/fåglar/A 56937-2019 prioriterade fågelarter.docx", "A 56937-2019")</f>
        <v/>
      </c>
    </row>
    <row r="97" ht="15" customHeight="1">
      <c r="A97" t="inlineStr">
        <is>
          <t>A 62168-2019</t>
        </is>
      </c>
      <c r="B97" s="1" t="n">
        <v>43787</v>
      </c>
      <c r="C97" s="1" t="n">
        <v>45698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62168-2019 artfynd.xlsx", "A 62168-2019")</f>
        <v/>
      </c>
      <c r="T97">
        <f>HYPERLINK("https://klasma.github.io/Logging_2582/kartor/A 62168-2019 karta.png", "A 62168-2019")</f>
        <v/>
      </c>
      <c r="U97">
        <f>HYPERLINK("https://klasma.github.io/Logging_2582/knärot/A 62168-2019 karta knärot.png", "A 62168-2019")</f>
        <v/>
      </c>
      <c r="V97">
        <f>HYPERLINK("https://klasma.github.io/Logging_2582/klagomål/A 62168-2019 FSC-klagomål.docx", "A 62168-2019")</f>
        <v/>
      </c>
      <c r="W97">
        <f>HYPERLINK("https://klasma.github.io/Logging_2582/klagomålsmail/A 62168-2019 FSC-klagomål mail.docx", "A 62168-2019")</f>
        <v/>
      </c>
      <c r="X97">
        <f>HYPERLINK("https://klasma.github.io/Logging_2582/tillsyn/A 62168-2019 tillsynsbegäran.docx", "A 62168-2019")</f>
        <v/>
      </c>
      <c r="Y97">
        <f>HYPERLINK("https://klasma.github.io/Logging_2582/tillsynsmail/A 62168-2019 tillsynsbegäran mail.docx", "A 62168-2019")</f>
        <v/>
      </c>
    </row>
    <row r="98" ht="15" customHeight="1">
      <c r="A98" t="inlineStr">
        <is>
          <t>A 64251-2019</t>
        </is>
      </c>
      <c r="B98" s="1" t="n">
        <v>43797</v>
      </c>
      <c r="C98" s="1" t="n">
        <v>45698</v>
      </c>
      <c r="D98" t="inlineStr">
        <is>
          <t>NORRBOTTENS LÄN</t>
        </is>
      </c>
      <c r="E98" t="inlineStr">
        <is>
          <t>BODEN</t>
        </is>
      </c>
      <c r="F98" t="inlineStr">
        <is>
          <t>Övriga Aktiebolag</t>
        </is>
      </c>
      <c r="G98" t="n">
        <v>10.7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HYPERLINK("https://klasma.github.io/Logging_2582/artfynd/A 64251-2019 artfynd.xlsx", "A 64251-2019")</f>
        <v/>
      </c>
      <c r="T98">
        <f>HYPERLINK("https://klasma.github.io/Logging_2582/kartor/A 64251-2019 karta.png", "A 64251-2019")</f>
        <v/>
      </c>
      <c r="V98">
        <f>HYPERLINK("https://klasma.github.io/Logging_2582/klagomål/A 64251-2019 FSC-klagomål.docx", "A 64251-2019")</f>
        <v/>
      </c>
      <c r="W98">
        <f>HYPERLINK("https://klasma.github.io/Logging_2582/klagomålsmail/A 64251-2019 FSC-klagomål mail.docx", "A 64251-2019")</f>
        <v/>
      </c>
      <c r="X98">
        <f>HYPERLINK("https://klasma.github.io/Logging_2582/tillsyn/A 64251-2019 tillsynsbegäran.docx", "A 64251-2019")</f>
        <v/>
      </c>
      <c r="Y98">
        <f>HYPERLINK("https://klasma.github.io/Logging_2582/tillsynsmail/A 64251-2019 tillsynsbegäran mail.docx", "A 64251-2019")</f>
        <v/>
      </c>
    </row>
    <row r="99" ht="15" customHeight="1">
      <c r="A99" t="inlineStr">
        <is>
          <t>A 23473-2020</t>
        </is>
      </c>
      <c r="B99" s="1" t="n">
        <v>43966</v>
      </c>
      <c r="C99" s="1" t="n">
        <v>45698</v>
      </c>
      <c r="D99" t="inlineStr">
        <is>
          <t>NORRBOTTENS LÄN</t>
        </is>
      </c>
      <c r="E99" t="inlineStr">
        <is>
          <t>BODEN</t>
        </is>
      </c>
      <c r="G99" t="n">
        <v>24.7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HYPERLINK("https://klasma.github.io/Logging_2582/artfynd/A 23473-2020 artfynd.xlsx", "A 23473-2020")</f>
        <v/>
      </c>
      <c r="T99">
        <f>HYPERLINK("https://klasma.github.io/Logging_2582/kartor/A 23473-2020 karta.png", "A 23473-2020")</f>
        <v/>
      </c>
      <c r="V99">
        <f>HYPERLINK("https://klasma.github.io/Logging_2582/klagomål/A 23473-2020 FSC-klagomål.docx", "A 23473-2020")</f>
        <v/>
      </c>
      <c r="W99">
        <f>HYPERLINK("https://klasma.github.io/Logging_2582/klagomålsmail/A 23473-2020 FSC-klagomål mail.docx", "A 23473-2020")</f>
        <v/>
      </c>
      <c r="X99">
        <f>HYPERLINK("https://klasma.github.io/Logging_2582/tillsyn/A 23473-2020 tillsynsbegäran.docx", "A 23473-2020")</f>
        <v/>
      </c>
      <c r="Y99">
        <f>HYPERLINK("https://klasma.github.io/Logging_2582/tillsynsmail/A 23473-2020 tillsynsbegäran mail.docx", "A 23473-2020")</f>
        <v/>
      </c>
    </row>
    <row r="100" ht="15" customHeight="1">
      <c r="A100" t="inlineStr">
        <is>
          <t>A 39034-2020</t>
        </is>
      </c>
      <c r="B100" s="1" t="n">
        <v>44062</v>
      </c>
      <c r="C100" s="1" t="n">
        <v>45698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HYPERLINK("https://klasma.github.io/Logging_2582/artfynd/A 39034-2020 artfynd.xlsx", "A 39034-2020")</f>
        <v/>
      </c>
      <c r="T100">
        <f>HYPERLINK("https://klasma.github.io/Logging_2582/kartor/A 39034-2020 karta.png", "A 39034-2020")</f>
        <v/>
      </c>
      <c r="V100">
        <f>HYPERLINK("https://klasma.github.io/Logging_2582/klagomål/A 39034-2020 FSC-klagomål.docx", "A 39034-2020")</f>
        <v/>
      </c>
      <c r="W100">
        <f>HYPERLINK("https://klasma.github.io/Logging_2582/klagomålsmail/A 39034-2020 FSC-klagomål mail.docx", "A 39034-2020")</f>
        <v/>
      </c>
      <c r="X100">
        <f>HYPERLINK("https://klasma.github.io/Logging_2582/tillsyn/A 39034-2020 tillsynsbegäran.docx", "A 39034-2020")</f>
        <v/>
      </c>
      <c r="Y100">
        <f>HYPERLINK("https://klasma.github.io/Logging_2582/tillsynsmail/A 39034-2020 tillsynsbegäran mail.docx", "A 39034-2020")</f>
        <v/>
      </c>
    </row>
    <row r="101" ht="15" customHeight="1">
      <c r="A101" t="inlineStr">
        <is>
          <t>A 39599-2020</t>
        </is>
      </c>
      <c r="B101" s="1" t="n">
        <v>44064</v>
      </c>
      <c r="C101" s="1" t="n">
        <v>45698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39599-2020 artfynd.xlsx", "A 39599-2020")</f>
        <v/>
      </c>
      <c r="T101">
        <f>HYPERLINK("https://klasma.github.io/Logging_2582/kartor/A 39599-2020 karta.png", "A 39599-2020")</f>
        <v/>
      </c>
      <c r="U101">
        <f>HYPERLINK("https://klasma.github.io/Logging_2582/knärot/A 39599-2020 karta knärot.png", "A 39599-2020")</f>
        <v/>
      </c>
      <c r="V101">
        <f>HYPERLINK("https://klasma.github.io/Logging_2582/klagomål/A 39599-2020 FSC-klagomål.docx", "A 39599-2020")</f>
        <v/>
      </c>
      <c r="W101">
        <f>HYPERLINK("https://klasma.github.io/Logging_2582/klagomålsmail/A 39599-2020 FSC-klagomål mail.docx", "A 39599-2020")</f>
        <v/>
      </c>
      <c r="X101">
        <f>HYPERLINK("https://klasma.github.io/Logging_2582/tillsyn/A 39599-2020 tillsynsbegäran.docx", "A 39599-2020")</f>
        <v/>
      </c>
      <c r="Y101">
        <f>HYPERLINK("https://klasma.github.io/Logging_2582/tillsynsmail/A 39599-2020 tillsynsbegäran mail.docx", "A 39599-2020")</f>
        <v/>
      </c>
    </row>
    <row r="102" ht="15" customHeight="1">
      <c r="A102" t="inlineStr">
        <is>
          <t>A 43643-2020</t>
        </is>
      </c>
      <c r="B102" s="1" t="n">
        <v>44082</v>
      </c>
      <c r="C102" s="1" t="n">
        <v>45698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Blå taggsvamp</t>
        </is>
      </c>
      <c r="S102">
        <f>HYPERLINK("https://klasma.github.io/Logging_2582/artfynd/A 43643-2020 artfynd.xlsx", "A 43643-2020")</f>
        <v/>
      </c>
      <c r="T102">
        <f>HYPERLINK("https://klasma.github.io/Logging_2582/kartor/A 43643-2020 karta.png", "A 43643-2020")</f>
        <v/>
      </c>
      <c r="V102">
        <f>HYPERLINK("https://klasma.github.io/Logging_2582/klagomål/A 43643-2020 FSC-klagomål.docx", "A 43643-2020")</f>
        <v/>
      </c>
      <c r="W102">
        <f>HYPERLINK("https://klasma.github.io/Logging_2582/klagomålsmail/A 43643-2020 FSC-klagomål mail.docx", "A 43643-2020")</f>
        <v/>
      </c>
      <c r="X102">
        <f>HYPERLINK("https://klasma.github.io/Logging_2582/tillsyn/A 43643-2020 tillsynsbegäran.docx", "A 43643-2020")</f>
        <v/>
      </c>
      <c r="Y102">
        <f>HYPERLINK("https://klasma.github.io/Logging_2582/tillsynsmail/A 43643-2020 tillsynsbegäran mail.docx", "A 43643-2020")</f>
        <v/>
      </c>
    </row>
    <row r="103" ht="15" customHeight="1">
      <c r="A103" t="inlineStr">
        <is>
          <t>A 45184-2020</t>
        </is>
      </c>
      <c r="B103" s="1" t="n">
        <v>44088</v>
      </c>
      <c r="C103" s="1" t="n">
        <v>45698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HYPERLINK("https://klasma.github.io/Logging_2582/artfynd/A 45184-2020 artfynd.xlsx", "A 45184-2020")</f>
        <v/>
      </c>
      <c r="T103">
        <f>HYPERLINK("https://klasma.github.io/Logging_2582/kartor/A 45184-2020 karta.png", "A 45184-2020")</f>
        <v/>
      </c>
      <c r="V103">
        <f>HYPERLINK("https://klasma.github.io/Logging_2582/klagomål/A 45184-2020 FSC-klagomål.docx", "A 45184-2020")</f>
        <v/>
      </c>
      <c r="W103">
        <f>HYPERLINK("https://klasma.github.io/Logging_2582/klagomålsmail/A 45184-2020 FSC-klagomål mail.docx", "A 45184-2020")</f>
        <v/>
      </c>
      <c r="X103">
        <f>HYPERLINK("https://klasma.github.io/Logging_2582/tillsyn/A 45184-2020 tillsynsbegäran.docx", "A 45184-2020")</f>
        <v/>
      </c>
      <c r="Y103">
        <f>HYPERLINK("https://klasma.github.io/Logging_2582/tillsynsmail/A 45184-2020 tillsynsbegäran mail.docx", "A 45184-2020")</f>
        <v/>
      </c>
    </row>
    <row r="104" ht="15" customHeight="1">
      <c r="A104" t="inlineStr">
        <is>
          <t>A 30881-2021</t>
        </is>
      </c>
      <c r="B104" s="1" t="n">
        <v>44365</v>
      </c>
      <c r="C104" s="1" t="n">
        <v>45698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Tallgråticka</t>
        </is>
      </c>
      <c r="S104">
        <f>HYPERLINK("https://klasma.github.io/Logging_2582/artfynd/A 30881-2021 artfynd.xlsx", "A 30881-2021")</f>
        <v/>
      </c>
      <c r="T104">
        <f>HYPERLINK("https://klasma.github.io/Logging_2582/kartor/A 30881-2021 karta.png", "A 30881-2021")</f>
        <v/>
      </c>
      <c r="V104">
        <f>HYPERLINK("https://klasma.github.io/Logging_2582/klagomål/A 30881-2021 FSC-klagomål.docx", "A 30881-2021")</f>
        <v/>
      </c>
      <c r="W104">
        <f>HYPERLINK("https://klasma.github.io/Logging_2582/klagomålsmail/A 30881-2021 FSC-klagomål mail.docx", "A 30881-2021")</f>
        <v/>
      </c>
      <c r="X104">
        <f>HYPERLINK("https://klasma.github.io/Logging_2582/tillsyn/A 30881-2021 tillsynsbegäran.docx", "A 30881-2021")</f>
        <v/>
      </c>
      <c r="Y104">
        <f>HYPERLINK("https://klasma.github.io/Logging_2582/tillsynsmail/A 30881-2021 tillsynsbegäran mail.docx", "A 30881-2021")</f>
        <v/>
      </c>
    </row>
    <row r="105" ht="15" customHeight="1">
      <c r="A105" t="inlineStr">
        <is>
          <t>A 30850-2021</t>
        </is>
      </c>
      <c r="B105" s="1" t="n">
        <v>44365</v>
      </c>
      <c r="C105" s="1" t="n">
        <v>45698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HYPERLINK("https://klasma.github.io/Logging_2582/artfynd/A 30850-2021 artfynd.xlsx", "A 30850-2021")</f>
        <v/>
      </c>
      <c r="T105">
        <f>HYPERLINK("https://klasma.github.io/Logging_2582/kartor/A 30850-2021 karta.png", "A 30850-2021")</f>
        <v/>
      </c>
      <c r="V105">
        <f>HYPERLINK("https://klasma.github.io/Logging_2582/klagomål/A 30850-2021 FSC-klagomål.docx", "A 30850-2021")</f>
        <v/>
      </c>
      <c r="W105">
        <f>HYPERLINK("https://klasma.github.io/Logging_2582/klagomålsmail/A 30850-2021 FSC-klagomål mail.docx", "A 30850-2021")</f>
        <v/>
      </c>
      <c r="X105">
        <f>HYPERLINK("https://klasma.github.io/Logging_2582/tillsyn/A 30850-2021 tillsynsbegäran.docx", "A 30850-2021")</f>
        <v/>
      </c>
      <c r="Y105">
        <f>HYPERLINK("https://klasma.github.io/Logging_2582/tillsynsmail/A 30850-2021 tillsynsbegäran mail.docx", "A 30850-2021")</f>
        <v/>
      </c>
    </row>
    <row r="106" ht="15" customHeight="1">
      <c r="A106" t="inlineStr">
        <is>
          <t>A 40779-2021</t>
        </is>
      </c>
      <c r="B106" s="1" t="n">
        <v>44421</v>
      </c>
      <c r="C106" s="1" t="n">
        <v>45698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HYPERLINK("https://klasma.github.io/Logging_2582/artfynd/A 40779-2021 artfynd.xlsx", "A 40779-2021")</f>
        <v/>
      </c>
      <c r="T106">
        <f>HYPERLINK("https://klasma.github.io/Logging_2582/kartor/A 40779-2021 karta.png", "A 40779-2021")</f>
        <v/>
      </c>
      <c r="V106">
        <f>HYPERLINK("https://klasma.github.io/Logging_2582/klagomål/A 40779-2021 FSC-klagomål.docx", "A 40779-2021")</f>
        <v/>
      </c>
      <c r="W106">
        <f>HYPERLINK("https://klasma.github.io/Logging_2582/klagomålsmail/A 40779-2021 FSC-klagomål mail.docx", "A 40779-2021")</f>
        <v/>
      </c>
      <c r="X106">
        <f>HYPERLINK("https://klasma.github.io/Logging_2582/tillsyn/A 40779-2021 tillsynsbegäran.docx", "A 40779-2021")</f>
        <v/>
      </c>
      <c r="Y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46425-2021</t>
        </is>
      </c>
      <c r="B107" s="1" t="n">
        <v>44445</v>
      </c>
      <c r="C107" s="1" t="n">
        <v>45698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Rödvingetrast</t>
        </is>
      </c>
      <c r="S107">
        <f>HYPERLINK("https://klasma.github.io/Logging_2582/artfynd/A 46425-2021 artfynd.xlsx", "A 46425-2021")</f>
        <v/>
      </c>
      <c r="T107">
        <f>HYPERLINK("https://klasma.github.io/Logging_2582/kartor/A 46425-2021 karta.png", "A 46425-2021")</f>
        <v/>
      </c>
      <c r="V107">
        <f>HYPERLINK("https://klasma.github.io/Logging_2582/klagomål/A 46425-2021 FSC-klagomål.docx", "A 46425-2021")</f>
        <v/>
      </c>
      <c r="W107">
        <f>HYPERLINK("https://klasma.github.io/Logging_2582/klagomålsmail/A 46425-2021 FSC-klagomål mail.docx", "A 46425-2021")</f>
        <v/>
      </c>
      <c r="X107">
        <f>HYPERLINK("https://klasma.github.io/Logging_2582/tillsyn/A 46425-2021 tillsynsbegäran.docx", "A 46425-2021")</f>
        <v/>
      </c>
      <c r="Y107">
        <f>HYPERLINK("https://klasma.github.io/Logging_2582/tillsynsmail/A 46425-2021 tillsynsbegäran mail.docx", "A 46425-2021")</f>
        <v/>
      </c>
      <c r="Z107">
        <f>HYPERLINK("https://klasma.github.io/Logging_2582/fåglar/A 46425-2021 prioriterade fågelarter.docx", "A 46425-2021")</f>
        <v/>
      </c>
    </row>
    <row r="108" ht="15" customHeight="1">
      <c r="A108" t="inlineStr">
        <is>
          <t>A 47030-2021</t>
        </is>
      </c>
      <c r="B108" s="1" t="n">
        <v>44446</v>
      </c>
      <c r="C108" s="1" t="n">
        <v>45698</v>
      </c>
      <c r="D108" t="inlineStr">
        <is>
          <t>NORRBOTTENS LÄN</t>
        </is>
      </c>
      <c r="E108" t="inlineStr">
        <is>
          <t>BODEN</t>
        </is>
      </c>
      <c r="G108" t="n">
        <v>3.3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HYPERLINK("https://klasma.github.io/Logging_2582/artfynd/A 47030-2021 artfynd.xlsx", "A 47030-2021")</f>
        <v/>
      </c>
      <c r="T108">
        <f>HYPERLINK("https://klasma.github.io/Logging_2582/kartor/A 47030-2021 karta.png", "A 47030-2021")</f>
        <v/>
      </c>
      <c r="V108">
        <f>HYPERLINK("https://klasma.github.io/Logging_2582/klagomål/A 47030-2021 FSC-klagomål.docx", "A 47030-2021")</f>
        <v/>
      </c>
      <c r="W108">
        <f>HYPERLINK("https://klasma.github.io/Logging_2582/klagomålsmail/A 47030-2021 FSC-klagomål mail.docx", "A 47030-2021")</f>
        <v/>
      </c>
      <c r="X108">
        <f>HYPERLINK("https://klasma.github.io/Logging_2582/tillsyn/A 47030-2021 tillsynsbegäran.docx", "A 47030-2021")</f>
        <v/>
      </c>
      <c r="Y108">
        <f>HYPERLINK("https://klasma.github.io/Logging_2582/tillsynsmail/A 47030-2021 tillsynsbegäran mail.docx", "A 47030-2021")</f>
        <v/>
      </c>
      <c r="Z108">
        <f>HYPERLINK("https://klasma.github.io/Logging_2582/fåglar/A 47030-2021 prioriterade fågelarter.docx", "A 47030-2021")</f>
        <v/>
      </c>
    </row>
    <row r="109" ht="15" customHeight="1">
      <c r="A109" t="inlineStr">
        <is>
          <t>A 13647-2022</t>
        </is>
      </c>
      <c r="B109" s="1" t="n">
        <v>44648</v>
      </c>
      <c r="C109" s="1" t="n">
        <v>45698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HYPERLINK("https://klasma.github.io/Logging_2582/artfynd/A 13647-2022 artfynd.xlsx", "A 13647-2022")</f>
        <v/>
      </c>
      <c r="T109">
        <f>HYPERLINK("https://klasma.github.io/Logging_2582/kartor/A 13647-2022 karta.png", "A 13647-2022")</f>
        <v/>
      </c>
      <c r="V109">
        <f>HYPERLINK("https://klasma.github.io/Logging_2582/klagomål/A 13647-2022 FSC-klagomål.docx", "A 13647-2022")</f>
        <v/>
      </c>
      <c r="W109">
        <f>HYPERLINK("https://klasma.github.io/Logging_2582/klagomålsmail/A 13647-2022 FSC-klagomål mail.docx", "A 13647-2022")</f>
        <v/>
      </c>
      <c r="X109">
        <f>HYPERLINK("https://klasma.github.io/Logging_2582/tillsyn/A 13647-2022 tillsynsbegäran.docx", "A 13647-2022")</f>
        <v/>
      </c>
      <c r="Y109">
        <f>HYPERLINK("https://klasma.github.io/Logging_2582/tillsynsmail/A 13647-2022 tillsynsbegäran mail.docx", "A 13647-2022")</f>
        <v/>
      </c>
    </row>
    <row r="110" ht="15" customHeight="1">
      <c r="A110" t="inlineStr">
        <is>
          <t>A 19396-2022</t>
        </is>
      </c>
      <c r="B110" s="1" t="n">
        <v>44692</v>
      </c>
      <c r="C110" s="1" t="n">
        <v>45698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13.1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HYPERLINK("https://klasma.github.io/Logging_2582/artfynd/A 19396-2022 artfynd.xlsx", "A 19396-2022")</f>
        <v/>
      </c>
      <c r="T110">
        <f>HYPERLINK("https://klasma.github.io/Logging_2582/kartor/A 19396-2022 karta.png", "A 19396-2022")</f>
        <v/>
      </c>
      <c r="V110">
        <f>HYPERLINK("https://klasma.github.io/Logging_2582/klagomål/A 19396-2022 FSC-klagomål.docx", "A 19396-2022")</f>
        <v/>
      </c>
      <c r="W110">
        <f>HYPERLINK("https://klasma.github.io/Logging_2582/klagomålsmail/A 19396-2022 FSC-klagomål mail.docx", "A 19396-2022")</f>
        <v/>
      </c>
      <c r="X110">
        <f>HYPERLINK("https://klasma.github.io/Logging_2582/tillsyn/A 19396-2022 tillsynsbegäran.docx", "A 19396-2022")</f>
        <v/>
      </c>
      <c r="Y110">
        <f>HYPERLINK("https://klasma.github.io/Logging_2582/tillsynsmail/A 19396-2022 tillsynsbegäran mail.docx", "A 19396-2022")</f>
        <v/>
      </c>
    </row>
    <row r="111" ht="15" customHeight="1">
      <c r="A111" t="inlineStr">
        <is>
          <t>A 33740-2022</t>
        </is>
      </c>
      <c r="B111" s="1" t="n">
        <v>44790</v>
      </c>
      <c r="C111" s="1" t="n">
        <v>45698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4.9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33740-2022 artfynd.xlsx", "A 33740-2022")</f>
        <v/>
      </c>
      <c r="T111">
        <f>HYPERLINK("https://klasma.github.io/Logging_2582/kartor/A 33740-2022 karta.png", "A 33740-2022")</f>
        <v/>
      </c>
      <c r="V111">
        <f>HYPERLINK("https://klasma.github.io/Logging_2582/klagomål/A 33740-2022 FSC-klagomål.docx", "A 33740-2022")</f>
        <v/>
      </c>
      <c r="W111">
        <f>HYPERLINK("https://klasma.github.io/Logging_2582/klagomålsmail/A 33740-2022 FSC-klagomål mail.docx", "A 33740-2022")</f>
        <v/>
      </c>
      <c r="X111">
        <f>HYPERLINK("https://klasma.github.io/Logging_2582/tillsyn/A 33740-2022 tillsynsbegäran.docx", "A 33740-2022")</f>
        <v/>
      </c>
      <c r="Y111">
        <f>HYPERLINK("https://klasma.github.io/Logging_2582/tillsynsmail/A 33740-2022 tillsynsbegäran mail.docx", "A 33740-2022")</f>
        <v/>
      </c>
    </row>
    <row r="112" ht="15" customHeight="1">
      <c r="A112" t="inlineStr">
        <is>
          <t>A 35037-2022</t>
        </is>
      </c>
      <c r="B112" s="1" t="n">
        <v>44796</v>
      </c>
      <c r="C112" s="1" t="n">
        <v>45698</v>
      </c>
      <c r="D112" t="inlineStr">
        <is>
          <t>NORRBOTTENS LÄN</t>
        </is>
      </c>
      <c r="E112" t="inlineStr">
        <is>
          <t>BODEN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Rödvingetrast</t>
        </is>
      </c>
      <c r="S112">
        <f>HYPERLINK("https://klasma.github.io/Logging_2582/artfynd/A 35037-2022 artfynd.xlsx", "A 35037-2022")</f>
        <v/>
      </c>
      <c r="T112">
        <f>HYPERLINK("https://klasma.github.io/Logging_2582/kartor/A 35037-2022 karta.png", "A 35037-2022")</f>
        <v/>
      </c>
      <c r="V112">
        <f>HYPERLINK("https://klasma.github.io/Logging_2582/klagomål/A 35037-2022 FSC-klagomål.docx", "A 35037-2022")</f>
        <v/>
      </c>
      <c r="W112">
        <f>HYPERLINK("https://klasma.github.io/Logging_2582/klagomålsmail/A 35037-2022 FSC-klagomål mail.docx", "A 35037-2022")</f>
        <v/>
      </c>
      <c r="X112">
        <f>HYPERLINK("https://klasma.github.io/Logging_2582/tillsyn/A 35037-2022 tillsynsbegäran.docx", "A 35037-2022")</f>
        <v/>
      </c>
      <c r="Y112">
        <f>HYPERLINK("https://klasma.github.io/Logging_2582/tillsynsmail/A 35037-2022 tillsynsbegäran mail.docx", "A 35037-2022")</f>
        <v/>
      </c>
      <c r="Z112">
        <f>HYPERLINK("https://klasma.github.io/Logging_2582/fåglar/A 35037-2022 prioriterade fågelarter.docx", "A 35037-2022")</f>
        <v/>
      </c>
    </row>
    <row r="113" ht="15" customHeight="1">
      <c r="A113" t="inlineStr">
        <is>
          <t>A 44255-2022</t>
        </is>
      </c>
      <c r="B113" s="1" t="n">
        <v>44839</v>
      </c>
      <c r="C113" s="1" t="n">
        <v>45698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4.2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44255-2022 artfynd.xlsx", "A 44255-2022")</f>
        <v/>
      </c>
      <c r="T113">
        <f>HYPERLINK("https://klasma.github.io/Logging_2582/kartor/A 44255-2022 karta.png", "A 44255-2022")</f>
        <v/>
      </c>
      <c r="V113">
        <f>HYPERLINK("https://klasma.github.io/Logging_2582/klagomål/A 44255-2022 FSC-klagomål.docx", "A 44255-2022")</f>
        <v/>
      </c>
      <c r="W113">
        <f>HYPERLINK("https://klasma.github.io/Logging_2582/klagomålsmail/A 44255-2022 FSC-klagomål mail.docx", "A 44255-2022")</f>
        <v/>
      </c>
      <c r="X113">
        <f>HYPERLINK("https://klasma.github.io/Logging_2582/tillsyn/A 44255-2022 tillsynsbegäran.docx", "A 44255-2022")</f>
        <v/>
      </c>
      <c r="Y113">
        <f>HYPERLINK("https://klasma.github.io/Logging_2582/tillsynsmail/A 44255-2022 tillsynsbegäran mail.docx", "A 44255-2022")</f>
        <v/>
      </c>
    </row>
    <row r="114" ht="15" customHeight="1">
      <c r="A114" t="inlineStr">
        <is>
          <t>A 44768-2022</t>
        </is>
      </c>
      <c r="B114" s="1" t="n">
        <v>44840</v>
      </c>
      <c r="C114" s="1" t="n">
        <v>45698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HYPERLINK("https://klasma.github.io/Logging_2582/artfynd/A 44768-2022 artfynd.xlsx", "A 44768-2022")</f>
        <v/>
      </c>
      <c r="T114">
        <f>HYPERLINK("https://klasma.github.io/Logging_2582/kartor/A 44768-2022 karta.png", "A 44768-2022")</f>
        <v/>
      </c>
      <c r="V114">
        <f>HYPERLINK("https://klasma.github.io/Logging_2582/klagomål/A 44768-2022 FSC-klagomål.docx", "A 44768-2022")</f>
        <v/>
      </c>
      <c r="W114">
        <f>HYPERLINK("https://klasma.github.io/Logging_2582/klagomålsmail/A 44768-2022 FSC-klagomål mail.docx", "A 44768-2022")</f>
        <v/>
      </c>
      <c r="X114">
        <f>HYPERLINK("https://klasma.github.io/Logging_2582/tillsyn/A 44768-2022 tillsynsbegäran.docx", "A 44768-2022")</f>
        <v/>
      </c>
      <c r="Y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45941-2022</t>
        </is>
      </c>
      <c r="B115" s="1" t="n">
        <v>44846</v>
      </c>
      <c r="C115" s="1" t="n">
        <v>45698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45941-2022 artfynd.xlsx", "A 45941-2022")</f>
        <v/>
      </c>
      <c r="T115">
        <f>HYPERLINK("https://klasma.github.io/Logging_2582/kartor/A 45941-2022 karta.png", "A 45941-2022")</f>
        <v/>
      </c>
      <c r="V115">
        <f>HYPERLINK("https://klasma.github.io/Logging_2582/klagomål/A 45941-2022 FSC-klagomål.docx", "A 45941-2022")</f>
        <v/>
      </c>
      <c r="W115">
        <f>HYPERLINK("https://klasma.github.io/Logging_2582/klagomålsmail/A 45941-2022 FSC-klagomål mail.docx", "A 45941-2022")</f>
        <v/>
      </c>
      <c r="X115">
        <f>HYPERLINK("https://klasma.github.io/Logging_2582/tillsyn/A 45941-2022 tillsynsbegäran.docx", "A 45941-2022")</f>
        <v/>
      </c>
      <c r="Y115">
        <f>HYPERLINK("https://klasma.github.io/Logging_2582/tillsynsmail/A 45941-2022 tillsynsbegäran mail.docx", "A 45941-2022")</f>
        <v/>
      </c>
    </row>
    <row r="116" ht="15" customHeight="1">
      <c r="A116" t="inlineStr">
        <is>
          <t>A 47498-2022</t>
        </is>
      </c>
      <c r="B116" s="1" t="n">
        <v>44853</v>
      </c>
      <c r="C116" s="1" t="n">
        <v>45698</v>
      </c>
      <c r="D116" t="inlineStr">
        <is>
          <t>NORRBOTTENS LÄN</t>
        </is>
      </c>
      <c r="E116" t="inlineStr">
        <is>
          <t>BODEN</t>
        </is>
      </c>
      <c r="F116" t="inlineStr">
        <is>
          <t>Kommuner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HYPERLINK("https://klasma.github.io/Logging_2582/artfynd/A 47498-2022 artfynd.xlsx", "A 47498-2022")</f>
        <v/>
      </c>
      <c r="T116">
        <f>HYPERLINK("https://klasma.github.io/Logging_2582/kartor/A 47498-2022 karta.png", "A 47498-2022")</f>
        <v/>
      </c>
      <c r="V116">
        <f>HYPERLINK("https://klasma.github.io/Logging_2582/klagomål/A 47498-2022 FSC-klagomål.docx", "A 47498-2022")</f>
        <v/>
      </c>
      <c r="W116">
        <f>HYPERLINK("https://klasma.github.io/Logging_2582/klagomålsmail/A 47498-2022 FSC-klagomål mail.docx", "A 47498-2022")</f>
        <v/>
      </c>
      <c r="X116">
        <f>HYPERLINK("https://klasma.github.io/Logging_2582/tillsyn/A 47498-2022 tillsynsbegäran.docx", "A 47498-2022")</f>
        <v/>
      </c>
      <c r="Y116">
        <f>HYPERLINK("https://klasma.github.io/Logging_2582/tillsynsmail/A 47498-2022 tillsynsbegäran mail.docx", "A 47498-2022")</f>
        <v/>
      </c>
      <c r="Z116">
        <f>HYPERLINK("https://klasma.github.io/Logging_2582/fåglar/A 47498-2022 prioriterade fågelarter.docx", "A 47498-2022")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45698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45698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45698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45698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45698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45698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45698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45698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45698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45698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45698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45698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45698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45698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45698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45698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45698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45698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45698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45698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45698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45698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45698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45698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45698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45698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45698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45698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45698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45698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45698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45698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45698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45698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45698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45698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45698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45698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45698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45698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45698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45698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45698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45698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45698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45698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45698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45698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45698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45698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45698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45698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45698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45698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45698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45698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45698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45698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45698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45698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45698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45698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45698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45698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45698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45698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45698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45698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45698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45698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45698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45698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45698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45698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45698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45698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45698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45698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45698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45698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45698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45698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45698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45698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45698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45698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45698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45698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45698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45698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45698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45698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45698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45698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45698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45698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45698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45698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45698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45698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45698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45698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45698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45698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45698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45698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45698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45698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45698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45698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45698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45698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45698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45698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45698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45698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45698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45698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45698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45698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45698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45698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45698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45698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45698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45698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45698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45698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45698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45698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45698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45698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45698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45698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45698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45698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45698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45698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45698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45698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45698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45698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45698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45698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45698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45698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45698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45698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45698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45698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45698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45698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45698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45698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45698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45698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45698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45698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45698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45698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45698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45698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45698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45698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45698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45698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45698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45698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45698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45698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45698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45698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45698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45698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45698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45698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45698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45698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45698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45698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45698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45698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45698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45698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45698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45698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45698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45698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45698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45698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45698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45698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45698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45698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45698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45698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45698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45698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45698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45698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45698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45698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45698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45698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45698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45698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45698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45698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45698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45698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45698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45698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45698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45698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45698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45698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45698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45698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45698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45698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45698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45698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45698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45698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45698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45698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45698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45698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45698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45698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45698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45698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45698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45698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45698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45698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45698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45698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45698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45698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45698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45698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45698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45698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45698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45698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45698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45698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45698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45698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45698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45698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45698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45698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45698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45698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45698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45698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45698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45698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45698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45698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45698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45698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45698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45698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45698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45698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45698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45698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45698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45698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45698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45698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45698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45698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45698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45698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45698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45698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45698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45698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45698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45698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45698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45698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45698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45698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45698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45698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45698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45698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45698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45698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45698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45698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45698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45698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45698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45698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45698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45698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45698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45698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45698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45698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45698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45698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45698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45698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45698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45698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45698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45698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45698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45698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45698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45698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45698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45698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45698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45698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45698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45698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45698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45698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45698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45698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45698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45698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45698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45698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45698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45698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45698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45698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45698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45698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45698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45698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45698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45698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45698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45698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45698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45698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45698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45698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45698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45698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45698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45698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45698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45698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45698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45698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45698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45698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45698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45698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45698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45698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45698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45698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45698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45698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45698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45698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45698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45698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45698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45698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45698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45698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45698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45698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45698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45698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45698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45698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45698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45698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45698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45698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45698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45698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45698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45698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45698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45698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45698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45698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45698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45698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45698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45698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45698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45698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45698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45698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45698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45698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45698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45698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45698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45698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45698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45698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45698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45698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45698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45698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45698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45698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45698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45698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45698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45698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45698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45698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45698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45698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45698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45698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45698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45698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45698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45698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45698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45698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45698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45698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45698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45698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45698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45698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45698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45698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45698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45698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45698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45698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45698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45698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45698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45698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45698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45698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45698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45698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45698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45698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45698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45698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45698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45698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45698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45698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45698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45698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45698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45698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45698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45698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45698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45698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45698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45698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45698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45698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45698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45698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45698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45698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45698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45698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45698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45698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45698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45698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45698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45698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45698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45698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45698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45698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45698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45698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45698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45698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45698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45698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45698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45698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45698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45698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45698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45698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45698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45698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45698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45698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45698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45698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45698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45698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45698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45698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45698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45698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45698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45698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45698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45698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45698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45698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45698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45698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45698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45698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45698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45698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45698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45698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45698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45698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45698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45698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45698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45698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45698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45698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45698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45698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45698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45698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45698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45698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45698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45698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45698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45698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45698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45698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45698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45698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45698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45698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45698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45698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45698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45698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45698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45698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45698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45698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45698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45698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45698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45698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45698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45698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45698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45698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45698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45698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45698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45698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45698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45698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45698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45698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45698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45698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45698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45698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45698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45698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45698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45698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45698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45698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45698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45698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45698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45698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45698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45698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45698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45698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45698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45698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45698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45698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45698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45698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45698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45698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45698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45698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45698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45698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45698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45698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45698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45698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45698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45698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45698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45698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45698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45698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45698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45698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45698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45698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45698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45698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45698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45698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45698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45698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45698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45698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45698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45698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45698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45698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45698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45698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45698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45698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45698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45698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45698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45698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45698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45698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45698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45698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45698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45698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45698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45698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45698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45698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45698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45698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45698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45698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45698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45698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45698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45698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45698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45698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45698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45698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45698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45698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45698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45698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45698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45698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45698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45698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45698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45698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45698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45698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45698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45698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45698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45698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45698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45698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45698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45698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45698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45698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45698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45698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45698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45698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45698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45698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45698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45698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45698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45698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45698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45698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45698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45698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45698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45698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45698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45698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45698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45698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45698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45698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45698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45698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45698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45698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45698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45698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45698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45698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45698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45698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45698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45698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45698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45698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45698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45698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45698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45698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45698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45698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45698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45698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45698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45698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45698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45698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45698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45698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45698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45698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45698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45698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45698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45698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45698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45698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45698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45698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45698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45698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45698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45698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45698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45698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45698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45698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45698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45698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45698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45698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45698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45698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45698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45698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45698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45698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45698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45698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45698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45698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45698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45698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45698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45698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45698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45698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45698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45698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45698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45698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45698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45698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45698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45698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45698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45698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45698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45698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45698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45698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45698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45698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45698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45698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45698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45698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45698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45698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45698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45698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45698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45698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45698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45698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45698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45698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45698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45698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45698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45698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45698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45698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45698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45698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45698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45698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45698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45698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45698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45698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45698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45698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45698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45698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45698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45698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45698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45698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45698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45698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45698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45698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45698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45698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45698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45698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45698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45698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45698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45698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45698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45698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45698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45698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45698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45698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45698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45698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45698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45698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45698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45698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45698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45698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45698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45698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45698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45698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45698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45698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45698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45698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45698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45698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45698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45698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45698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45698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45698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45698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45698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45698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45698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45698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45698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45698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45698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45698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45698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45698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45698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45698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45698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45698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45698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45698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45698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45698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45698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45698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45698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45698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45698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45698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45698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45698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45698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45698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45698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45698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45698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45698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45698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45698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45698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45698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45698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45698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45698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45698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45698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45698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45698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45698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45698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45698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45698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45698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45698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45698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45698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45698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45698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45698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45698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45698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45698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45698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45698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45698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45698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45698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45698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45698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45698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45698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45698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45698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45698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45698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45698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45698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45698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45698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45698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45698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45698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45698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45698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45698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45698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45698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45698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45698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45698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45698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45698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45698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45698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45698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45698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45698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45698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45698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45698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45698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45698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45698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45698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45698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45698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45698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45698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45698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45698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45698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45698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45698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45698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45698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45698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45698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45698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45698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45698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45698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45698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45698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45698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45698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45698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45698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45698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45698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45698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45698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45698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45698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45698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45698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45698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45698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45698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45698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45698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45698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45698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45698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45698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45698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45698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45698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45698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45698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45698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45698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45698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45698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45698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45698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45698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45698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45698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45698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45698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45698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45698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45698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45698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45698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45698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45698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45698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45698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45698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45698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45698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45698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45698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45698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45698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45698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45698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45698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45698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45698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45698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45698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45698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45698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45698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45698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45698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45698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45698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45698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45698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45698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45698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45698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45698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45698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45698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45698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45698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45698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45698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45698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45698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45698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45698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45698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45698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45698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45698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45698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45698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45698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45698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45698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45698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45698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45698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45698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45698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45698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45698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45698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45698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45698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45698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45698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45698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45698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45698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45698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45698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45698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45698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45698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45698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45698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45698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45698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45698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45698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45698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45698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45698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45698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45698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45698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45698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45698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45698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45698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45698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45698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45698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45698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45698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45698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45698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45698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45698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45698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45698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45698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45698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45698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45698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45698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45698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45698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45698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45698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45698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45698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45698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45698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45698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45698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45698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45698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45698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45698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45698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45698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45698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45698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45698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45698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45698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45698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45698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45698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45698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45698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45698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45698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45698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45698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45698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45698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45698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45698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45698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45698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45698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45698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45698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45698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45698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45698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45698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45698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45698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45698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45698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45698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45698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45698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45698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45698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45698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45698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45698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45698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45698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45698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45698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45698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45698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45698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45698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45698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45698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45698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45698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45698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45698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45698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45698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45698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45698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45698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45698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45698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45698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45698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45698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45698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45698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45698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45698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45698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45698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45698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45698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45698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45698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45698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45698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45698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45698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45698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45698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45698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45698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45698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45698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45698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45698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45698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45698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45698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45698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45698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45698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45698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45698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45698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45698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45698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45698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45698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45698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45698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45698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45698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45698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45698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45698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45698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45698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45698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45698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45698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45698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45698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45698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45698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45698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45698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45698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45698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45698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45698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45698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45698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45698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45698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45698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45698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45698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45698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45698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45698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45698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45698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45698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45698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45698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45698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45698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45698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45698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1195-2025</t>
        </is>
      </c>
      <c r="B1396" s="1" t="n">
        <v>45667</v>
      </c>
      <c r="C1396" s="1" t="n">
        <v>45698</v>
      </c>
      <c r="D1396" t="inlineStr">
        <is>
          <t>NORRBOTTENS LÄN</t>
        </is>
      </c>
      <c r="E1396" t="inlineStr">
        <is>
          <t>BODEN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1192-2025</t>
        </is>
      </c>
      <c r="B1397" s="1" t="n">
        <v>45667</v>
      </c>
      <c r="C1397" s="1" t="n">
        <v>45698</v>
      </c>
      <c r="D1397" t="inlineStr">
        <is>
          <t>NORRBOTTENS LÄN</t>
        </is>
      </c>
      <c r="E1397" t="inlineStr">
        <is>
          <t>BODEN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1205-2025</t>
        </is>
      </c>
      <c r="B1398" s="1" t="n">
        <v>45667</v>
      </c>
      <c r="C1398" s="1" t="n">
        <v>45698</v>
      </c>
      <c r="D1398" t="inlineStr">
        <is>
          <t>NORRBOTTENS LÄN</t>
        </is>
      </c>
      <c r="E1398" t="inlineStr">
        <is>
          <t>BODEN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1961-2025</t>
        </is>
      </c>
      <c r="B1399" s="1" t="n">
        <v>45672</v>
      </c>
      <c r="C1399" s="1" t="n">
        <v>45698</v>
      </c>
      <c r="D1399" t="inlineStr">
        <is>
          <t>NORRBOTTENS LÄN</t>
        </is>
      </c>
      <c r="E1399" t="inlineStr">
        <is>
          <t>BODEN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45698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45698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2547-2025</t>
        </is>
      </c>
      <c r="B1402" s="1" t="n">
        <v>45674</v>
      </c>
      <c r="C1402" s="1" t="n">
        <v>45698</v>
      </c>
      <c r="D1402" t="inlineStr">
        <is>
          <t>NORRBOTTENS LÄN</t>
        </is>
      </c>
      <c r="E1402" t="inlineStr">
        <is>
          <t>BODEN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45698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45698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45698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3436-2025</t>
        </is>
      </c>
      <c r="B1406" s="1" t="n">
        <v>45680</v>
      </c>
      <c r="C1406" s="1" t="n">
        <v>45698</v>
      </c>
      <c r="D1406" t="inlineStr">
        <is>
          <t>NORRBOTTENS LÄN</t>
        </is>
      </c>
      <c r="E1406" t="inlineStr">
        <is>
          <t>BODEN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3459-2025</t>
        </is>
      </c>
      <c r="B1407" s="1" t="n">
        <v>45680</v>
      </c>
      <c r="C1407" s="1" t="n">
        <v>45698</v>
      </c>
      <c r="D1407" t="inlineStr">
        <is>
          <t>NORRBOTTENS LÄN</t>
        </is>
      </c>
      <c r="E1407" t="inlineStr">
        <is>
          <t>BODEN</t>
        </is>
      </c>
      <c r="F1407" t="inlineStr">
        <is>
          <t>Naturvårdsverket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3501-2025</t>
        </is>
      </c>
      <c r="B1408" s="1" t="n">
        <v>45680</v>
      </c>
      <c r="C1408" s="1" t="n">
        <v>45698</v>
      </c>
      <c r="D1408" t="inlineStr">
        <is>
          <t>NORRBOTTENS LÄN</t>
        </is>
      </c>
      <c r="E1408" t="inlineStr">
        <is>
          <t>BODEN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3438-2025</t>
        </is>
      </c>
      <c r="B1409" s="1" t="n">
        <v>45680</v>
      </c>
      <c r="C1409" s="1" t="n">
        <v>45698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45698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45698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4254-2025</t>
        </is>
      </c>
      <c r="B1412" s="1" t="n">
        <v>45685</v>
      </c>
      <c r="C1412" s="1" t="n">
        <v>45698</v>
      </c>
      <c r="D1412" t="inlineStr">
        <is>
          <t>NORRBOTTENS LÄN</t>
        </is>
      </c>
      <c r="E1412" t="inlineStr">
        <is>
          <t>BODEN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4263-2025</t>
        </is>
      </c>
      <c r="B1413" s="1" t="n">
        <v>45685</v>
      </c>
      <c r="C1413" s="1" t="n">
        <v>45698</v>
      </c>
      <c r="D1413" t="inlineStr">
        <is>
          <t>NORRBOTTENS LÄN</t>
        </is>
      </c>
      <c r="E1413" t="inlineStr">
        <is>
          <t>BODEN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4395-2025</t>
        </is>
      </c>
      <c r="B1414" s="1" t="n">
        <v>45686</v>
      </c>
      <c r="C1414" s="1" t="n">
        <v>45698</v>
      </c>
      <c r="D1414" t="inlineStr">
        <is>
          <t>NORRBOTTENS LÄN</t>
        </is>
      </c>
      <c r="E1414" t="inlineStr">
        <is>
          <t>BODEN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4396-2025</t>
        </is>
      </c>
      <c r="B1415" s="1" t="n">
        <v>45686</v>
      </c>
      <c r="C1415" s="1" t="n">
        <v>45698</v>
      </c>
      <c r="D1415" t="inlineStr">
        <is>
          <t>NORRBOTTENS LÄN</t>
        </is>
      </c>
      <c r="E1415" t="inlineStr">
        <is>
          <t>BODEN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4394-2025</t>
        </is>
      </c>
      <c r="B1416" s="1" t="n">
        <v>45686</v>
      </c>
      <c r="C1416" s="1" t="n">
        <v>45698</v>
      </c>
      <c r="D1416" t="inlineStr">
        <is>
          <t>NORRBOTTENS LÄN</t>
        </is>
      </c>
      <c r="E1416" t="inlineStr">
        <is>
          <t>BODEN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4630-2025</t>
        </is>
      </c>
      <c r="B1417" s="1" t="n">
        <v>45687</v>
      </c>
      <c r="C1417" s="1" t="n">
        <v>45698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5071-2025</t>
        </is>
      </c>
      <c r="B1418" s="1" t="n">
        <v>45691</v>
      </c>
      <c r="C1418" s="1" t="n">
        <v>45698</v>
      </c>
      <c r="D1418" t="inlineStr">
        <is>
          <t>NORRBOTTENS LÄN</t>
        </is>
      </c>
      <c r="E1418" t="inlineStr">
        <is>
          <t>BODEN</t>
        </is>
      </c>
      <c r="F1418" t="inlineStr">
        <is>
          <t>SCA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5129-2025</t>
        </is>
      </c>
      <c r="B1419" s="1" t="n">
        <v>45691</v>
      </c>
      <c r="C1419" s="1" t="n">
        <v>45698</v>
      </c>
      <c r="D1419" t="inlineStr">
        <is>
          <t>NORRBOTTENS LÄN</t>
        </is>
      </c>
      <c r="E1419" t="inlineStr">
        <is>
          <t>BODEN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5452-2025</t>
        </is>
      </c>
      <c r="B1420" s="1" t="n">
        <v>45692</v>
      </c>
      <c r="C1420" s="1" t="n">
        <v>45698</v>
      </c>
      <c r="D1420" t="inlineStr">
        <is>
          <t>NORRBOTTENS LÄN</t>
        </is>
      </c>
      <c r="E1420" t="inlineStr">
        <is>
          <t>BODEN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5451-2025</t>
        </is>
      </c>
      <c r="B1421" s="1" t="n">
        <v>45692</v>
      </c>
      <c r="C1421" s="1" t="n">
        <v>45698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5285-2025</t>
        </is>
      </c>
      <c r="B1422" s="1" t="n">
        <v>45694</v>
      </c>
      <c r="C1422" s="1" t="n">
        <v>45698</v>
      </c>
      <c r="D1422" t="inlineStr">
        <is>
          <t>NORRBOTTENS LÄN</t>
        </is>
      </c>
      <c r="E1422" t="inlineStr">
        <is>
          <t>BODEN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5792-2025</t>
        </is>
      </c>
      <c r="B1423" s="1" t="n">
        <v>45694</v>
      </c>
      <c r="C1423" s="1" t="n">
        <v>45698</v>
      </c>
      <c r="D1423" t="inlineStr">
        <is>
          <t>NORRBOTTENS LÄN</t>
        </is>
      </c>
      <c r="E1423" t="inlineStr">
        <is>
          <t>BODEN</t>
        </is>
      </c>
      <c r="F1423" t="inlineStr">
        <is>
          <t>SCA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6084-2025</t>
        </is>
      </c>
      <c r="B1424" s="1" t="n">
        <v>45697</v>
      </c>
      <c r="C1424" s="1" t="n">
        <v>45698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2025-02-10T16:59:39Z</dcterms:created>
  <dcterms:modified xmlns:dcterms="http://purl.org/dc/terms/" xmlns:xsi="http://www.w3.org/2001/XMLSchema-instance" xsi:type="dcterms:W3CDTF">2025-02-10T16:59:40Z</dcterms:modified>
</cp:coreProperties>
</file>