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46270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46270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46270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46270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46270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46270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46270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46270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46270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46270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46270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46270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46270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46270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46270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46270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46270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46270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46270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46270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46270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46270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46270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46270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46270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46270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46270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46270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46270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19324-2024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45428</v>
      </c>
      <c r="E31" s="1" t="n">
        <v>46270</v>
      </c>
      <c r="F31" t="inlineStr">
        <is>
          <t>NORRBOTTENS LÄN</t>
        </is>
      </c>
      <c r="G31" t="inlineStr">
        <is>
          <t>BODEN</t>
        </is>
      </c>
      <c r="I31" t="n">
        <v>3.8</v>
      </c>
      <c r="J31" t="n">
        <v>3</v>
      </c>
      <c r="K31" t="n">
        <v>1</v>
      </c>
      <c r="L31" t="n">
        <v>0</v>
      </c>
      <c r="M31" t="n">
        <v>2</v>
      </c>
      <c r="N31" t="n">
        <v>1</v>
      </c>
      <c r="O31" t="n">
        <v>0</v>
      </c>
      <c r="P31" t="n">
        <v>0</v>
      </c>
      <c r="Q31" t="n">
        <v>3</v>
      </c>
      <c r="R31" t="n">
        <v>3</v>
      </c>
      <c r="S31" t="n">
        <v>5</v>
      </c>
      <c r="T31" t="n">
        <v>6</v>
      </c>
      <c r="U31" t="n">
        <v>5</v>
      </c>
      <c r="V31" s="2" t="inlineStr">
        <is>
          <t>Bitter taggsvamp
Knärot
Norna
Ögonpyrola
Nattviol</t>
        </is>
      </c>
      <c r="W31">
        <f>HYPERLINK("https://klasma.github.io/Logging_2582/artfynd/A 19324-2024 artfynd.xlsx", "A 19324-2024")</f>
        <v/>
      </c>
      <c r="X31">
        <f>HYPERLINK("https://klasma.github.io/Logging_2582/kartor/A 19324-2024 karta.png", "A 19324-2024")</f>
        <v/>
      </c>
      <c r="Y31">
        <f>HYPERLINK("https://klasma.github.io/Logging_2582/kartor_geotiff/A 19324-2024 georefererad karta.tif", "A 19324-2024")</f>
        <v/>
      </c>
      <c r="Z31">
        <f>HYPERLINK("https://klasma.github.io/Logging_2582/knärot/A 19324-2024 karta knärot.png", "A 19324-2024")</f>
        <v/>
      </c>
      <c r="AA31">
        <f>HYPERLINK("https://klasma.github.io/Logging_2582/klagomål/A 19324-2024 FSC-klagomål.docx", "A 19324-2024")</f>
        <v/>
      </c>
      <c r="AB31">
        <f>HYPERLINK("https://klasma.github.io/Logging_2582/klagomålsmail/A 19324-2024 FSC-klagomål mail.docx", "A 19324-2024")</f>
        <v/>
      </c>
      <c r="AC31">
        <f>HYPERLINK("https://klasma.github.io/Logging_2582/tillsyn/A 19324-2024 tillsynsbegäran.docx", "A 19324-2024")</f>
        <v/>
      </c>
      <c r="AD31">
        <f>HYPERLINK("https://klasma.github.io/Logging_2582/tillsynsmail/A 19324-2024 tillsynsbegäran mail.docx", "A 19324-2024")</f>
        <v/>
      </c>
    </row>
    <row r="32" ht="15" customHeight="1">
      <c r="A32" t="inlineStr">
        <is>
          <t>A 31030-2025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46270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11.1</v>
      </c>
      <c r="J32" t="n">
        <v>3</v>
      </c>
      <c r="K32" t="n">
        <v>2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9</v>
      </c>
      <c r="U32" t="n">
        <v>9</v>
      </c>
      <c r="V32" s="2" t="inlineStr">
        <is>
          <t>Knärot
Lunglav
Spindelblomster
Stuplav
Fläcknycklar</t>
        </is>
      </c>
      <c r="W32">
        <f>HYPERLINK("https://klasma.github.io/Logging_2582/artfynd/A 31030-2025 artfynd.xlsx", "A 31030-2025")</f>
        <v/>
      </c>
      <c r="X32">
        <f>HYPERLINK("https://klasma.github.io/Logging_2582/kartor/A 31030-2025 karta.png", "A 31030-2025")</f>
        <v/>
      </c>
      <c r="Y32">
        <f>HYPERLINK("https://klasma.github.io/Logging_2582/kartor_geotiff/A 31030-2025 georefererad karta.tif", "A 31030-2025")</f>
        <v/>
      </c>
      <c r="Z32">
        <f>HYPERLINK("https://klasma.github.io/Logging_2582/knärot/A 31030-2025 karta knärot.png", "A 31030-2025")</f>
        <v/>
      </c>
      <c r="AA32">
        <f>HYPERLINK("https://klasma.github.io/Logging_2582/klagomål/A 31030-2025 FSC-klagomål.docx", "A 31030-2025")</f>
        <v/>
      </c>
      <c r="AB32">
        <f>HYPERLINK("https://klasma.github.io/Logging_2582/klagomålsmail/A 31030-2025 FSC-klagomål mail.docx", "A 31030-2025")</f>
        <v/>
      </c>
      <c r="AC32">
        <f>HYPERLINK("https://klasma.github.io/Logging_2582/tillsyn/A 31030-2025 tillsynsbegäran.docx", "A 31030-2025")</f>
        <v/>
      </c>
      <c r="AD32">
        <f>HYPERLINK("https://klasma.github.io/Logging_2582/tillsynsmail/A 31030-2025 tillsynsbegäran mail.docx", "A 31030-2025")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46270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46270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32325-2024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46270</v>
      </c>
      <c r="F35" t="inlineStr">
        <is>
          <t>NORRBOTTENS LÄN</t>
        </is>
      </c>
      <c r="G35" t="inlineStr">
        <is>
          <t>BODEN</t>
        </is>
      </c>
      <c r="H35" t="inlineStr">
        <is>
          <t>Övriga Aktiebolag</t>
        </is>
      </c>
      <c r="I35" t="n">
        <v>36.5</v>
      </c>
      <c r="J35" t="n">
        <v>1</v>
      </c>
      <c r="K35" t="n">
        <v>2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5</v>
      </c>
      <c r="T35" t="n">
        <v>7</v>
      </c>
      <c r="U35" t="n">
        <v>7</v>
      </c>
      <c r="V35" s="2" t="inlineStr">
        <is>
          <t>Garnlav
Knärot
Gammelgransskål
Luddlav
Skinnlav</t>
        </is>
      </c>
      <c r="W35">
        <f>HYPERLINK("https://klasma.github.io/Logging_2582/artfynd/A 32325-2024 artfynd.xlsx", "A 32325-2024")</f>
        <v/>
      </c>
      <c r="X35">
        <f>HYPERLINK("https://klasma.github.io/Logging_2582/kartor/A 32325-2024 karta.png", "A 32325-2024")</f>
        <v/>
      </c>
      <c r="Y35">
        <f>HYPERLINK("https://klasma.github.io/Logging_2582/kartor_geotiff/A 32325-2024 georefererad karta.tif", "A 32325-2024")</f>
        <v/>
      </c>
      <c r="Z35">
        <f>HYPERLINK("https://klasma.github.io/Logging_2582/knärot/A 32325-2024 karta knärot.png", "A 32325-2024")</f>
        <v/>
      </c>
      <c r="AA35">
        <f>HYPERLINK("https://klasma.github.io/Logging_2582/klagomål/A 32325-2024 FSC-klagomål.docx", "A 32325-2024")</f>
        <v/>
      </c>
      <c r="AB35">
        <f>HYPERLINK("https://klasma.github.io/Logging_2582/klagomålsmail/A 32325-2024 FSC-klagomål mail.docx", "A 32325-2024")</f>
        <v/>
      </c>
      <c r="AC35">
        <f>HYPERLINK("https://klasma.github.io/Logging_2582/tillsyn/A 32325-2024 tillsynsbegäran.docx", "A 32325-2024")</f>
        <v/>
      </c>
      <c r="AD35">
        <f>HYPERLINK("https://klasma.github.io/Logging_2582/tillsynsmail/A 32325-2024 tillsynsbegäran mail.docx", "A 32325-2024")</f>
        <v/>
      </c>
    </row>
    <row r="36" ht="15" customHeight="1">
      <c r="A36" t="inlineStr">
        <is>
          <t>A 54167-2025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46270</v>
      </c>
      <c r="F36" t="inlineStr">
        <is>
          <t>NORRBOTTENS LÄN</t>
        </is>
      </c>
      <c r="G36" t="inlineStr">
        <is>
          <t>BODEN</t>
        </is>
      </c>
      <c r="I36" t="n">
        <v>1.1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Lunglav
Stiftgelélav
Järpe
Spillkråka
Vanlig padda</t>
        </is>
      </c>
      <c r="W36">
        <f>HYPERLINK("https://klasma.github.io/Logging_2582/artfynd/A 54167-2025 artfynd.xlsx", "A 54167-2025")</f>
        <v/>
      </c>
      <c r="X36">
        <f>HYPERLINK("https://klasma.github.io/Logging_2582/kartor/A 54167-2025 karta.png", "A 54167-2025")</f>
        <v/>
      </c>
      <c r="Y36">
        <f>HYPERLINK("https://klasma.github.io/Logging_2582/kartor_geotiff/A 54167-2025 georefererad karta.tif", "A 54167-2025")</f>
        <v/>
      </c>
      <c r="AA36">
        <f>HYPERLINK("https://klasma.github.io/Logging_2582/klagomål/A 54167-2025 FSC-klagomål.docx", "A 54167-2025")</f>
        <v/>
      </c>
      <c r="AB36">
        <f>HYPERLINK("https://klasma.github.io/Logging_2582/klagomålsmail/A 54167-2025 FSC-klagomål mail.docx", "A 54167-2025")</f>
        <v/>
      </c>
      <c r="AC36">
        <f>HYPERLINK("https://klasma.github.io/Logging_2582/tillsyn/A 54167-2025 tillsynsbegäran.docx", "A 54167-2025")</f>
        <v/>
      </c>
      <c r="AD36">
        <f>HYPERLINK("https://klasma.github.io/Logging_2582/tillsynsmail/A 54167-2025 tillsynsbegäran mail.docx", "A 54167-2025")</f>
        <v/>
      </c>
      <c r="AE36">
        <f>HYPERLINK("https://klasma.github.io/Logging_2582/fåglar/A 54167-2025 prioriterade fågelarter.docx", "A 54167-2025")</f>
        <v/>
      </c>
    </row>
    <row r="37" ht="15" customHeight="1">
      <c r="A37" t="inlineStr">
        <is>
          <t>A 59358-2022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44904</v>
      </c>
      <c r="E37" s="1" t="n">
        <v>46270</v>
      </c>
      <c r="F37" t="inlineStr">
        <is>
          <t>NORRBOTTENS LÄN</t>
        </is>
      </c>
      <c r="G37" t="inlineStr">
        <is>
          <t>BODEN</t>
        </is>
      </c>
      <c r="I37" t="n">
        <v>1.5</v>
      </c>
      <c r="J37" t="n">
        <v>4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5</v>
      </c>
      <c r="V37" s="2" t="inlineStr">
        <is>
          <t>Stare
Rosenfink
Rävticka
Sångsvan
Trana</t>
        </is>
      </c>
      <c r="W37">
        <f>HYPERLINK("https://klasma.github.io/Logging_2582/artfynd/A 59358-2022 artfynd.xlsx", "A 59358-2022")</f>
        <v/>
      </c>
      <c r="X37">
        <f>HYPERLINK("https://klasma.github.io/Logging_2582/kartor/A 59358-2022 karta.png", "A 59358-2022")</f>
        <v/>
      </c>
      <c r="Y37">
        <f>HYPERLINK("https://klasma.github.io/Logging_2582/kartor_geotiff/A 59358-2022 georefererad karta.tif", "A 59358-2022")</f>
        <v/>
      </c>
      <c r="AA37">
        <f>HYPERLINK("https://klasma.github.io/Logging_2582/klagomål/A 59358-2022 FSC-klagomål.docx", "A 59358-2022")</f>
        <v/>
      </c>
      <c r="AB37">
        <f>HYPERLINK("https://klasma.github.io/Logging_2582/klagomålsmail/A 59358-2022 FSC-klagomål mail.docx", "A 59358-2022")</f>
        <v/>
      </c>
      <c r="AC37">
        <f>HYPERLINK("https://klasma.github.io/Logging_2582/tillsyn/A 59358-2022 tillsynsbegäran.docx", "A 59358-2022")</f>
        <v/>
      </c>
      <c r="AD37">
        <f>HYPERLINK("https://klasma.github.io/Logging_2582/tillsynsmail/A 59358-2022 tillsynsbegäran mail.docx", "A 59358-2022")</f>
        <v/>
      </c>
      <c r="AE37">
        <f>HYPERLINK("https://klasma.github.io/Logging_2582/fåglar/A 59358-2022 prioriterade fågelarter.docx", "A 59358-2022")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46270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46270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46270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59028-2025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45988</v>
      </c>
      <c r="E41" s="1" t="n">
        <v>46270</v>
      </c>
      <c r="F41" t="inlineStr">
        <is>
          <t>NORRBOTTENS LÄN</t>
        </is>
      </c>
      <c r="G41" t="inlineStr">
        <is>
          <t>BODEN</t>
        </is>
      </c>
      <c r="I41" t="n">
        <v>4.3</v>
      </c>
      <c r="J41" t="n">
        <v>0</v>
      </c>
      <c r="K41" t="n">
        <v>0</v>
      </c>
      <c r="L41" t="n">
        <v>2</v>
      </c>
      <c r="M41" t="n">
        <v>2</v>
      </c>
      <c r="N41" t="n">
        <v>0</v>
      </c>
      <c r="O41" t="n">
        <v>0</v>
      </c>
      <c r="P41" t="n">
        <v>0</v>
      </c>
      <c r="Q41" t="n">
        <v>4</v>
      </c>
      <c r="R41" t="n">
        <v>2</v>
      </c>
      <c r="S41" t="n">
        <v>4</v>
      </c>
      <c r="T41" t="n">
        <v>4</v>
      </c>
      <c r="U41" t="n">
        <v>0</v>
      </c>
      <c r="V41" s="2" t="inlineStr">
        <is>
          <t>Goliatmusseron
Skrovlig taggsvamp
Dvärgbägarlav
Skarp dropptaggsvamp</t>
        </is>
      </c>
      <c r="W41">
        <f>HYPERLINK("https://klasma.github.io/Logging_2582/artfynd/A 59028-2025 artfynd.xlsx", "A 59028-2025")</f>
        <v/>
      </c>
      <c r="X41">
        <f>HYPERLINK("https://klasma.github.io/Logging_2582/kartor/A 59028-2025 karta.png", "A 59028-2025")</f>
        <v/>
      </c>
      <c r="Y41">
        <f>HYPERLINK("https://klasma.github.io/Logging_2582/kartor_geotiff/A 59028-2025 georefererad karta.tif", "A 59028-2025")</f>
        <v/>
      </c>
      <c r="AA41">
        <f>HYPERLINK("https://klasma.github.io/Logging_2582/klagomål/A 59028-2025 FSC-klagomål.docx", "A 59028-2025")</f>
        <v/>
      </c>
      <c r="AB41">
        <f>HYPERLINK("https://klasma.github.io/Logging_2582/klagomålsmail/A 59028-2025 FSC-klagomål mail.docx", "A 59028-2025")</f>
        <v/>
      </c>
      <c r="AC41">
        <f>HYPERLINK("https://klasma.github.io/Logging_2582/tillsyn/A 59028-2025 tillsynsbegäran.docx", "A 59028-2025")</f>
        <v/>
      </c>
      <c r="AD41">
        <f>HYPERLINK("https://klasma.github.io/Logging_2582/tillsynsmail/A 59028-2025 tillsynsbegäran mail.docx", "A 59028-2025")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46270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46270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46270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46270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46270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46270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46270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46270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Doftticka
Knärot
Lunglav</t>
        </is>
      </c>
      <c r="W49">
        <f>HYPERLINK("https://klasma.github.io/Logging_2582/artfynd/A 28267-2025 artfynd.xlsx", "A 28267-2025")</f>
        <v/>
      </c>
      <c r="X49">
        <f>HYPERLINK("https://klasma.github.io/Logging_2582/kartor/A 28267-2025 karta.png", "A 28267-2025")</f>
        <v/>
      </c>
      <c r="Y49">
        <f>HYPERLINK("https://klasma.github.io/Logging_2582/kartor_geotiff/A 28267-2025 georefererad karta.tif", "A 28267-2025")</f>
        <v/>
      </c>
      <c r="Z49">
        <f>HYPERLINK("https://klasma.github.io/Logging_2582/knärot/A 28267-2025 karta knärot.png", "A 28267-2025")</f>
        <v/>
      </c>
      <c r="AA49">
        <f>HYPERLINK("https://klasma.github.io/Logging_2582/klagomål/A 28267-2025 FSC-klagomål.docx", "A 28267-2025")</f>
        <v/>
      </c>
      <c r="AB49">
        <f>HYPERLINK("https://klasma.github.io/Logging_2582/klagomålsmail/A 28267-2025 FSC-klagomål mail.docx", "A 28267-2025")</f>
        <v/>
      </c>
      <c r="AC49">
        <f>HYPERLINK("https://klasma.github.io/Logging_2582/tillsyn/A 28267-2025 tillsynsbegäran.docx", "A 28267-2025")</f>
        <v/>
      </c>
      <c r="AD49">
        <f>HYPERLINK("https://klasma.github.io/Logging_2582/tillsynsmail/A 28267-2025 tillsynsbegäran mail.docx", "A 28267-2025")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46270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46270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46270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46270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46270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10087-2026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46073</v>
      </c>
      <c r="E55" s="1" t="n">
        <v>46270</v>
      </c>
      <c r="F55" t="inlineStr">
        <is>
          <t>NORRBOTTENS LÄN</t>
        </is>
      </c>
      <c r="G55" t="inlineStr">
        <is>
          <t>BODEN</t>
        </is>
      </c>
      <c r="I55" t="n">
        <v>5.9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Korthornad vedstekel
Skogsödla
Vanlig padda</t>
        </is>
      </c>
      <c r="W55">
        <f>HYPERLINK("https://klasma.github.io/Logging_2582/artfynd/A 10087-2026 artfynd.xlsx", "A 10087-2026")</f>
        <v/>
      </c>
      <c r="X55">
        <f>HYPERLINK("https://klasma.github.io/Logging_2582/kartor/A 10087-2026 karta.png", "A 10087-2026")</f>
        <v/>
      </c>
      <c r="Y55">
        <f>HYPERLINK("https://klasma.github.io/Logging_2582/kartor_geotiff/A 10087-2026 georefererad karta.tif", "A 10087-2026")</f>
        <v/>
      </c>
      <c r="AA55">
        <f>HYPERLINK("https://klasma.github.io/Logging_2582/klagomål/A 10087-2026 FSC-klagomål.docx", "A 10087-2026")</f>
        <v/>
      </c>
      <c r="AB55">
        <f>HYPERLINK("https://klasma.github.io/Logging_2582/klagomålsmail/A 10087-2026 FSC-klagomål mail.docx", "A 10087-2026")</f>
        <v/>
      </c>
      <c r="AC55">
        <f>HYPERLINK("https://klasma.github.io/Logging_2582/tillsyn/A 10087-2026 tillsynsbegäran.docx", "A 10087-2026")</f>
        <v/>
      </c>
      <c r="AD55">
        <f>HYPERLINK("https://klasma.github.io/Logging_2582/tillsynsmail/A 10087-2026 tillsynsbegäran mail.docx", "A 10087-2026")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46270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46270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37014-2023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46270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2.4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7</v>
      </c>
      <c r="U58" t="n">
        <v>7</v>
      </c>
      <c r="V58" s="2" t="inlineStr">
        <is>
          <t>Garnlav
Talltita
Stuplav</t>
        </is>
      </c>
      <c r="W58">
        <f>HYPERLINK("https://klasma.github.io/Logging_2582/artfynd/A 37014-2023 artfynd.xlsx", "A 37014-2023")</f>
        <v/>
      </c>
      <c r="X58">
        <f>HYPERLINK("https://klasma.github.io/Logging_2582/kartor/A 37014-2023 karta.png", "A 37014-2023")</f>
        <v/>
      </c>
      <c r="Y58">
        <f>HYPERLINK("https://klasma.github.io/Logging_2582/kartor_geotiff/A 37014-2023 georefererad karta.tif", "A 37014-2023")</f>
        <v/>
      </c>
      <c r="AA58">
        <f>HYPERLINK("https://klasma.github.io/Logging_2582/klagomål/A 37014-2023 FSC-klagomål.docx", "A 37014-2023")</f>
        <v/>
      </c>
      <c r="AB58">
        <f>HYPERLINK("https://klasma.github.io/Logging_2582/klagomålsmail/A 37014-2023 FSC-klagomål mail.docx", "A 37014-2023")</f>
        <v/>
      </c>
      <c r="AC58">
        <f>HYPERLINK("https://klasma.github.io/Logging_2582/tillsyn/A 37014-2023 tillsynsbegäran.docx", "A 37014-2023")</f>
        <v/>
      </c>
      <c r="AD58">
        <f>HYPERLINK("https://klasma.github.io/Logging_2582/tillsynsmail/A 37014-2023 tillsynsbegäran mail.docx", "A 37014-2023")</f>
        <v/>
      </c>
      <c r="AE58">
        <f>HYPERLINK("https://klasma.github.io/Logging_2582/fåglar/A 37014-2023 prioriterade fågelarter.docx", "A 37014-2023")</f>
        <v/>
      </c>
    </row>
    <row r="59" ht="15" customHeight="1">
      <c r="A59" t="inlineStr">
        <is>
          <t>A 29797-2022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44755</v>
      </c>
      <c r="E59" s="1" t="n">
        <v>46270</v>
      </c>
      <c r="F59" t="inlineStr">
        <is>
          <t>NORRBOTTENS LÄN</t>
        </is>
      </c>
      <c r="G59" t="inlineStr">
        <is>
          <t>BODEN</t>
        </is>
      </c>
      <c r="H59" t="inlineStr">
        <is>
          <t>Kyrkan</t>
        </is>
      </c>
      <c r="I59" t="n">
        <v>29.2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Vanlig groda
Vanlig padda
Revlummer</t>
        </is>
      </c>
      <c r="W59">
        <f>HYPERLINK("https://klasma.github.io/Logging_2582/artfynd/A 29797-2022 artfynd.xlsx", "A 29797-2022")</f>
        <v/>
      </c>
      <c r="X59">
        <f>HYPERLINK("https://klasma.github.io/Logging_2582/kartor/A 29797-2022 karta.png", "A 29797-2022")</f>
        <v/>
      </c>
      <c r="Y59">
        <f>HYPERLINK("https://klasma.github.io/Logging_2582/kartor_geotiff/A 29797-2022 georefererad karta.tif", "A 29797-2022")</f>
        <v/>
      </c>
      <c r="AA59">
        <f>HYPERLINK("https://klasma.github.io/Logging_2582/klagomål/A 29797-2022 FSC-klagomål.docx", "A 29797-2022")</f>
        <v/>
      </c>
      <c r="AB59">
        <f>HYPERLINK("https://klasma.github.io/Logging_2582/klagomålsmail/A 29797-2022 FSC-klagomål mail.docx", "A 29797-2022")</f>
        <v/>
      </c>
      <c r="AC59">
        <f>HYPERLINK("https://klasma.github.io/Logging_2582/tillsyn/A 29797-2022 tillsynsbegäran.docx", "A 29797-2022")</f>
        <v/>
      </c>
      <c r="AD59">
        <f>HYPERLINK("https://klasma.github.io/Logging_2582/tillsynsmail/A 29797-2022 tillsynsbegäran mail.docx", "A 29797-2022")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46270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46270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46270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46270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46270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46270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46270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46270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46270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46270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46270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46270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6639-2024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46270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23.8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Lunglav
Kungsfågel</t>
        </is>
      </c>
      <c r="W72">
        <f>HYPERLINK("https://klasma.github.io/Logging_2582/artfynd/A 6639-2024 artfynd.xlsx", "A 6639-2024")</f>
        <v/>
      </c>
      <c r="X72">
        <f>HYPERLINK("https://klasma.github.io/Logging_2582/kartor/A 6639-2024 karta.png", "A 6639-2024")</f>
        <v/>
      </c>
      <c r="Y72">
        <f>HYPERLINK("https://klasma.github.io/Logging_2582/kartor_geotiff/A 6639-2024 georefererad karta.tif", "A 6639-2024")</f>
        <v/>
      </c>
      <c r="AA72">
        <f>HYPERLINK("https://klasma.github.io/Logging_2582/klagomål/A 6639-2024 FSC-klagomål.docx", "A 6639-2024")</f>
        <v/>
      </c>
      <c r="AB72">
        <f>HYPERLINK("https://klasma.github.io/Logging_2582/klagomålsmail/A 6639-2024 FSC-klagomål mail.docx", "A 6639-2024")</f>
        <v/>
      </c>
      <c r="AC72">
        <f>HYPERLINK("https://klasma.github.io/Logging_2582/tillsyn/A 6639-2024 tillsynsbegäran.docx", "A 6639-2024")</f>
        <v/>
      </c>
      <c r="AD72">
        <f>HYPERLINK("https://klasma.github.io/Logging_2582/tillsynsmail/A 6639-2024 tillsynsbegäran mail.docx", "A 6639-2024")</f>
        <v/>
      </c>
    </row>
    <row r="73" ht="15" customHeight="1">
      <c r="A73" t="inlineStr">
        <is>
          <t>A 32971-2024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45517</v>
      </c>
      <c r="E73" s="1" t="n">
        <v>46270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10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5</v>
      </c>
      <c r="U73" t="n">
        <v>4</v>
      </c>
      <c r="V73" s="2" t="inlineStr">
        <is>
          <t>Lunglav
Fläcknycklar</t>
        </is>
      </c>
      <c r="W73">
        <f>HYPERLINK("https://klasma.github.io/Logging_2582/artfynd/A 32971-2024 artfynd.xlsx", "A 32971-2024")</f>
        <v/>
      </c>
      <c r="X73">
        <f>HYPERLINK("https://klasma.github.io/Logging_2582/kartor/A 32971-2024 karta.png", "A 32971-2024")</f>
        <v/>
      </c>
      <c r="Y73">
        <f>HYPERLINK("https://klasma.github.io/Logging_2582/kartor_geotiff/A 32971-2024 georefererad karta.tif", "A 32971-2024")</f>
        <v/>
      </c>
      <c r="AA73">
        <f>HYPERLINK("https://klasma.github.io/Logging_2582/klagomål/A 32971-2024 FSC-klagomål.docx", "A 32971-2024")</f>
        <v/>
      </c>
      <c r="AB73">
        <f>HYPERLINK("https://klasma.github.io/Logging_2582/klagomålsmail/A 32971-2024 FSC-klagomål mail.docx", "A 32971-2024")</f>
        <v/>
      </c>
      <c r="AC73">
        <f>HYPERLINK("https://klasma.github.io/Logging_2582/tillsyn/A 32971-2024 tillsynsbegäran.docx", "A 32971-2024")</f>
        <v/>
      </c>
      <c r="AD73">
        <f>HYPERLINK("https://klasma.github.io/Logging_2582/tillsynsmail/A 32971-2024 tillsynsbegäran mail.docx", "A 32971-2024")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46270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46270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8703-2026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46270</v>
      </c>
      <c r="F76" t="inlineStr">
        <is>
          <t>NORRBOTTENS LÄN</t>
        </is>
      </c>
      <c r="G76" t="inlineStr">
        <is>
          <t>BODEN</t>
        </is>
      </c>
      <c r="I76" t="n">
        <v>1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Ullticka
Skinnlav</t>
        </is>
      </c>
      <c r="W76">
        <f>HYPERLINK("https://klasma.github.io/Logging_2582/artfynd/A 8703-2026 artfynd.xlsx", "A 8703-2026")</f>
        <v/>
      </c>
      <c r="X76">
        <f>HYPERLINK("https://klasma.github.io/Logging_2582/kartor/A 8703-2026 karta.png", "A 8703-2026")</f>
        <v/>
      </c>
      <c r="Y76">
        <f>HYPERLINK("https://klasma.github.io/Logging_2582/kartor_geotiff/A 8703-2026 georefererad karta.tif", "A 8703-2026")</f>
        <v/>
      </c>
      <c r="AA76">
        <f>HYPERLINK("https://klasma.github.io/Logging_2582/klagomål/A 8703-2026 FSC-klagomål.docx", "A 8703-2026")</f>
        <v/>
      </c>
      <c r="AB76">
        <f>HYPERLINK("https://klasma.github.io/Logging_2582/klagomålsmail/A 8703-2026 FSC-klagomål mail.docx", "A 8703-2026")</f>
        <v/>
      </c>
      <c r="AC76">
        <f>HYPERLINK("https://klasma.github.io/Logging_2582/tillsyn/A 8703-2026 tillsynsbegäran.docx", "A 8703-2026")</f>
        <v/>
      </c>
      <c r="AD76">
        <f>HYPERLINK("https://klasma.github.io/Logging_2582/tillsynsmail/A 8703-2026 tillsynsbegäran mail.docx", "A 8703-2026")</f>
        <v/>
      </c>
    </row>
    <row r="77" ht="15" customHeight="1">
      <c r="A77" t="inlineStr">
        <is>
          <t>A 8754-2026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46270</v>
      </c>
      <c r="F77" t="inlineStr">
        <is>
          <t>NORRBOTTENS LÄN</t>
        </is>
      </c>
      <c r="G77" t="inlineStr">
        <is>
          <t>BODEN</t>
        </is>
      </c>
      <c r="I77" t="n">
        <v>2.1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Ullticka</t>
        </is>
      </c>
      <c r="W77">
        <f>HYPERLINK("https://klasma.github.io/Logging_2582/artfynd/A 8754-2026 artfynd.xlsx", "A 8754-2026")</f>
        <v/>
      </c>
      <c r="X77">
        <f>HYPERLINK("https://klasma.github.io/Logging_2582/kartor/A 8754-2026 karta.png", "A 8754-2026")</f>
        <v/>
      </c>
      <c r="Y77">
        <f>HYPERLINK("https://klasma.github.io/Logging_2582/kartor_geotiff/A 8754-2026 georefererad karta.tif", "A 8754-2026")</f>
        <v/>
      </c>
      <c r="AA77">
        <f>HYPERLINK("https://klasma.github.io/Logging_2582/klagomål/A 8754-2026 FSC-klagomål.docx", "A 8754-2026")</f>
        <v/>
      </c>
      <c r="AB77">
        <f>HYPERLINK("https://klasma.github.io/Logging_2582/klagomålsmail/A 8754-2026 FSC-klagomål mail.docx", "A 8754-2026")</f>
        <v/>
      </c>
      <c r="AC77">
        <f>HYPERLINK("https://klasma.github.io/Logging_2582/tillsyn/A 8754-2026 tillsynsbegäran.docx", "A 8754-2026")</f>
        <v/>
      </c>
      <c r="AD77">
        <f>HYPERLINK("https://klasma.github.io/Logging_2582/tillsynsmail/A 8754-2026 tillsynsbegäran mail.docx", "A 8754-2026")</f>
        <v/>
      </c>
    </row>
    <row r="78" ht="15" customHeight="1">
      <c r="A78" t="inlineStr">
        <is>
          <t>A 28867-2025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46270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8.199999999999999</v>
      </c>
      <c r="J78" t="n">
        <v>2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12</v>
      </c>
      <c r="U78" t="n">
        <v>12</v>
      </c>
      <c r="V78" s="2" t="inlineStr">
        <is>
          <t>Knärot
Fläcknycklar</t>
        </is>
      </c>
      <c r="W78">
        <f>HYPERLINK("https://klasma.github.io/Logging_2582/artfynd/A 28867-2025 artfynd.xlsx", "A 28867-2025")</f>
        <v/>
      </c>
      <c r="X78">
        <f>HYPERLINK("https://klasma.github.io/Logging_2582/kartor/A 28867-2025 karta.png", "A 28867-2025")</f>
        <v/>
      </c>
      <c r="Y78">
        <f>HYPERLINK("https://klasma.github.io/Logging_2582/kartor_geotiff/A 28867-2025 georefererad karta.tif", "A 28867-2025")</f>
        <v/>
      </c>
      <c r="Z78">
        <f>HYPERLINK("https://klasma.github.io/Logging_2582/knärot/A 28867-2025 karta knärot.png", "A 28867-2025")</f>
        <v/>
      </c>
      <c r="AA78">
        <f>HYPERLINK("https://klasma.github.io/Logging_2582/klagomål/A 28867-2025 FSC-klagomål.docx", "A 28867-2025")</f>
        <v/>
      </c>
      <c r="AB78">
        <f>HYPERLINK("https://klasma.github.io/Logging_2582/klagomålsmail/A 28867-2025 FSC-klagomål mail.docx", "A 28867-2025")</f>
        <v/>
      </c>
      <c r="AC78">
        <f>HYPERLINK("https://klasma.github.io/Logging_2582/tillsyn/A 28867-2025 tillsynsbegäran.docx", "A 28867-2025")</f>
        <v/>
      </c>
      <c r="AD78">
        <f>HYPERLINK("https://klasma.github.io/Logging_2582/tillsynsmail/A 28867-2025 tillsynsbegäran mail.docx", "A 28867-2025")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46270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6895-2025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45701</v>
      </c>
      <c r="E80" s="1" t="n">
        <v>46270</v>
      </c>
      <c r="F80" t="inlineStr">
        <is>
          <t>NORRBOTTENS LÄN</t>
        </is>
      </c>
      <c r="G80" t="inlineStr">
        <is>
          <t>BODEN</t>
        </is>
      </c>
      <c r="I80" t="n">
        <v>1.5</v>
      </c>
      <c r="J80" t="n">
        <v>1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Kolflarnlav
Plattlummer</t>
        </is>
      </c>
      <c r="W80">
        <f>HYPERLINK("https://klasma.github.io/Logging_2582/artfynd/A 6895-2025 artfynd.xlsx", "A 6895-2025")</f>
        <v/>
      </c>
      <c r="X80">
        <f>HYPERLINK("https://klasma.github.io/Logging_2582/kartor/A 6895-2025 karta.png", "A 6895-2025")</f>
        <v/>
      </c>
      <c r="Y80">
        <f>HYPERLINK("https://klasma.github.io/Logging_2582/kartor_geotiff/A 6895-2025 georefererad karta.tif", "A 6895-2025")</f>
        <v/>
      </c>
      <c r="AA80">
        <f>HYPERLINK("https://klasma.github.io/Logging_2582/klagomål/A 6895-2025 FSC-klagomål.docx", "A 6895-2025")</f>
        <v/>
      </c>
      <c r="AB80">
        <f>HYPERLINK("https://klasma.github.io/Logging_2582/klagomålsmail/A 6895-2025 FSC-klagomål mail.docx", "A 6895-2025")</f>
        <v/>
      </c>
      <c r="AC80">
        <f>HYPERLINK("https://klasma.github.io/Logging_2582/tillsyn/A 6895-2025 tillsynsbegäran.docx", "A 6895-2025")</f>
        <v/>
      </c>
      <c r="AD80">
        <f>HYPERLINK("https://klasma.github.io/Logging_2582/tillsynsmail/A 6895-2025 tillsynsbegäran mail.docx", "A 6895-2025")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46270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43310-2025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46270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43310-2025 artfynd.xlsx", "A 43310-2025")</f>
        <v/>
      </c>
      <c r="X82">
        <f>HYPERLINK("https://klasma.github.io/Logging_2582/kartor/A 43310-2025 karta.png", "A 43310-2025")</f>
        <v/>
      </c>
      <c r="Y82">
        <f>HYPERLINK("https://klasma.github.io/Logging_2582/kartor_geotiff/A 43310-2025 georefererad karta.tif", "A 43310-2025")</f>
        <v/>
      </c>
      <c r="AA82">
        <f>HYPERLINK("https://klasma.github.io/Logging_2582/klagomål/A 43310-2025 FSC-klagomål.docx", "A 43310-2025")</f>
        <v/>
      </c>
      <c r="AB82">
        <f>HYPERLINK("https://klasma.github.io/Logging_2582/klagomålsmail/A 43310-2025 FSC-klagomål mail.docx", "A 43310-2025")</f>
        <v/>
      </c>
      <c r="AC82">
        <f>HYPERLINK("https://klasma.github.io/Logging_2582/tillsyn/A 43310-2025 tillsynsbegäran.docx", "A 43310-2025")</f>
        <v/>
      </c>
      <c r="AD82">
        <f>HYPERLINK("https://klasma.github.io/Logging_2582/tillsynsmail/A 43310-2025 tillsynsbegäran mail.docx", "A 43310-2025")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46270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50100-2025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46270</v>
      </c>
      <c r="F84" t="inlineStr">
        <is>
          <t>NORRBOTTENS LÄN</t>
        </is>
      </c>
      <c r="G84" t="inlineStr">
        <is>
          <t>BODEN</t>
        </is>
      </c>
      <c r="I84" t="n">
        <v>6.5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Mörk kolflarnlav
Fläcknycklar</t>
        </is>
      </c>
      <c r="W84">
        <f>HYPERLINK("https://klasma.github.io/Logging_2582/artfynd/A 50100-2025 artfynd.xlsx", "A 50100-2025")</f>
        <v/>
      </c>
      <c r="X84">
        <f>HYPERLINK("https://klasma.github.io/Logging_2582/kartor/A 50100-2025 karta.png", "A 50100-2025")</f>
        <v/>
      </c>
      <c r="Y84">
        <f>HYPERLINK("https://klasma.github.io/Logging_2582/kartor_geotiff/A 50100-2025 georefererad karta.tif", "A 50100-2025")</f>
        <v/>
      </c>
      <c r="AA84">
        <f>HYPERLINK("https://klasma.github.io/Logging_2582/klagomål/A 50100-2025 FSC-klagomål.docx", "A 50100-2025")</f>
        <v/>
      </c>
      <c r="AB84">
        <f>HYPERLINK("https://klasma.github.io/Logging_2582/klagomålsmail/A 50100-2025 FSC-klagomål mail.docx", "A 50100-2025")</f>
        <v/>
      </c>
      <c r="AC84">
        <f>HYPERLINK("https://klasma.github.io/Logging_2582/tillsyn/A 50100-2025 tillsynsbegäran.docx", "A 50100-2025")</f>
        <v/>
      </c>
      <c r="AD84">
        <f>HYPERLINK("https://klasma.github.io/Logging_2582/tillsynsmail/A 50100-2025 tillsynsbegäran mail.docx", "A 50100-2025")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46270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37086-2025 artfynd.xlsx", "A 37086-2025")</f>
        <v/>
      </c>
      <c r="X85">
        <f>HYPERLINK("https://klasma.github.io/Logging_2582/kartor/A 37086-2025 karta.png", "A 37086-2025")</f>
        <v/>
      </c>
      <c r="Y85">
        <f>HYPERLINK("https://klasma.github.io/Logging_2582/kartor_geotiff/A 37086-2025 georefererad karta.tif", "A 37086-2025")</f>
        <v/>
      </c>
      <c r="AA85">
        <f>HYPERLINK("https://klasma.github.io/Logging_2582/klagomål/A 37086-2025 FSC-klagomål.docx", "A 37086-2025")</f>
        <v/>
      </c>
      <c r="AB85">
        <f>HYPERLINK("https://klasma.github.io/Logging_2582/klagomålsmail/A 37086-2025 FSC-klagomål mail.docx", "A 37086-2025")</f>
        <v/>
      </c>
      <c r="AC85">
        <f>HYPERLINK("https://klasma.github.io/Logging_2582/tillsyn/A 37086-2025 tillsynsbegäran.docx", "A 37086-2025")</f>
        <v/>
      </c>
      <c r="AD85">
        <f>HYPERLINK("https://klasma.github.io/Logging_2582/tillsynsmail/A 37086-2025 tillsynsbegäran mail.docx", "A 37086-2025")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46270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48899-2024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46270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Hässlebrodd
Fläcknycklar</t>
        </is>
      </c>
      <c r="W87">
        <f>HYPERLINK("https://klasma.github.io/Logging_2582/artfynd/A 48899-2024 artfynd.xlsx", "A 48899-2024")</f>
        <v/>
      </c>
      <c r="X87">
        <f>HYPERLINK("https://klasma.github.io/Logging_2582/kartor/A 48899-2024 karta.png", "A 48899-2024")</f>
        <v/>
      </c>
      <c r="Y87">
        <f>HYPERLINK("https://klasma.github.io/Logging_2582/kartor_geotiff/A 48899-2024 georefererad karta.tif", "A 48899-2024")</f>
        <v/>
      </c>
      <c r="AA87">
        <f>HYPERLINK("https://klasma.github.io/Logging_2582/klagomål/A 48899-2024 FSC-klagomål.docx", "A 48899-2024")</f>
        <v/>
      </c>
      <c r="AB87">
        <f>HYPERLINK("https://klasma.github.io/Logging_2582/klagomålsmail/A 48899-2024 FSC-klagomål mail.docx", "A 48899-2024")</f>
        <v/>
      </c>
      <c r="AC87">
        <f>HYPERLINK("https://klasma.github.io/Logging_2582/tillsyn/A 48899-2024 tillsynsbegäran.docx", "A 48899-2024")</f>
        <v/>
      </c>
      <c r="AD87">
        <f>HYPERLINK("https://klasma.github.io/Logging_2582/tillsynsmail/A 48899-2024 tillsynsbegäran mail.docx", "A 48899-2024")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46270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34737-2024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45526</v>
      </c>
      <c r="E89" s="1" t="n">
        <v>46270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4</v>
      </c>
      <c r="U89" t="n">
        <v>1</v>
      </c>
      <c r="V89" s="2" t="inlineStr">
        <is>
          <t>Lunglav
Fläcknycklar</t>
        </is>
      </c>
      <c r="W89">
        <f>HYPERLINK("https://klasma.github.io/Logging_2582/artfynd/A 34737-2024 artfynd.xlsx", "A 34737-2024")</f>
        <v/>
      </c>
      <c r="X89">
        <f>HYPERLINK("https://klasma.github.io/Logging_2582/kartor/A 34737-2024 karta.png", "A 34737-2024")</f>
        <v/>
      </c>
      <c r="Y89">
        <f>HYPERLINK("https://klasma.github.io/Logging_2582/kartor_geotiff/A 34737-2024 georefererad karta.tif", "A 34737-2024")</f>
        <v/>
      </c>
      <c r="AA89">
        <f>HYPERLINK("https://klasma.github.io/Logging_2582/klagomål/A 34737-2024 FSC-klagomål.docx", "A 34737-2024")</f>
        <v/>
      </c>
      <c r="AB89">
        <f>HYPERLINK("https://klasma.github.io/Logging_2582/klagomålsmail/A 34737-2024 FSC-klagomål mail.docx", "A 34737-2024")</f>
        <v/>
      </c>
      <c r="AC89">
        <f>HYPERLINK("https://klasma.github.io/Logging_2582/tillsyn/A 34737-2024 tillsynsbegäran.docx", "A 34737-2024")</f>
        <v/>
      </c>
      <c r="AD89">
        <f>HYPERLINK("https://klasma.github.io/Logging_2582/tillsynsmail/A 34737-2024 tillsynsbegäran mail.docx", "A 34737-2024")</f>
        <v/>
      </c>
    </row>
    <row r="90" ht="15" customHeight="1">
      <c r="A90" t="inlineStr">
        <is>
          <t>A 60774-2025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45999</v>
      </c>
      <c r="E90" s="1" t="n">
        <v>46270</v>
      </c>
      <c r="F90" t="inlineStr">
        <is>
          <t>NORRBOTTENS LÄN</t>
        </is>
      </c>
      <c r="G90" t="inlineStr">
        <is>
          <t>BODEN</t>
        </is>
      </c>
      <c r="I90" t="n">
        <v>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Ullticka
Skinnlav</t>
        </is>
      </c>
      <c r="W90">
        <f>HYPERLINK("https://klasma.github.io/Logging_2582/artfynd/A 60774-2025 artfynd.xlsx", "A 60774-2025")</f>
        <v/>
      </c>
      <c r="X90">
        <f>HYPERLINK("https://klasma.github.io/Logging_2582/kartor/A 60774-2025 karta.png", "A 60774-2025")</f>
        <v/>
      </c>
      <c r="Y90">
        <f>HYPERLINK("https://klasma.github.io/Logging_2582/kartor_geotiff/A 60774-2025 georefererad karta.tif", "A 60774-2025")</f>
        <v/>
      </c>
      <c r="AA90">
        <f>HYPERLINK("https://klasma.github.io/Logging_2582/klagomål/A 60774-2025 FSC-klagomål.docx", "A 60774-2025")</f>
        <v/>
      </c>
      <c r="AB90">
        <f>HYPERLINK("https://klasma.github.io/Logging_2582/klagomålsmail/A 60774-2025 FSC-klagomål mail.docx", "A 60774-2025")</f>
        <v/>
      </c>
      <c r="AC90">
        <f>HYPERLINK("https://klasma.github.io/Logging_2582/tillsyn/A 60774-2025 tillsynsbegäran.docx", "A 60774-2025")</f>
        <v/>
      </c>
      <c r="AD90">
        <f>HYPERLINK("https://klasma.github.io/Logging_2582/tillsynsmail/A 60774-2025 tillsynsbegäran mail.docx", "A 60774-2025")</f>
        <v/>
      </c>
    </row>
    <row r="91" ht="15" customHeight="1">
      <c r="A91" t="inlineStr">
        <is>
          <t>A 34164-2023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45137</v>
      </c>
      <c r="E91" s="1" t="n">
        <v>46270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2.2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Tretåig hackspett</t>
        </is>
      </c>
      <c r="W91">
        <f>HYPERLINK("https://klasma.github.io/Logging_2582/artfynd/A 34164-2023 artfynd.xlsx", "A 34164-2023")</f>
        <v/>
      </c>
      <c r="X91">
        <f>HYPERLINK("https://klasma.github.io/Logging_2582/kartor/A 34164-2023 karta.png", "A 34164-2023")</f>
        <v/>
      </c>
      <c r="Y91">
        <f>HYPERLINK("https://klasma.github.io/Logging_2582/kartor_geotiff/A 34164-2023 georefererad karta.tif", "A 34164-2023")</f>
        <v/>
      </c>
      <c r="AA91">
        <f>HYPERLINK("https://klasma.github.io/Logging_2582/klagomål/A 34164-2023 FSC-klagomål.docx", "A 34164-2023")</f>
        <v/>
      </c>
      <c r="AB91">
        <f>HYPERLINK("https://klasma.github.io/Logging_2582/klagomålsmail/A 34164-2023 FSC-klagomål mail.docx", "A 34164-2023")</f>
        <v/>
      </c>
      <c r="AC91">
        <f>HYPERLINK("https://klasma.github.io/Logging_2582/tillsyn/A 34164-2023 tillsynsbegäran.docx", "A 34164-2023")</f>
        <v/>
      </c>
      <c r="AD91">
        <f>HYPERLINK("https://klasma.github.io/Logging_2582/tillsynsmail/A 34164-2023 tillsynsbegäran mail.docx", "A 34164-2023")</f>
        <v/>
      </c>
      <c r="AE91">
        <f>HYPERLINK("https://klasma.github.io/Logging_2582/fåglar/A 34164-2023 prioriterade fågelarter.docx", "A 34164-2023")</f>
        <v/>
      </c>
    </row>
    <row r="92" ht="15" customHeight="1">
      <c r="A92" t="inlineStr">
        <is>
          <t>A 31758-2025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45834</v>
      </c>
      <c r="E92" s="1" t="n">
        <v>46270</v>
      </c>
      <c r="F92" t="inlineStr">
        <is>
          <t>NORRBOTTENS LÄN</t>
        </is>
      </c>
      <c r="G92" t="inlineStr">
        <is>
          <t>BODEN</t>
        </is>
      </c>
      <c r="I92" t="n">
        <v>19.9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Tretåig hackspett</t>
        </is>
      </c>
      <c r="W92">
        <f>HYPERLINK("https://klasma.github.io/Logging_2582/artfynd/A 31758-2025 artfynd.xlsx", "A 31758-2025")</f>
        <v/>
      </c>
      <c r="X92">
        <f>HYPERLINK("https://klasma.github.io/Logging_2582/kartor/A 31758-2025 karta.png", "A 31758-2025")</f>
        <v/>
      </c>
      <c r="Y92">
        <f>HYPERLINK("https://klasma.github.io/Logging_2582/kartor_geotiff/A 31758-2025 georefererad karta.tif", "A 31758-2025")</f>
        <v/>
      </c>
      <c r="AA92">
        <f>HYPERLINK("https://klasma.github.io/Logging_2582/klagomål/A 31758-2025 FSC-klagomål.docx", "A 31758-2025")</f>
        <v/>
      </c>
      <c r="AB92">
        <f>HYPERLINK("https://klasma.github.io/Logging_2582/klagomålsmail/A 31758-2025 FSC-klagomål mail.docx", "A 31758-2025")</f>
        <v/>
      </c>
      <c r="AC92">
        <f>HYPERLINK("https://klasma.github.io/Logging_2582/tillsyn/A 31758-2025 tillsynsbegäran.docx", "A 31758-2025")</f>
        <v/>
      </c>
      <c r="AD92">
        <f>HYPERLINK("https://klasma.github.io/Logging_2582/tillsynsmail/A 31758-2025 tillsynsbegäran mail.docx", "A 31758-2025")</f>
        <v/>
      </c>
      <c r="AE92">
        <f>HYPERLINK("https://klasma.github.io/Logging_2582/fåglar/A 31758-2025 prioriterade fågelarter.docx", "A 31758-2025")</f>
        <v/>
      </c>
    </row>
    <row r="93" ht="15" customHeight="1">
      <c r="A93" t="inlineStr">
        <is>
          <t>A 21657-2026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46149</v>
      </c>
      <c r="E93" s="1" t="n">
        <v>46270</v>
      </c>
      <c r="F93" t="inlineStr">
        <is>
          <t>NORRBOTTENS LÄN</t>
        </is>
      </c>
      <c r="G93" t="inlineStr">
        <is>
          <t>BODEN</t>
        </is>
      </c>
      <c r="I93" t="n">
        <v>9.800000000000001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Orre
Utter</t>
        </is>
      </c>
      <c r="W93">
        <f>HYPERLINK("https://klasma.github.io/Logging_2582/artfynd/A 21657-2026 artfynd.xlsx", "A 21657-2026")</f>
        <v/>
      </c>
      <c r="X93">
        <f>HYPERLINK("https://klasma.github.io/Logging_2582/kartor/A 21657-2026 karta.png", "A 21657-2026")</f>
        <v/>
      </c>
      <c r="Y93">
        <f>HYPERLINK("https://klasma.github.io/Logging_2582/kartor_geotiff/A 21657-2026 georefererad karta.tif", "A 21657-2026")</f>
        <v/>
      </c>
      <c r="AA93">
        <f>HYPERLINK("https://klasma.github.io/Logging_2582/klagomål/A 21657-2026 FSC-klagomål.docx", "A 21657-2026")</f>
        <v/>
      </c>
      <c r="AB93">
        <f>HYPERLINK("https://klasma.github.io/Logging_2582/klagomålsmail/A 21657-2026 FSC-klagomål mail.docx", "A 21657-2026")</f>
        <v/>
      </c>
      <c r="AC93">
        <f>HYPERLINK("https://klasma.github.io/Logging_2582/tillsyn/A 21657-2026 tillsynsbegäran.docx", "A 21657-2026")</f>
        <v/>
      </c>
      <c r="AD93">
        <f>HYPERLINK("https://klasma.github.io/Logging_2582/tillsynsmail/A 21657-2026 tillsynsbegäran mail.docx", "A 21657-2026")</f>
        <v/>
      </c>
      <c r="AE93">
        <f>HYPERLINK("https://klasma.github.io/Logging_2582/fåglar/A 21657-2026 prioriterade fågelarter.docx", "A 21657-2026")</f>
        <v/>
      </c>
    </row>
    <row r="94" ht="15" customHeight="1">
      <c r="A94" t="inlineStr">
        <is>
          <t>A 23794-2026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46164</v>
      </c>
      <c r="E94" s="1" t="n">
        <v>46270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3.1</v>
      </c>
      <c r="J94" t="n">
        <v>2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Plattlummer
Spindelblomster</t>
        </is>
      </c>
      <c r="W94">
        <f>HYPERLINK("https://klasma.github.io/Logging_2582/artfynd/A 23794-2026 artfynd.xlsx", "A 23794-2026")</f>
        <v/>
      </c>
      <c r="X94">
        <f>HYPERLINK("https://klasma.github.io/Logging_2582/kartor/A 23794-2026 karta.png", "A 23794-2026")</f>
        <v/>
      </c>
      <c r="Y94">
        <f>HYPERLINK("https://klasma.github.io/Logging_2582/kartor_geotiff/A 23794-2026 georefererad karta.tif", "A 23794-2026")</f>
        <v/>
      </c>
      <c r="AA94">
        <f>HYPERLINK("https://klasma.github.io/Logging_2582/klagomål/A 23794-2026 FSC-klagomål.docx", "A 23794-2026")</f>
        <v/>
      </c>
      <c r="AB94">
        <f>HYPERLINK("https://klasma.github.io/Logging_2582/klagomålsmail/A 23794-2026 FSC-klagomål mail.docx", "A 23794-2026")</f>
        <v/>
      </c>
      <c r="AC94">
        <f>HYPERLINK("https://klasma.github.io/Logging_2582/tillsyn/A 23794-2026 tillsynsbegäran.docx", "A 23794-2026")</f>
        <v/>
      </c>
      <c r="AD94">
        <f>HYPERLINK("https://klasma.github.io/Logging_2582/tillsynsmail/A 23794-2026 tillsynsbegäran mail.docx", "A 23794-2026")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46270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46270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46270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1507-2022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46270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15.4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Gråspett</t>
        </is>
      </c>
      <c r="W98">
        <f>HYPERLINK("https://klasma.github.io/Logging_2582/artfynd/A 1507-2022 artfynd.xlsx", "A 1507-2022")</f>
        <v/>
      </c>
      <c r="X98">
        <f>HYPERLINK("https://klasma.github.io/Logging_2582/kartor/A 1507-2022 karta.png", "A 1507-2022")</f>
        <v/>
      </c>
      <c r="Y98">
        <f>HYPERLINK("https://klasma.github.io/Logging_2582/kartor_geotiff/A 1507-2022 georefererad karta.tif", "A 1507-2022")</f>
        <v/>
      </c>
      <c r="AA98">
        <f>HYPERLINK("https://klasma.github.io/Logging_2582/klagomål/A 1507-2022 FSC-klagomål.docx", "A 1507-2022")</f>
        <v/>
      </c>
      <c r="AB98">
        <f>HYPERLINK("https://klasma.github.io/Logging_2582/klagomålsmail/A 1507-2022 FSC-klagomål mail.docx", "A 1507-2022")</f>
        <v/>
      </c>
      <c r="AC98">
        <f>HYPERLINK("https://klasma.github.io/Logging_2582/tillsyn/A 1507-2022 tillsynsbegäran.docx", "A 1507-2022")</f>
        <v/>
      </c>
      <c r="AD98">
        <f>HYPERLINK("https://klasma.github.io/Logging_2582/tillsynsmail/A 1507-2022 tillsynsbegäran mail.docx", "A 1507-2022")</f>
        <v/>
      </c>
      <c r="AE98">
        <f>HYPERLINK("https://klasma.github.io/Logging_2582/fåglar/A 1507-2022 prioriterade fågelarter.docx", "A 1507-2022")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46270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33096-2026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46270</v>
      </c>
      <c r="F100" t="inlineStr">
        <is>
          <t>NORRBOTTENS LÄN</t>
        </is>
      </c>
      <c r="G100" t="inlineStr">
        <is>
          <t>BODEN</t>
        </is>
      </c>
      <c r="I100" t="n">
        <v>36.6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HYPERLINK("https://klasma.github.io/Logging_2582/artfynd/A 33096-2026 artfynd.xlsx", "A 33096-2026")</f>
        <v/>
      </c>
      <c r="X100">
        <f>HYPERLINK("https://klasma.github.io/Logging_2582/kartor/A 33096-2026 karta.png", "A 33096-2026")</f>
        <v/>
      </c>
      <c r="Y100">
        <f>HYPERLINK("https://klasma.github.io/Logging_2582/kartor_geotiff/A 33096-2026 georefererad karta.tif", "A 33096-2026")</f>
        <v/>
      </c>
      <c r="AA100">
        <f>HYPERLINK("https://klasma.github.io/Logging_2582/klagomål/A 33096-2026 FSC-klagomål.docx", "A 33096-2026")</f>
        <v/>
      </c>
      <c r="AB100">
        <f>HYPERLINK("https://klasma.github.io/Logging_2582/klagomålsmail/A 33096-2026 FSC-klagomål mail.docx", "A 33096-2026")</f>
        <v/>
      </c>
      <c r="AC100">
        <f>HYPERLINK("https://klasma.github.io/Logging_2582/tillsyn/A 33096-2026 tillsynsbegäran.docx", "A 33096-2026")</f>
        <v/>
      </c>
      <c r="AD100">
        <f>HYPERLINK("https://klasma.github.io/Logging_2582/tillsynsmail/A 33096-2026 tillsynsbegäran mail.docx", "A 33096-2026")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46270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33416-2026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46270</v>
      </c>
      <c r="F102" t="inlineStr">
        <is>
          <t>NORRBOTTENS LÄN</t>
        </is>
      </c>
      <c r="G102" t="inlineStr">
        <is>
          <t>BODEN</t>
        </is>
      </c>
      <c r="H102" t="inlineStr">
        <is>
          <t>Kyrkan</t>
        </is>
      </c>
      <c r="I102" t="n">
        <v>7</v>
      </c>
      <c r="J102" t="n">
        <v>1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Plattlummer</t>
        </is>
      </c>
      <c r="W102">
        <f>HYPERLINK("https://klasma.github.io/Logging_2582/artfynd/A 33416-2026 artfynd.xlsx", "A 33416-2026")</f>
        <v/>
      </c>
      <c r="X102">
        <f>HYPERLINK("https://klasma.github.io/Logging_2582/kartor/A 33416-2026 karta.png", "A 33416-2026")</f>
        <v/>
      </c>
      <c r="Y102">
        <f>HYPERLINK("https://klasma.github.io/Logging_2582/kartor_geotiff/A 33416-2026 georefererad karta.tif", "A 33416-2026")</f>
        <v/>
      </c>
      <c r="AA102">
        <f>HYPERLINK("https://klasma.github.io/Logging_2582/klagomål/A 33416-2026 FSC-klagomål.docx", "A 33416-2026")</f>
        <v/>
      </c>
      <c r="AB102">
        <f>HYPERLINK("https://klasma.github.io/Logging_2582/klagomålsmail/A 33416-2026 FSC-klagomål mail.docx", "A 33416-2026")</f>
        <v/>
      </c>
      <c r="AC102">
        <f>HYPERLINK("https://klasma.github.io/Logging_2582/tillsyn/A 33416-2026 tillsynsbegäran.docx", "A 33416-2026")</f>
        <v/>
      </c>
      <c r="AD102">
        <f>HYPERLINK("https://klasma.github.io/Logging_2582/tillsynsmail/A 33416-2026 tillsynsbegäran mail.docx", "A 33416-2026")</f>
        <v/>
      </c>
    </row>
    <row r="103" ht="15" customHeight="1">
      <c r="A103" t="inlineStr">
        <is>
          <t>A 29807-2026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46205</v>
      </c>
      <c r="E103" s="1" t="n">
        <v>46270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5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Lunglav
Mörk kolflarnlav</t>
        </is>
      </c>
      <c r="W103">
        <f>HYPERLINK("https://klasma.github.io/Logging_2582/artfynd/A 29807-2026 artfynd.xlsx", "A 29807-2026")</f>
        <v/>
      </c>
      <c r="X103">
        <f>HYPERLINK("https://klasma.github.io/Logging_2582/kartor/A 29807-2026 karta.png", "A 29807-2026")</f>
        <v/>
      </c>
      <c r="Y103">
        <f>HYPERLINK("https://klasma.github.io/Logging_2582/kartor_geotiff/A 29807-2026 georefererad karta.tif", "A 29807-2026")</f>
        <v/>
      </c>
      <c r="AA103">
        <f>HYPERLINK("https://klasma.github.io/Logging_2582/klagomål/A 29807-2026 FSC-klagomål.docx", "A 29807-2026")</f>
        <v/>
      </c>
      <c r="AB103">
        <f>HYPERLINK("https://klasma.github.io/Logging_2582/klagomålsmail/A 29807-2026 FSC-klagomål mail.docx", "A 29807-2026")</f>
        <v/>
      </c>
      <c r="AC103">
        <f>HYPERLINK("https://klasma.github.io/Logging_2582/tillsyn/A 29807-2026 tillsynsbegäran.docx", "A 29807-2026")</f>
        <v/>
      </c>
      <c r="AD103">
        <f>HYPERLINK("https://klasma.github.io/Logging_2582/tillsynsmail/A 29807-2026 tillsynsbegäran mail.docx", "A 29807-2026")</f>
        <v/>
      </c>
    </row>
    <row r="104" ht="15" customHeight="1">
      <c r="A104" t="inlineStr">
        <is>
          <t>A 17292-2022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46270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Revlummer</t>
        </is>
      </c>
      <c r="W104">
        <f>HYPERLINK("https://klasma.github.io/Logging_2582/artfynd/A 17292-2022 artfynd.xlsx", "A 17292-2022")</f>
        <v/>
      </c>
      <c r="X104">
        <f>HYPERLINK("https://klasma.github.io/Logging_2582/kartor/A 17292-2022 karta.png", "A 17292-2022")</f>
        <v/>
      </c>
      <c r="Y104">
        <f>HYPERLINK("https://klasma.github.io/Logging_2582/kartor_geotiff/A 17292-2022 georefererad karta.tif", "A 17292-2022")</f>
        <v/>
      </c>
      <c r="AA104">
        <f>HYPERLINK("https://klasma.github.io/Logging_2582/klagomål/A 17292-2022 FSC-klagomål.docx", "A 17292-2022")</f>
        <v/>
      </c>
      <c r="AB104">
        <f>HYPERLINK("https://klasma.github.io/Logging_2582/klagomålsmail/A 17292-2022 FSC-klagomål mail.docx", "A 17292-2022")</f>
        <v/>
      </c>
      <c r="AC104">
        <f>HYPERLINK("https://klasma.github.io/Logging_2582/tillsyn/A 17292-2022 tillsynsbegäran.docx", "A 17292-2022")</f>
        <v/>
      </c>
      <c r="AD104">
        <f>HYPERLINK("https://klasma.github.io/Logging_2582/tillsynsmail/A 17292-2022 tillsynsbegäran mail.docx", "A 17292-2022")</f>
        <v/>
      </c>
    </row>
    <row r="105" ht="15" customHeight="1">
      <c r="A105" t="inlineStr">
        <is>
          <t>A 29860-2026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46270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Knottrig blåslav
Lunglav</t>
        </is>
      </c>
      <c r="W105">
        <f>HYPERLINK("https://klasma.github.io/Logging_2582/artfynd/A 29860-2026 artfynd.xlsx", "A 29860-2026")</f>
        <v/>
      </c>
      <c r="X105">
        <f>HYPERLINK("https://klasma.github.io/Logging_2582/kartor/A 29860-2026 karta.png", "A 29860-2026")</f>
        <v/>
      </c>
      <c r="Y105">
        <f>HYPERLINK("https://klasma.github.io/Logging_2582/kartor_geotiff/A 29860-2026 georefererad karta.tif", "A 29860-2026")</f>
        <v/>
      </c>
      <c r="AA105">
        <f>HYPERLINK("https://klasma.github.io/Logging_2582/klagomål/A 29860-2026 FSC-klagomål.docx", "A 29860-2026")</f>
        <v/>
      </c>
      <c r="AB105">
        <f>HYPERLINK("https://klasma.github.io/Logging_2582/klagomålsmail/A 29860-2026 FSC-klagomål mail.docx", "A 29860-2026")</f>
        <v/>
      </c>
      <c r="AC105">
        <f>HYPERLINK("https://klasma.github.io/Logging_2582/tillsyn/A 29860-2026 tillsynsbegäran.docx", "A 29860-2026")</f>
        <v/>
      </c>
      <c r="AD105">
        <f>HYPERLINK("https://klasma.github.io/Logging_2582/tillsynsmail/A 29860-2026 tillsynsbegäran mail.docx", "A 29860-2026")</f>
        <v/>
      </c>
    </row>
    <row r="106" ht="15" customHeight="1">
      <c r="A106" t="inlineStr">
        <is>
          <t>A 900-2024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45301</v>
      </c>
      <c r="E106" s="1" t="n">
        <v>46270</v>
      </c>
      <c r="F106" t="inlineStr">
        <is>
          <t>NORRBOTTENS LÄN</t>
        </is>
      </c>
      <c r="G106" t="inlineStr">
        <is>
          <t>BODEN</t>
        </is>
      </c>
      <c r="I106" t="n">
        <v>5.2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Knärot
Revlummer</t>
        </is>
      </c>
      <c r="W106">
        <f>HYPERLINK("https://klasma.github.io/Logging_2582/artfynd/A 900-2024 artfynd.xlsx", "A 900-2024")</f>
        <v/>
      </c>
      <c r="X106">
        <f>HYPERLINK("https://klasma.github.io/Logging_2582/kartor/A 900-2024 karta.png", "A 900-2024")</f>
        <v/>
      </c>
      <c r="Y106">
        <f>HYPERLINK("https://klasma.github.io/Logging_2582/kartor_geotiff/A 900-2024 georefererad karta.tif", "A 900-2024")</f>
        <v/>
      </c>
      <c r="Z106">
        <f>HYPERLINK("https://klasma.github.io/Logging_2582/knärot/A 900-2024 karta knärot.png", "A 900-2024")</f>
        <v/>
      </c>
      <c r="AA106">
        <f>HYPERLINK("https://klasma.github.io/Logging_2582/klagomål/A 900-2024 FSC-klagomål.docx", "A 900-2024")</f>
        <v/>
      </c>
      <c r="AB106">
        <f>HYPERLINK("https://klasma.github.io/Logging_2582/klagomålsmail/A 900-2024 FSC-klagomål mail.docx", "A 900-2024")</f>
        <v/>
      </c>
      <c r="AC106">
        <f>HYPERLINK("https://klasma.github.io/Logging_2582/tillsyn/A 900-2024 tillsynsbegäran.docx", "A 900-2024")</f>
        <v/>
      </c>
      <c r="AD106">
        <f>HYPERLINK("https://klasma.github.io/Logging_2582/tillsynsmail/A 900-2024 tillsynsbegäran mail.docx", "A 900-2024")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46270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A 31233-2026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46217</v>
      </c>
      <c r="E108" s="1" t="n">
        <v>46270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18.5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Lunglav
Fläcknycklar</t>
        </is>
      </c>
      <c r="W108">
        <f>HYPERLINK("https://klasma.github.io/Logging_2582/artfynd/A 31233-2026 artfynd.xlsx", "A 31233-2026")</f>
        <v/>
      </c>
      <c r="X108">
        <f>HYPERLINK("https://klasma.github.io/Logging_2582/kartor/A 31233-2026 karta.png", "A 31233-2026")</f>
        <v/>
      </c>
      <c r="Y108">
        <f>HYPERLINK("https://klasma.github.io/Logging_2582/kartor_geotiff/A 31233-2026 georefererad karta.tif", "A 31233-2026")</f>
        <v/>
      </c>
      <c r="AA108">
        <f>HYPERLINK("https://klasma.github.io/Logging_2582/klagomål/A 31233-2026 FSC-klagomål.docx", "A 31233-2026")</f>
        <v/>
      </c>
      <c r="AB108">
        <f>HYPERLINK("https://klasma.github.io/Logging_2582/klagomålsmail/A 31233-2026 FSC-klagomål mail.docx", "A 31233-2026")</f>
        <v/>
      </c>
      <c r="AC108">
        <f>HYPERLINK("https://klasma.github.io/Logging_2582/tillsyn/A 31233-2026 tillsynsbegäran.docx", "A 31233-2026")</f>
        <v/>
      </c>
      <c r="AD108">
        <f>HYPERLINK("https://klasma.github.io/Logging_2582/tillsynsmail/A 31233-2026 tillsynsbegäran mail.docx", "A 31233-2026")</f>
        <v/>
      </c>
    </row>
    <row r="109" ht="15" customHeight="1">
      <c r="A109" t="inlineStr">
        <is>
          <t>A 35300-2026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46270</v>
      </c>
      <c r="F109" t="inlineStr">
        <is>
          <t>NORRBOTTENS LÄN</t>
        </is>
      </c>
      <c r="G109" t="inlineStr">
        <is>
          <t>BODEN</t>
        </is>
      </c>
      <c r="I109" t="n">
        <v>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Vitgrynig nållav</t>
        </is>
      </c>
      <c r="W109">
        <f>HYPERLINK("https://klasma.github.io/Logging_2582/artfynd/A 35300-2026 artfynd.xlsx", "A 35300-2026")</f>
        <v/>
      </c>
      <c r="X109">
        <f>HYPERLINK("https://klasma.github.io/Logging_2582/kartor/A 35300-2026 karta.png", "A 35300-2026")</f>
        <v/>
      </c>
      <c r="Y109">
        <f>HYPERLINK("https://klasma.github.io/Logging_2582/kartor_geotiff/A 35300-2026 georefererad karta.tif", "A 35300-2026")</f>
        <v/>
      </c>
      <c r="AA109">
        <f>HYPERLINK("https://klasma.github.io/Logging_2582/klagomål/A 35300-2026 FSC-klagomål.docx", "A 35300-2026")</f>
        <v/>
      </c>
      <c r="AB109">
        <f>HYPERLINK("https://klasma.github.io/Logging_2582/klagomålsmail/A 35300-2026 FSC-klagomål mail.docx", "A 35300-2026")</f>
        <v/>
      </c>
      <c r="AC109">
        <f>HYPERLINK("https://klasma.github.io/Logging_2582/tillsyn/A 35300-2026 tillsynsbegäran.docx", "A 35300-2026")</f>
        <v/>
      </c>
      <c r="AD109">
        <f>HYPERLINK("https://klasma.github.io/Logging_2582/tillsynsmail/A 35300-2026 tillsynsbegäran mail.docx", "A 35300-2026")</f>
        <v/>
      </c>
    </row>
    <row r="110" ht="15" customHeight="1">
      <c r="A110" t="inlineStr">
        <is>
          <t>A 31655-2026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46225</v>
      </c>
      <c r="E110" s="1" t="n">
        <v>46270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Lunglav</t>
        </is>
      </c>
      <c r="W110">
        <f>HYPERLINK("https://klasma.github.io/Logging_2582/artfynd/A 31655-2026 artfynd.xlsx", "A 31655-2026")</f>
        <v/>
      </c>
      <c r="X110">
        <f>HYPERLINK("https://klasma.github.io/Logging_2582/kartor/A 31655-2026 karta.png", "A 31655-2026")</f>
        <v/>
      </c>
      <c r="Y110">
        <f>HYPERLINK("https://klasma.github.io/Logging_2582/kartor_geotiff/A 31655-2026 georefererad karta.tif", "A 31655-2026")</f>
        <v/>
      </c>
      <c r="AA110">
        <f>HYPERLINK("https://klasma.github.io/Logging_2582/klagomål/A 31655-2026 FSC-klagomål.docx", "A 31655-2026")</f>
        <v/>
      </c>
      <c r="AB110">
        <f>HYPERLINK("https://klasma.github.io/Logging_2582/klagomålsmail/A 31655-2026 FSC-klagomål mail.docx", "A 31655-2026")</f>
        <v/>
      </c>
      <c r="AC110">
        <f>HYPERLINK("https://klasma.github.io/Logging_2582/tillsyn/A 31655-2026 tillsynsbegäran.docx", "A 31655-2026")</f>
        <v/>
      </c>
      <c r="AD110">
        <f>HYPERLINK("https://klasma.github.io/Logging_2582/tillsynsmail/A 31655-2026 tillsynsbegäran mail.docx", "A 31655-2026")</f>
        <v/>
      </c>
    </row>
    <row r="111" ht="15" customHeight="1">
      <c r="A111" t="inlineStr">
        <is>
          <t>S 884-2024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45376</v>
      </c>
      <c r="E111" s="1" t="n">
        <v>46270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1.6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Spindelblomster
Ögonpyrola</t>
        </is>
      </c>
      <c r="W111">
        <f>HYPERLINK("https://klasma.github.io/Logging_2582/artfynd/S 884-2024 artfynd.xlsx", "S 884-2024")</f>
        <v/>
      </c>
      <c r="X111">
        <f>HYPERLINK("https://klasma.github.io/Logging_2582/kartor/S 884-2024 karta.png", "S 884-2024")</f>
        <v/>
      </c>
      <c r="Y111">
        <f>HYPERLINK("https://klasma.github.io/Logging_2582/kartor_geotiff/S 884-2024 georefererad karta.tif", "S 884-2024")</f>
        <v/>
      </c>
      <c r="Z111">
        <f>HYPERLINK("https://klasma.github.io/Logging_2582/knärot/S 884-2024 karta knärot.png", "S 884-2024")</f>
        <v/>
      </c>
      <c r="AA111">
        <f>HYPERLINK("https://klasma.github.io/Logging_2582/klagomål/S 884-2024 FSC-klagomål.docx", "S 884-2024")</f>
        <v/>
      </c>
      <c r="AB111">
        <f>HYPERLINK("https://klasma.github.io/Logging_2582/klagomålsmail/S 884-2024 FSC-klagomål mail.docx", "S 884-2024")</f>
        <v/>
      </c>
      <c r="AC111">
        <f>HYPERLINK("https://klasma.github.io/Logging_2582/tillsyn/S 884-2024 tillsynsbegäran.docx", "S 884-2024")</f>
        <v/>
      </c>
      <c r="AD111">
        <f>HYPERLINK("https://klasma.github.io/Logging_2582/tillsynsmail/S 884-2024 tillsynsbegäran mail.docx", "S 884-2024")</f>
        <v/>
      </c>
    </row>
    <row r="112" ht="15" customHeight="1">
      <c r="A112" t="inlineStr">
        <is>
          <t>A 13647-2022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46270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Gammelgransskål</t>
        </is>
      </c>
      <c r="W112">
        <f>HYPERLINK("https://klasma.github.io/Logging_2582/artfynd/A 13647-2022 artfynd.xlsx", "A 13647-2022")</f>
        <v/>
      </c>
      <c r="X112">
        <f>HYPERLINK("https://klasma.github.io/Logging_2582/kartor/A 13647-2022 karta.png", "A 13647-2022")</f>
        <v/>
      </c>
      <c r="Y112">
        <f>HYPERLINK("https://klasma.github.io/Logging_2582/kartor_geotiff/A 13647-2022 georefererad karta.tif", "A 13647-2022")</f>
        <v/>
      </c>
      <c r="AA112">
        <f>HYPERLINK("https://klasma.github.io/Logging_2582/klagomål/A 13647-2022 FSC-klagomål.docx", "A 13647-2022")</f>
        <v/>
      </c>
      <c r="AB112">
        <f>HYPERLINK("https://klasma.github.io/Logging_2582/klagomålsmail/A 13647-2022 FSC-klagomål mail.docx", "A 13647-2022")</f>
        <v/>
      </c>
      <c r="AC112">
        <f>HYPERLINK("https://klasma.github.io/Logging_2582/tillsyn/A 13647-2022 tillsynsbegäran.docx", "A 13647-2022")</f>
        <v/>
      </c>
      <c r="AD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47030-2021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44446</v>
      </c>
      <c r="E113" s="1" t="n">
        <v>46270</v>
      </c>
      <c r="F113" t="inlineStr">
        <is>
          <t>NORRBOTTENS LÄN</t>
        </is>
      </c>
      <c r="G113" t="inlineStr">
        <is>
          <t>BODEN</t>
        </is>
      </c>
      <c r="I113" t="n">
        <v>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Svartvit flugsnappare</t>
        </is>
      </c>
      <c r="W113">
        <f>HYPERLINK("https://klasma.github.io/Logging_2582/artfynd/A 47030-2021 artfynd.xlsx", "A 47030-2021")</f>
        <v/>
      </c>
      <c r="X113">
        <f>HYPERLINK("https://klasma.github.io/Logging_2582/kartor/A 47030-2021 karta.png", "A 47030-2021")</f>
        <v/>
      </c>
      <c r="Y113">
        <f>HYPERLINK("https://klasma.github.io/Logging_2582/kartor_geotiff/A 47030-2021 georefererad karta.tif", "A 47030-2021")</f>
        <v/>
      </c>
      <c r="AA113">
        <f>HYPERLINK("https://klasma.github.io/Logging_2582/klagomål/A 47030-2021 FSC-klagomål.docx", "A 47030-2021")</f>
        <v/>
      </c>
      <c r="AB113">
        <f>HYPERLINK("https://klasma.github.io/Logging_2582/klagomålsmail/A 47030-2021 FSC-klagomål mail.docx", "A 47030-2021")</f>
        <v/>
      </c>
      <c r="AC113">
        <f>HYPERLINK("https://klasma.github.io/Logging_2582/tillsyn/A 47030-2021 tillsynsbegäran.docx", "A 47030-2021")</f>
        <v/>
      </c>
      <c r="AD113">
        <f>HYPERLINK("https://klasma.github.io/Logging_2582/tillsynsmail/A 47030-2021 tillsynsbegäran mail.docx", "A 47030-2021")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46270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2568-2024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46270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 taggsvamp</t>
        </is>
      </c>
      <c r="W115">
        <f>HYPERLINK("https://klasma.github.io/Logging_2582/artfynd/A 2568-2024 artfynd.xlsx", "A 2568-2024")</f>
        <v/>
      </c>
      <c r="X115">
        <f>HYPERLINK("https://klasma.github.io/Logging_2582/kartor/A 2568-2024 karta.png", "A 2568-2024")</f>
        <v/>
      </c>
      <c r="Y115">
        <f>HYPERLINK("https://klasma.github.io/Logging_2582/kartor_geotiff/A 2568-2024 georefererad karta.tif", "A 2568-2024")</f>
        <v/>
      </c>
      <c r="AA115">
        <f>HYPERLINK("https://klasma.github.io/Logging_2582/klagomål/A 2568-2024 FSC-klagomål.docx", "A 2568-2024")</f>
        <v/>
      </c>
      <c r="AB115">
        <f>HYPERLINK("https://klasma.github.io/Logging_2582/klagomålsmail/A 2568-2024 FSC-klagomål mail.docx", "A 2568-2024")</f>
        <v/>
      </c>
      <c r="AC115">
        <f>HYPERLINK("https://klasma.github.io/Logging_2582/tillsyn/A 2568-2024 tillsynsbegäran.docx", "A 2568-2024")</f>
        <v/>
      </c>
      <c r="AD115">
        <f>HYPERLINK("https://klasma.github.io/Logging_2582/tillsynsmail/A 2568-2024 tillsynsbegäran mail.docx", "A 2568-2024")</f>
        <v/>
      </c>
    </row>
    <row r="116" ht="15" customHeight="1">
      <c r="A116" t="inlineStr">
        <is>
          <t>A 18678-2025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46270</v>
      </c>
      <c r="F116" t="inlineStr">
        <is>
          <t>NORRBOTTENS LÄN</t>
        </is>
      </c>
      <c r="G116" t="inlineStr">
        <is>
          <t>BODEN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Garnlav</t>
        </is>
      </c>
      <c r="W116">
        <f>HYPERLINK("https://klasma.github.io/Logging_2582/artfynd/A 18678-2025 artfynd.xlsx", "A 18678-2025")</f>
        <v/>
      </c>
      <c r="X116">
        <f>HYPERLINK("https://klasma.github.io/Logging_2582/kartor/A 18678-2025 karta.png", "A 18678-2025")</f>
        <v/>
      </c>
      <c r="Y116">
        <f>HYPERLINK("https://klasma.github.io/Logging_2582/kartor_geotiff/A 18678-2025 georefererad karta.tif", "A 18678-2025")</f>
        <v/>
      </c>
      <c r="AA116">
        <f>HYPERLINK("https://klasma.github.io/Logging_2582/klagomål/A 18678-2025 FSC-klagomål.docx", "A 18678-2025")</f>
        <v/>
      </c>
      <c r="AB116">
        <f>HYPERLINK("https://klasma.github.io/Logging_2582/klagomålsmail/A 18678-2025 FSC-klagomål mail.docx", "A 18678-2025")</f>
        <v/>
      </c>
      <c r="AC116">
        <f>HYPERLINK("https://klasma.github.io/Logging_2582/tillsyn/A 18678-2025 tillsynsbegäran.docx", "A 18678-2025")</f>
        <v/>
      </c>
      <c r="AD116">
        <f>HYPERLINK("https://klasma.github.io/Logging_2582/tillsynsmail/A 18678-2025 tillsynsbegäran mail.docx", "A 18678-2025")</f>
        <v/>
      </c>
    </row>
    <row r="117" ht="15" customHeight="1">
      <c r="A117" t="inlineStr">
        <is>
          <t>A 68560-2021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46270</v>
      </c>
      <c r="F117" t="inlineStr">
        <is>
          <t>NORRBOTTENS LÄN</t>
        </is>
      </c>
      <c r="G117" t="inlineStr">
        <is>
          <t>BODEN</t>
        </is>
      </c>
      <c r="I117" t="n">
        <v>3.5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4</v>
      </c>
      <c r="U117" t="n">
        <v>4</v>
      </c>
      <c r="V117" s="2" t="inlineStr">
        <is>
          <t>Småflikig brosklav</t>
        </is>
      </c>
      <c r="W117">
        <f>HYPERLINK("https://klasma.github.io/Logging_2582/artfynd/A 68560-2021 artfynd.xlsx", "A 68560-2021")</f>
        <v/>
      </c>
      <c r="X117">
        <f>HYPERLINK("https://klasma.github.io/Logging_2582/kartor/A 68560-2021 karta.png", "A 68560-2021")</f>
        <v/>
      </c>
      <c r="Y117">
        <f>HYPERLINK("https://klasma.github.io/Logging_2582/kartor_geotiff/A 68560-2021 georefererad karta.tif", "A 68560-2021")</f>
        <v/>
      </c>
      <c r="AA117">
        <f>HYPERLINK("https://klasma.github.io/Logging_2582/klagomål/A 68560-2021 FSC-klagomål.docx", "A 68560-2021")</f>
        <v/>
      </c>
      <c r="AB117">
        <f>HYPERLINK("https://klasma.github.io/Logging_2582/klagomålsmail/A 68560-2021 FSC-klagomål mail.docx", "A 68560-2021")</f>
        <v/>
      </c>
      <c r="AC117">
        <f>HYPERLINK("https://klasma.github.io/Logging_2582/tillsyn/A 68560-2021 tillsynsbegäran.docx", "A 68560-2021")</f>
        <v/>
      </c>
      <c r="AD117">
        <f>HYPERLINK("https://klasma.github.io/Logging_2582/tillsynsmail/A 68560-2021 tillsynsbegäran mail.docx", "A 68560-2021")</f>
        <v/>
      </c>
    </row>
    <row r="118" ht="15" customHeight="1">
      <c r="A118" t="inlineStr">
        <is>
          <t>A 52078-2021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44463</v>
      </c>
      <c r="E118" s="1" t="n">
        <v>46270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4</v>
      </c>
      <c r="U118" t="n">
        <v>4</v>
      </c>
      <c r="V118" s="2" t="inlineStr">
        <is>
          <t>Knärot</t>
        </is>
      </c>
      <c r="W118">
        <f>HYPERLINK("https://klasma.github.io/Logging_2582/artfynd/A 52078-2021 artfynd.xlsx", "A 52078-2021")</f>
        <v/>
      </c>
      <c r="X118">
        <f>HYPERLINK("https://klasma.github.io/Logging_2582/kartor/A 52078-2021 karta.png", "A 52078-2021")</f>
        <v/>
      </c>
      <c r="Y118">
        <f>HYPERLINK("https://klasma.github.io/Logging_2582/kartor_geotiff/A 52078-2021 georefererad karta.tif", "A 52078-2021")</f>
        <v/>
      </c>
      <c r="Z118">
        <f>HYPERLINK("https://klasma.github.io/Logging_2582/knärot/A 52078-2021 karta knärot.png", "A 52078-2021")</f>
        <v/>
      </c>
      <c r="AA118">
        <f>HYPERLINK("https://klasma.github.io/Logging_2582/klagomål/A 52078-2021 FSC-klagomål.docx", "A 52078-2021")</f>
        <v/>
      </c>
      <c r="AB118">
        <f>HYPERLINK("https://klasma.github.io/Logging_2582/klagomålsmail/A 52078-2021 FSC-klagomål mail.docx", "A 52078-2021")</f>
        <v/>
      </c>
      <c r="AC118">
        <f>HYPERLINK("https://klasma.github.io/Logging_2582/tillsyn/A 52078-2021 tillsynsbegäran.docx", "A 52078-2021")</f>
        <v/>
      </c>
      <c r="AD118">
        <f>HYPERLINK("https://klasma.github.io/Logging_2582/tillsynsmail/A 52078-2021 tillsynsbegäran mail.docx", "A 52078-2021")</f>
        <v/>
      </c>
    </row>
    <row r="119" ht="15" customHeight="1">
      <c r="A119" t="inlineStr">
        <is>
          <t>A 68514-2021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46270</v>
      </c>
      <c r="F119" t="inlineStr">
        <is>
          <t>NORRBOTTENS LÄN</t>
        </is>
      </c>
      <c r="G119" t="inlineStr">
        <is>
          <t>BODEN</t>
        </is>
      </c>
      <c r="I119" t="n">
        <v>6.2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HYPERLINK("https://klasma.github.io/Logging_2582/artfynd/A 68514-2021 artfynd.xlsx", "A 68514-2021")</f>
        <v/>
      </c>
      <c r="X119">
        <f>HYPERLINK("https://klasma.github.io/Logging_2582/kartor/A 68514-2021 karta.png", "A 68514-2021")</f>
        <v/>
      </c>
      <c r="Y119">
        <f>HYPERLINK("https://klasma.github.io/Logging_2582/kartor_geotiff/A 68514-2021 georefererad karta.tif", "A 68514-2021")</f>
        <v/>
      </c>
      <c r="Z119">
        <f>HYPERLINK("https://klasma.github.io/Logging_2582/knärot/A 68514-2021 karta knärot.png", "A 68514-2021")</f>
        <v/>
      </c>
      <c r="AA119">
        <f>HYPERLINK("https://klasma.github.io/Logging_2582/klagomål/A 68514-2021 FSC-klagomål.docx", "A 68514-2021")</f>
        <v/>
      </c>
      <c r="AB119">
        <f>HYPERLINK("https://klasma.github.io/Logging_2582/klagomålsmail/A 68514-2021 FSC-klagomål mail.docx", "A 68514-2021")</f>
        <v/>
      </c>
      <c r="AC119">
        <f>HYPERLINK("https://klasma.github.io/Logging_2582/tillsyn/A 68514-2021 tillsynsbegäran.docx", "A 68514-2021")</f>
        <v/>
      </c>
      <c r="AD119">
        <f>HYPERLINK("https://klasma.github.io/Logging_2582/tillsynsmail/A 68514-2021 tillsynsbegäran mail.docx", "A 68514-2021")</f>
        <v/>
      </c>
      <c r="AE119">
        <f>HYPERLINK("https://klasma.github.io/Logging_2582/fåglar/A 68514-2021 prioriterade fågelarter.docx", "A 68514-2021")</f>
        <v/>
      </c>
    </row>
    <row r="120" ht="15" customHeight="1">
      <c r="A120" t="inlineStr">
        <is>
          <t>A 41443-2025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45901</v>
      </c>
      <c r="E120" s="1" t="n">
        <v>46270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Kolflarnlav</t>
        </is>
      </c>
      <c r="W120">
        <f>HYPERLINK("https://klasma.github.io/Logging_2582/artfynd/A 41443-2025 artfynd.xlsx", "A 41443-2025")</f>
        <v/>
      </c>
      <c r="X120">
        <f>HYPERLINK("https://klasma.github.io/Logging_2582/kartor/A 41443-2025 karta.png", "A 41443-2025")</f>
        <v/>
      </c>
      <c r="Y120">
        <f>HYPERLINK("https://klasma.github.io/Logging_2582/kartor_geotiff/A 41443-2025 georefererad karta.tif", "A 41443-2025")</f>
        <v/>
      </c>
      <c r="AA120">
        <f>HYPERLINK("https://klasma.github.io/Logging_2582/klagomål/A 41443-2025 FSC-klagomål.docx", "A 41443-2025")</f>
        <v/>
      </c>
      <c r="AB120">
        <f>HYPERLINK("https://klasma.github.io/Logging_2582/klagomålsmail/A 41443-2025 FSC-klagomål mail.docx", "A 41443-2025")</f>
        <v/>
      </c>
      <c r="AC120">
        <f>HYPERLINK("https://klasma.github.io/Logging_2582/tillsyn/A 41443-2025 tillsynsbegäran.docx", "A 41443-2025")</f>
        <v/>
      </c>
      <c r="AD120">
        <f>HYPERLINK("https://klasma.github.io/Logging_2582/tillsynsmail/A 41443-2025 tillsynsbegäran mail.docx", "A 41443-2025")</f>
        <v/>
      </c>
    </row>
    <row r="121" ht="15" customHeight="1">
      <c r="A121" t="inlineStr">
        <is>
          <t>A 22892-2024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46270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0.8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22892-2024 artfynd.xlsx", "A 22892-2024")</f>
        <v/>
      </c>
      <c r="X121">
        <f>HYPERLINK("https://klasma.github.io/Logging_2582/kartor/A 22892-2024 karta.png", "A 22892-2024")</f>
        <v/>
      </c>
      <c r="Y121">
        <f>HYPERLINK("https://klasma.github.io/Logging_2582/kartor_geotiff/A 22892-2024 georefererad karta.tif", "A 22892-2024")</f>
        <v/>
      </c>
      <c r="AA121">
        <f>HYPERLINK("https://klasma.github.io/Logging_2582/klagomål/A 22892-2024 FSC-klagomål.docx", "A 22892-2024")</f>
        <v/>
      </c>
      <c r="AB121">
        <f>HYPERLINK("https://klasma.github.io/Logging_2582/klagomålsmail/A 22892-2024 FSC-klagomål mail.docx", "A 22892-2024")</f>
        <v/>
      </c>
      <c r="AC121">
        <f>HYPERLINK("https://klasma.github.io/Logging_2582/tillsyn/A 22892-2024 tillsynsbegäran.docx", "A 22892-2024")</f>
        <v/>
      </c>
      <c r="AD121">
        <f>HYPERLINK("https://klasma.github.io/Logging_2582/tillsynsmail/A 22892-2024 tillsynsbegäran mail.docx", "A 22892-2024")</f>
        <v/>
      </c>
    </row>
    <row r="122" ht="15" customHeight="1">
      <c r="A122" t="inlineStr">
        <is>
          <t>A 26359-2022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46270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11.4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HYPERLINK("https://klasma.github.io/Logging_2582/artfynd/A 26359-2022 artfynd.xlsx", "A 26359-2022")</f>
        <v/>
      </c>
      <c r="X122">
        <f>HYPERLINK("https://klasma.github.io/Logging_2582/kartor/A 26359-2022 karta.png", "A 26359-2022")</f>
        <v/>
      </c>
      <c r="Y122">
        <f>HYPERLINK("https://klasma.github.io/Logging_2582/kartor_geotiff/A 26359-2022 georefererad karta.tif", "A 26359-2022")</f>
        <v/>
      </c>
      <c r="AA122">
        <f>HYPERLINK("https://klasma.github.io/Logging_2582/klagomål/A 26359-2022 FSC-klagomål.docx", "A 26359-2022")</f>
        <v/>
      </c>
      <c r="AB122">
        <f>HYPERLINK("https://klasma.github.io/Logging_2582/klagomålsmail/A 26359-2022 FSC-klagomål mail.docx", "A 26359-2022")</f>
        <v/>
      </c>
      <c r="AC122">
        <f>HYPERLINK("https://klasma.github.io/Logging_2582/tillsyn/A 26359-2022 tillsynsbegäran.docx", "A 26359-2022")</f>
        <v/>
      </c>
      <c r="AD122">
        <f>HYPERLINK("https://klasma.github.io/Logging_2582/tillsynsmail/A 26359-2022 tillsynsbegäran mail.docx", "A 26359-2022")</f>
        <v/>
      </c>
    </row>
    <row r="123" ht="15" customHeight="1">
      <c r="A123" t="inlineStr">
        <is>
          <t>A 13568-2022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46270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Lavskrika</t>
        </is>
      </c>
      <c r="W123">
        <f>HYPERLINK("https://klasma.github.io/Logging_2582/artfynd/A 13568-2022 artfynd.xlsx", "A 13568-2022")</f>
        <v/>
      </c>
      <c r="X123">
        <f>HYPERLINK("https://klasma.github.io/Logging_2582/kartor/A 13568-2022 karta.png", "A 13568-2022")</f>
        <v/>
      </c>
      <c r="Y123">
        <f>HYPERLINK("https://klasma.github.io/Logging_2582/kartor_geotiff/A 13568-2022 georefererad karta.tif", "A 13568-2022")</f>
        <v/>
      </c>
      <c r="AA123">
        <f>HYPERLINK("https://klasma.github.io/Logging_2582/klagomål/A 13568-2022 FSC-klagomål.docx", "A 13568-2022")</f>
        <v/>
      </c>
      <c r="AB123">
        <f>HYPERLINK("https://klasma.github.io/Logging_2582/klagomålsmail/A 13568-2022 FSC-klagomål mail.docx", "A 13568-2022")</f>
        <v/>
      </c>
      <c r="AC123">
        <f>HYPERLINK("https://klasma.github.io/Logging_2582/tillsyn/A 13568-2022 tillsynsbegäran.docx", "A 13568-2022")</f>
        <v/>
      </c>
      <c r="AD123">
        <f>HYPERLINK("https://klasma.github.io/Logging_2582/tillsynsmail/A 13568-2022 tillsynsbegäran mail.docx", "A 13568-2022")</f>
        <v/>
      </c>
      <c r="AE123">
        <f>HYPERLINK("https://klasma.github.io/Logging_2582/fåglar/A 13568-2022 prioriterade fågelarter.docx", "A 13568-2022")</f>
        <v/>
      </c>
    </row>
    <row r="124" ht="15" customHeight="1">
      <c r="A124" t="inlineStr">
        <is>
          <t>A 50394-2025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46270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2.2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HYPERLINK("https://klasma.github.io/Logging_2582/artfynd/A 50394-2025 artfynd.xlsx", "A 50394-2025")</f>
        <v/>
      </c>
      <c r="X124">
        <f>HYPERLINK("https://klasma.github.io/Logging_2582/kartor/A 50394-2025 karta.png", "A 50394-2025")</f>
        <v/>
      </c>
      <c r="Y124">
        <f>HYPERLINK("https://klasma.github.io/Logging_2582/kartor_geotiff/A 50394-2025 georefererad karta.tif", "A 50394-2025")</f>
        <v/>
      </c>
      <c r="AA124">
        <f>HYPERLINK("https://klasma.github.io/Logging_2582/klagomål/A 50394-2025 FSC-klagomål.docx", "A 50394-2025")</f>
        <v/>
      </c>
      <c r="AB124">
        <f>HYPERLINK("https://klasma.github.io/Logging_2582/klagomålsmail/A 50394-2025 FSC-klagomål mail.docx", "A 50394-2025")</f>
        <v/>
      </c>
      <c r="AC124">
        <f>HYPERLINK("https://klasma.github.io/Logging_2582/tillsyn/A 50394-2025 tillsynsbegäran.docx", "A 50394-2025")</f>
        <v/>
      </c>
      <c r="AD124">
        <f>HYPERLINK("https://klasma.github.io/Logging_2582/tillsynsmail/A 50394-2025 tillsynsbegäran mail.docx", "A 50394-2025")</f>
        <v/>
      </c>
    </row>
    <row r="125" ht="15" customHeight="1">
      <c r="A125" t="inlineStr">
        <is>
          <t>A 51184-2025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46270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HYPERLINK("https://klasma.github.io/Logging_2582/artfynd/A 51184-2025 artfynd.xlsx", "A 51184-2025")</f>
        <v/>
      </c>
      <c r="X125">
        <f>HYPERLINK("https://klasma.github.io/Logging_2582/kartor/A 51184-2025 karta.png", "A 51184-2025")</f>
        <v/>
      </c>
      <c r="Y125">
        <f>HYPERLINK("https://klasma.github.io/Logging_2582/kartor_geotiff/A 51184-2025 georefererad karta.tif", "A 51184-2025")</f>
        <v/>
      </c>
      <c r="AA125">
        <f>HYPERLINK("https://klasma.github.io/Logging_2582/klagomål/A 51184-2025 FSC-klagomål.docx", "A 51184-2025")</f>
        <v/>
      </c>
      <c r="AB125">
        <f>HYPERLINK("https://klasma.github.io/Logging_2582/klagomålsmail/A 51184-2025 FSC-klagomål mail.docx", "A 51184-2025")</f>
        <v/>
      </c>
      <c r="AC125">
        <f>HYPERLINK("https://klasma.github.io/Logging_2582/tillsyn/A 51184-2025 tillsynsbegäran.docx", "A 51184-2025")</f>
        <v/>
      </c>
      <c r="AD125">
        <f>HYPERLINK("https://klasma.github.io/Logging_2582/tillsynsmail/A 51184-2025 tillsynsbegäran mail.docx", "A 51184-2025")</f>
        <v/>
      </c>
    </row>
    <row r="126" ht="15" customHeight="1">
      <c r="A126" t="inlineStr">
        <is>
          <t>A 51304-2025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46270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1.3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Bollvitmossa</t>
        </is>
      </c>
      <c r="W126">
        <f>HYPERLINK("https://klasma.github.io/Logging_2582/artfynd/A 51304-2025 artfynd.xlsx", "A 51304-2025")</f>
        <v/>
      </c>
      <c r="X126">
        <f>HYPERLINK("https://klasma.github.io/Logging_2582/kartor/A 51304-2025 karta.png", "A 51304-2025")</f>
        <v/>
      </c>
      <c r="Y126">
        <f>HYPERLINK("https://klasma.github.io/Logging_2582/kartor_geotiff/A 51304-2025 georefererad karta.tif", "A 51304-2025")</f>
        <v/>
      </c>
      <c r="AA126">
        <f>HYPERLINK("https://klasma.github.io/Logging_2582/klagomål/A 51304-2025 FSC-klagomål.docx", "A 51304-2025")</f>
        <v/>
      </c>
      <c r="AB126">
        <f>HYPERLINK("https://klasma.github.io/Logging_2582/klagomålsmail/A 51304-2025 FSC-klagomål mail.docx", "A 51304-2025")</f>
        <v/>
      </c>
      <c r="AC126">
        <f>HYPERLINK("https://klasma.github.io/Logging_2582/tillsyn/A 51304-2025 tillsynsbegäran.docx", "A 51304-2025")</f>
        <v/>
      </c>
      <c r="AD126">
        <f>HYPERLINK("https://klasma.github.io/Logging_2582/tillsynsmail/A 51304-2025 tillsynsbegäran mail.docx", "A 51304-2025")</f>
        <v/>
      </c>
    </row>
    <row r="127" ht="15" customHeight="1">
      <c r="A127" t="inlineStr">
        <is>
          <t>A 51258-2025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45949</v>
      </c>
      <c r="E127" s="1" t="n">
        <v>46270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Sångsvan</t>
        </is>
      </c>
      <c r="W127">
        <f>HYPERLINK("https://klasma.github.io/Logging_2582/artfynd/A 51258-2025 artfynd.xlsx", "A 51258-2025")</f>
        <v/>
      </c>
      <c r="X127">
        <f>HYPERLINK("https://klasma.github.io/Logging_2582/kartor/A 51258-2025 karta.png", "A 51258-2025")</f>
        <v/>
      </c>
      <c r="Y127">
        <f>HYPERLINK("https://klasma.github.io/Logging_2582/kartor_geotiff/A 51258-2025 georefererad karta.tif", "A 51258-2025")</f>
        <v/>
      </c>
      <c r="AA127">
        <f>HYPERLINK("https://klasma.github.io/Logging_2582/klagomål/A 51258-2025 FSC-klagomål.docx", "A 51258-2025")</f>
        <v/>
      </c>
      <c r="AB127">
        <f>HYPERLINK("https://klasma.github.io/Logging_2582/klagomålsmail/A 51258-2025 FSC-klagomål mail.docx", "A 51258-2025")</f>
        <v/>
      </c>
      <c r="AC127">
        <f>HYPERLINK("https://klasma.github.io/Logging_2582/tillsyn/A 51258-2025 tillsynsbegäran.docx", "A 51258-2025")</f>
        <v/>
      </c>
      <c r="AD127">
        <f>HYPERLINK("https://klasma.github.io/Logging_2582/tillsynsmail/A 51258-2025 tillsynsbegäran mail.docx", "A 51258-2025")</f>
        <v/>
      </c>
      <c r="AE127">
        <f>HYPERLINK("https://klasma.github.io/Logging_2582/fåglar/A 51258-2025 prioriterade fågelarter.docx", "A 51258-2025")</f>
        <v/>
      </c>
    </row>
    <row r="128" ht="15" customHeight="1">
      <c r="A128" t="inlineStr">
        <is>
          <t>A 51874-2025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45952</v>
      </c>
      <c r="E128" s="1" t="n">
        <v>46270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51874-2025 artfynd.xlsx", "A 51874-2025")</f>
        <v/>
      </c>
      <c r="X128">
        <f>HYPERLINK("https://klasma.github.io/Logging_2582/kartor/A 51874-2025 karta.png", "A 51874-2025")</f>
        <v/>
      </c>
      <c r="Y128">
        <f>HYPERLINK("https://klasma.github.io/Logging_2582/kartor_geotiff/A 51874-2025 georefererad karta.tif", "A 51874-2025")</f>
        <v/>
      </c>
      <c r="AA128">
        <f>HYPERLINK("https://klasma.github.io/Logging_2582/klagomål/A 51874-2025 FSC-klagomål.docx", "A 51874-2025")</f>
        <v/>
      </c>
      <c r="AB128">
        <f>HYPERLINK("https://klasma.github.io/Logging_2582/klagomålsmail/A 51874-2025 FSC-klagomål mail.docx", "A 51874-2025")</f>
        <v/>
      </c>
      <c r="AC128">
        <f>HYPERLINK("https://klasma.github.io/Logging_2582/tillsyn/A 51874-2025 tillsynsbegäran.docx", "A 51874-2025")</f>
        <v/>
      </c>
      <c r="AD128">
        <f>HYPERLINK("https://klasma.github.io/Logging_2582/tillsynsmail/A 51874-2025 tillsynsbegäran mail.docx", "A 51874-2025")</f>
        <v/>
      </c>
    </row>
    <row r="129" ht="15" customHeight="1">
      <c r="A129" t="inlineStr">
        <is>
          <t>A 4878-2026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46048</v>
      </c>
      <c r="E129" s="1" t="n">
        <v>46270</v>
      </c>
      <c r="F129" t="inlineStr">
        <is>
          <t>NORRBOTTENS LÄN</t>
        </is>
      </c>
      <c r="G129" t="inlineStr">
        <is>
          <t>BODEN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padda</t>
        </is>
      </c>
      <c r="W129">
        <f>HYPERLINK("https://klasma.github.io/Logging_2582/artfynd/A 4878-2026 artfynd.xlsx", "A 4878-2026")</f>
        <v/>
      </c>
      <c r="X129">
        <f>HYPERLINK("https://klasma.github.io/Logging_2582/kartor/A 4878-2026 karta.png", "A 4878-2026")</f>
        <v/>
      </c>
      <c r="Y129">
        <f>HYPERLINK("https://klasma.github.io/Logging_2582/kartor_geotiff/A 4878-2026 georefererad karta.tif", "A 4878-2026")</f>
        <v/>
      </c>
      <c r="AA129">
        <f>HYPERLINK("https://klasma.github.io/Logging_2582/klagomål/A 4878-2026 FSC-klagomål.docx", "A 4878-2026")</f>
        <v/>
      </c>
      <c r="AB129">
        <f>HYPERLINK("https://klasma.github.io/Logging_2582/klagomålsmail/A 4878-2026 FSC-klagomål mail.docx", "A 4878-2026")</f>
        <v/>
      </c>
      <c r="AC129">
        <f>HYPERLINK("https://klasma.github.io/Logging_2582/tillsyn/A 4878-2026 tillsynsbegäran.docx", "A 4878-2026")</f>
        <v/>
      </c>
      <c r="AD129">
        <f>HYPERLINK("https://klasma.github.io/Logging_2582/tillsynsmail/A 4878-2026 tillsynsbegäran mail.docx", "A 4878-2026")</f>
        <v/>
      </c>
    </row>
    <row r="130" ht="15" customHeight="1">
      <c r="A130" t="inlineStr">
        <is>
          <t>A 53180-2025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46270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13.2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Lunglav</t>
        </is>
      </c>
      <c r="W130">
        <f>HYPERLINK("https://klasma.github.io/Logging_2582/artfynd/A 53180-2025 artfynd.xlsx", "A 53180-2025")</f>
        <v/>
      </c>
      <c r="X130">
        <f>HYPERLINK("https://klasma.github.io/Logging_2582/kartor/A 53180-2025 karta.png", "A 53180-2025")</f>
        <v/>
      </c>
      <c r="Y130">
        <f>HYPERLINK("https://klasma.github.io/Logging_2582/kartor_geotiff/A 53180-2025 georefererad karta.tif", "A 53180-2025")</f>
        <v/>
      </c>
      <c r="AA130">
        <f>HYPERLINK("https://klasma.github.io/Logging_2582/klagomål/A 53180-2025 FSC-klagomål.docx", "A 53180-2025")</f>
        <v/>
      </c>
      <c r="AB130">
        <f>HYPERLINK("https://klasma.github.io/Logging_2582/klagomålsmail/A 53180-2025 FSC-klagomål mail.docx", "A 53180-2025")</f>
        <v/>
      </c>
      <c r="AC130">
        <f>HYPERLINK("https://klasma.github.io/Logging_2582/tillsyn/A 53180-2025 tillsynsbegäran.docx", "A 53180-2025")</f>
        <v/>
      </c>
      <c r="AD130">
        <f>HYPERLINK("https://klasma.github.io/Logging_2582/tillsynsmail/A 53180-2025 tillsynsbegäran mail.docx", "A 53180-2025")</f>
        <v/>
      </c>
    </row>
    <row r="131" ht="15" customHeight="1">
      <c r="A131" t="inlineStr">
        <is>
          <t>A 53590-2025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46270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7.6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Gulskölding</t>
        </is>
      </c>
      <c r="W131">
        <f>HYPERLINK("https://klasma.github.io/Logging_2582/artfynd/A 53590-2025 artfynd.xlsx", "A 53590-2025")</f>
        <v/>
      </c>
      <c r="X131">
        <f>HYPERLINK("https://klasma.github.io/Logging_2582/kartor/A 53590-2025 karta.png", "A 53590-2025")</f>
        <v/>
      </c>
      <c r="Y131">
        <f>HYPERLINK("https://klasma.github.io/Logging_2582/kartor_geotiff/A 53590-2025 georefererad karta.tif", "A 53590-2025")</f>
        <v/>
      </c>
      <c r="AA131">
        <f>HYPERLINK("https://klasma.github.io/Logging_2582/klagomål/A 53590-2025 FSC-klagomål.docx", "A 53590-2025")</f>
        <v/>
      </c>
      <c r="AB131">
        <f>HYPERLINK("https://klasma.github.io/Logging_2582/klagomålsmail/A 53590-2025 FSC-klagomål mail.docx", "A 53590-2025")</f>
        <v/>
      </c>
      <c r="AC131">
        <f>HYPERLINK("https://klasma.github.io/Logging_2582/tillsyn/A 53590-2025 tillsynsbegäran.docx", "A 53590-2025")</f>
        <v/>
      </c>
      <c r="AD131">
        <f>HYPERLINK("https://klasma.github.io/Logging_2582/tillsynsmail/A 53590-2025 tillsynsbegäran mail.docx", "A 53590-2025")</f>
        <v/>
      </c>
    </row>
    <row r="132" ht="15" customHeight="1">
      <c r="A132" t="inlineStr">
        <is>
          <t>A 54563-2025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46270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10.3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HYPERLINK("https://klasma.github.io/Logging_2582/artfynd/A 54563-2025 artfynd.xlsx", "A 54563-2025")</f>
        <v/>
      </c>
      <c r="X132">
        <f>HYPERLINK("https://klasma.github.io/Logging_2582/kartor/A 54563-2025 karta.png", "A 54563-2025")</f>
        <v/>
      </c>
      <c r="Y132">
        <f>HYPERLINK("https://klasma.github.io/Logging_2582/kartor_geotiff/A 54563-2025 georefererad karta.tif", "A 54563-2025")</f>
        <v/>
      </c>
      <c r="AA132">
        <f>HYPERLINK("https://klasma.github.io/Logging_2582/klagomål/A 54563-2025 FSC-klagomål.docx", "A 54563-2025")</f>
        <v/>
      </c>
      <c r="AB132">
        <f>HYPERLINK("https://klasma.github.io/Logging_2582/klagomålsmail/A 54563-2025 FSC-klagomål mail.docx", "A 54563-2025")</f>
        <v/>
      </c>
      <c r="AC132">
        <f>HYPERLINK("https://klasma.github.io/Logging_2582/tillsyn/A 54563-2025 tillsynsbegäran.docx", "A 54563-2025")</f>
        <v/>
      </c>
      <c r="AD132">
        <f>HYPERLINK("https://klasma.github.io/Logging_2582/tillsynsmail/A 54563-2025 tillsynsbegäran mail.docx", "A 54563-2025")</f>
        <v/>
      </c>
    </row>
    <row r="133" ht="15" customHeight="1">
      <c r="A133" t="inlineStr">
        <is>
          <t>A 49410-2023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46270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HYPERLINK("https://klasma.github.io/Logging_2582/artfynd/A 49410-2023 artfynd.xlsx", "A 49410-2023")</f>
        <v/>
      </c>
      <c r="X133">
        <f>HYPERLINK("https://klasma.github.io/Logging_2582/kartor/A 49410-2023 karta.png", "A 49410-2023")</f>
        <v/>
      </c>
      <c r="Y133">
        <f>HYPERLINK("https://klasma.github.io/Logging_2582/kartor_geotiff/A 49410-2023 georefererad karta.tif", "A 49410-2023")</f>
        <v/>
      </c>
      <c r="AA133">
        <f>HYPERLINK("https://klasma.github.io/Logging_2582/klagomål/A 49410-2023 FSC-klagomål.docx", "A 49410-2023")</f>
        <v/>
      </c>
      <c r="AB133">
        <f>HYPERLINK("https://klasma.github.io/Logging_2582/klagomålsmail/A 49410-2023 FSC-klagomål mail.docx", "A 49410-2023")</f>
        <v/>
      </c>
      <c r="AC133">
        <f>HYPERLINK("https://klasma.github.io/Logging_2582/tillsyn/A 49410-2023 tillsynsbegäran.docx", "A 49410-2023")</f>
        <v/>
      </c>
      <c r="AD133">
        <f>HYPERLINK("https://klasma.github.io/Logging_2582/tillsynsmail/A 49410-2023 tillsynsbegäran mail.docx", "A 49410-2023")</f>
        <v/>
      </c>
    </row>
    <row r="134" ht="15" customHeight="1">
      <c r="A134" t="inlineStr">
        <is>
          <t>A 56598-2025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46270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56598-2025 artfynd.xlsx", "A 56598-2025")</f>
        <v/>
      </c>
      <c r="X134">
        <f>HYPERLINK("https://klasma.github.io/Logging_2582/kartor/A 56598-2025 karta.png", "A 56598-2025")</f>
        <v/>
      </c>
      <c r="Y134">
        <f>HYPERLINK("https://klasma.github.io/Logging_2582/kartor_geotiff/A 56598-2025 georefererad karta.tif", "A 56598-2025")</f>
        <v/>
      </c>
      <c r="AA134">
        <f>HYPERLINK("https://klasma.github.io/Logging_2582/klagomål/A 56598-2025 FSC-klagomål.docx", "A 56598-2025")</f>
        <v/>
      </c>
      <c r="AB134">
        <f>HYPERLINK("https://klasma.github.io/Logging_2582/klagomålsmail/A 56598-2025 FSC-klagomål mail.docx", "A 56598-2025")</f>
        <v/>
      </c>
      <c r="AC134">
        <f>HYPERLINK("https://klasma.github.io/Logging_2582/tillsyn/A 56598-2025 tillsynsbegäran.docx", "A 56598-2025")</f>
        <v/>
      </c>
      <c r="AD134">
        <f>HYPERLINK("https://klasma.github.io/Logging_2582/tillsynsmail/A 56598-2025 tillsynsbegäran mail.docx", "A 56598-2025")</f>
        <v/>
      </c>
    </row>
    <row r="135" ht="15" customHeight="1">
      <c r="A135" t="inlineStr">
        <is>
          <t>A 60196-2025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46270</v>
      </c>
      <c r="F135" t="inlineStr">
        <is>
          <t>NORRBOTTENS LÄN</t>
        </is>
      </c>
      <c r="G135" t="inlineStr">
        <is>
          <t>BODEN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Igelkott</t>
        </is>
      </c>
      <c r="W135">
        <f>HYPERLINK("https://klasma.github.io/Logging_2582/artfynd/A 60196-2025 artfynd.xlsx", "A 60196-2025")</f>
        <v/>
      </c>
      <c r="X135">
        <f>HYPERLINK("https://klasma.github.io/Logging_2582/kartor/A 60196-2025 karta.png", "A 60196-2025")</f>
        <v/>
      </c>
      <c r="Y135">
        <f>HYPERLINK("https://klasma.github.io/Logging_2582/kartor_geotiff/A 60196-2025 georefererad karta.tif", "A 60196-2025")</f>
        <v/>
      </c>
      <c r="AA135">
        <f>HYPERLINK("https://klasma.github.io/Logging_2582/klagomål/A 60196-2025 FSC-klagomål.docx", "A 60196-2025")</f>
        <v/>
      </c>
      <c r="AB135">
        <f>HYPERLINK("https://klasma.github.io/Logging_2582/klagomålsmail/A 60196-2025 FSC-klagomål mail.docx", "A 60196-2025")</f>
        <v/>
      </c>
      <c r="AC135">
        <f>HYPERLINK("https://klasma.github.io/Logging_2582/tillsyn/A 60196-2025 tillsynsbegäran.docx", "A 60196-2025")</f>
        <v/>
      </c>
      <c r="AD135">
        <f>HYPERLINK("https://klasma.github.io/Logging_2582/tillsynsmail/A 60196-2025 tillsynsbegäran mail.docx", "A 60196-2025")</f>
        <v/>
      </c>
    </row>
    <row r="136" ht="15" customHeight="1">
      <c r="A136" t="inlineStr">
        <is>
          <t>A 60781-2025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46270</v>
      </c>
      <c r="F136" t="inlineStr">
        <is>
          <t>NORRBOTTENS LÄN</t>
        </is>
      </c>
      <c r="G136" t="inlineStr">
        <is>
          <t>BODEN</t>
        </is>
      </c>
      <c r="I136" t="n">
        <v>12.3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HYPERLINK("https://klasma.github.io/Logging_2582/artfynd/A 60781-2025 artfynd.xlsx", "A 60781-2025")</f>
        <v/>
      </c>
      <c r="X136">
        <f>HYPERLINK("https://klasma.github.io/Logging_2582/kartor/A 60781-2025 karta.png", "A 60781-2025")</f>
        <v/>
      </c>
      <c r="Y136">
        <f>HYPERLINK("https://klasma.github.io/Logging_2582/kartor_geotiff/A 60781-2025 georefererad karta.tif", "A 60781-2025")</f>
        <v/>
      </c>
      <c r="AA136">
        <f>HYPERLINK("https://klasma.github.io/Logging_2582/klagomål/A 60781-2025 FSC-klagomål.docx", "A 60781-2025")</f>
        <v/>
      </c>
      <c r="AB136">
        <f>HYPERLINK("https://klasma.github.io/Logging_2582/klagomålsmail/A 60781-2025 FSC-klagomål mail.docx", "A 60781-2025")</f>
        <v/>
      </c>
      <c r="AC136">
        <f>HYPERLINK("https://klasma.github.io/Logging_2582/tillsyn/A 60781-2025 tillsynsbegäran.docx", "A 60781-2025")</f>
        <v/>
      </c>
      <c r="AD136">
        <f>HYPERLINK("https://klasma.github.io/Logging_2582/tillsynsmail/A 60781-2025 tillsynsbegäran mail.docx", "A 60781-2025")</f>
        <v/>
      </c>
    </row>
    <row r="137" ht="15" customHeight="1">
      <c r="A137" t="inlineStr">
        <is>
          <t>A 62002-2025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46270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Vitgrynig nållav</t>
        </is>
      </c>
      <c r="W137">
        <f>HYPERLINK("https://klasma.github.io/Logging_2582/artfynd/A 62002-2025 artfynd.xlsx", "A 62002-2025")</f>
        <v/>
      </c>
      <c r="X137">
        <f>HYPERLINK("https://klasma.github.io/Logging_2582/kartor/A 62002-2025 karta.png", "A 62002-2025")</f>
        <v/>
      </c>
      <c r="Y137">
        <f>HYPERLINK("https://klasma.github.io/Logging_2582/kartor_geotiff/A 62002-2025 georefererad karta.tif", "A 62002-2025")</f>
        <v/>
      </c>
      <c r="AA137">
        <f>HYPERLINK("https://klasma.github.io/Logging_2582/klagomål/A 62002-2025 FSC-klagomål.docx", "A 62002-2025")</f>
        <v/>
      </c>
      <c r="AB137">
        <f>HYPERLINK("https://klasma.github.io/Logging_2582/klagomålsmail/A 62002-2025 FSC-klagomål mail.docx", "A 62002-2025")</f>
        <v/>
      </c>
      <c r="AC137">
        <f>HYPERLINK("https://klasma.github.io/Logging_2582/tillsyn/A 62002-2025 tillsynsbegäran.docx", "A 62002-2025")</f>
        <v/>
      </c>
      <c r="AD137">
        <f>HYPERLINK("https://klasma.github.io/Logging_2582/tillsynsmail/A 62002-2025 tillsynsbegäran mail.docx", "A 62002-2025")</f>
        <v/>
      </c>
    </row>
    <row r="138" ht="15" customHeight="1">
      <c r="A138" t="inlineStr">
        <is>
          <t>A 36743-2024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45538</v>
      </c>
      <c r="E138" s="1" t="n">
        <v>46270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36743-2024 artfynd.xlsx", "A 36743-2024")</f>
        <v/>
      </c>
      <c r="X138">
        <f>HYPERLINK("https://klasma.github.io/Logging_2582/kartor/A 36743-2024 karta.png", "A 36743-2024")</f>
        <v/>
      </c>
      <c r="Y138">
        <f>HYPERLINK("https://klasma.github.io/Logging_2582/kartor_geotiff/A 36743-2024 georefererad karta.tif", "A 36743-2024")</f>
        <v/>
      </c>
      <c r="AA138">
        <f>HYPERLINK("https://klasma.github.io/Logging_2582/klagomål/A 36743-2024 FSC-klagomål.docx", "A 36743-2024")</f>
        <v/>
      </c>
      <c r="AB138">
        <f>HYPERLINK("https://klasma.github.io/Logging_2582/klagomålsmail/A 36743-2024 FSC-klagomål mail.docx", "A 36743-2024")</f>
        <v/>
      </c>
      <c r="AC138">
        <f>HYPERLINK("https://klasma.github.io/Logging_2582/tillsyn/A 36743-2024 tillsynsbegäran.docx", "A 36743-2024")</f>
        <v/>
      </c>
      <c r="AD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32600-2024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45513</v>
      </c>
      <c r="E139" s="1" t="n">
        <v>46270</v>
      </c>
      <c r="F139" t="inlineStr">
        <is>
          <t>NORRBOTTENS LÄN</t>
        </is>
      </c>
      <c r="G139" t="inlineStr">
        <is>
          <t>BODEN</t>
        </is>
      </c>
      <c r="I139" t="n">
        <v>2.5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HYPERLINK("https://klasma.github.io/Logging_2582/artfynd/A 32600-2024 artfynd.xlsx", "A 32600-2024")</f>
        <v/>
      </c>
      <c r="X139">
        <f>HYPERLINK("https://klasma.github.io/Logging_2582/kartor/A 32600-2024 karta.png", "A 32600-2024")</f>
        <v/>
      </c>
      <c r="Y139">
        <f>HYPERLINK("https://klasma.github.io/Logging_2582/kartor_geotiff/A 32600-2024 georefererad karta.tif", "A 32600-2024")</f>
        <v/>
      </c>
      <c r="AA139">
        <f>HYPERLINK("https://klasma.github.io/Logging_2582/klagomål/A 32600-2024 FSC-klagomål.docx", "A 32600-2024")</f>
        <v/>
      </c>
      <c r="AB139">
        <f>HYPERLINK("https://klasma.github.io/Logging_2582/klagomålsmail/A 32600-2024 FSC-klagomål mail.docx", "A 32600-2024")</f>
        <v/>
      </c>
      <c r="AC139">
        <f>HYPERLINK("https://klasma.github.io/Logging_2582/tillsyn/A 32600-2024 tillsynsbegäran.docx", "A 32600-2024")</f>
        <v/>
      </c>
      <c r="AD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14329-2026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46270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HYPERLINK("https://klasma.github.io/Logging_2582/artfynd/A 14329-2026 artfynd.xlsx", "A 14329-2026")</f>
        <v/>
      </c>
      <c r="X140">
        <f>HYPERLINK("https://klasma.github.io/Logging_2582/kartor/A 14329-2026 karta.png", "A 14329-2026")</f>
        <v/>
      </c>
      <c r="Y140">
        <f>HYPERLINK("https://klasma.github.io/Logging_2582/kartor_geotiff/A 14329-2026 georefererad karta.tif", "A 14329-2026")</f>
        <v/>
      </c>
      <c r="AA140">
        <f>HYPERLINK("https://klasma.github.io/Logging_2582/klagomål/A 14329-2026 FSC-klagomål.docx", "A 14329-2026")</f>
        <v/>
      </c>
      <c r="AB140">
        <f>HYPERLINK("https://klasma.github.io/Logging_2582/klagomålsmail/A 14329-2026 FSC-klagomål mail.docx", "A 14329-2026")</f>
        <v/>
      </c>
      <c r="AC140">
        <f>HYPERLINK("https://klasma.github.io/Logging_2582/tillsyn/A 14329-2026 tillsynsbegäran.docx", "A 14329-2026")</f>
        <v/>
      </c>
      <c r="AD140">
        <f>HYPERLINK("https://klasma.github.io/Logging_2582/tillsynsmail/A 14329-2026 tillsynsbegäran mail.docx", "A 14329-2026")</f>
        <v/>
      </c>
      <c r="AE140">
        <f>HYPERLINK("https://klasma.github.io/Logging_2582/fåglar/A 14329-2026 prioriterade fågelarter.docx", "A 14329-2026")</f>
        <v/>
      </c>
    </row>
    <row r="141" ht="15" customHeight="1">
      <c r="A141" t="inlineStr">
        <is>
          <t>A 665-2023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46270</v>
      </c>
      <c r="F141" t="inlineStr">
        <is>
          <t>NORRBOTTENS LÄN</t>
        </is>
      </c>
      <c r="G141" t="inlineStr">
        <is>
          <t>BODEN</t>
        </is>
      </c>
      <c r="I141" t="n">
        <v>0.9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Duvhök</t>
        </is>
      </c>
      <c r="W141">
        <f>HYPERLINK("https://klasma.github.io/Logging_2582/artfynd/A 665-2023 artfynd.xlsx", "A 665-2023")</f>
        <v/>
      </c>
      <c r="X141">
        <f>HYPERLINK("https://klasma.github.io/Logging_2582/kartor/A 665-2023 karta.png", "A 665-2023")</f>
        <v/>
      </c>
      <c r="Y141">
        <f>HYPERLINK("https://klasma.github.io/Logging_2582/kartor_geotiff/A 665-2023 georefererad karta.tif", "A 665-2023")</f>
        <v/>
      </c>
      <c r="AA141">
        <f>HYPERLINK("https://klasma.github.io/Logging_2582/klagomål/A 665-2023 FSC-klagomål.docx", "A 665-2023")</f>
        <v/>
      </c>
      <c r="AB141">
        <f>HYPERLINK("https://klasma.github.io/Logging_2582/klagomålsmail/A 665-2023 FSC-klagomål mail.docx", "A 665-2023")</f>
        <v/>
      </c>
      <c r="AC141">
        <f>HYPERLINK("https://klasma.github.io/Logging_2582/tillsyn/A 665-2023 tillsynsbegäran.docx", "A 665-2023")</f>
        <v/>
      </c>
      <c r="AD141">
        <f>HYPERLINK("https://klasma.github.io/Logging_2582/tillsynsmail/A 665-2023 tillsynsbegäran mail.docx", "A 665-2023")</f>
        <v/>
      </c>
      <c r="AE141">
        <f>HYPERLINK("https://klasma.github.io/Logging_2582/fåglar/A 665-2023 prioriterade fågelarter.docx", "A 665-2023")</f>
        <v/>
      </c>
    </row>
    <row r="142" ht="15" customHeight="1">
      <c r="A142" t="inlineStr">
        <is>
          <t>A 19580-2026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46134</v>
      </c>
      <c r="E142" s="1" t="n">
        <v>46270</v>
      </c>
      <c r="F142" t="inlineStr">
        <is>
          <t>NORRBOTTENS LÄN</t>
        </is>
      </c>
      <c r="G142" t="inlineStr">
        <is>
          <t>BODEN</t>
        </is>
      </c>
      <c r="I142" t="n">
        <v>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Dropptaggsvamp</t>
        </is>
      </c>
      <c r="W142">
        <f>HYPERLINK("https://klasma.github.io/Logging_2582/artfynd/A 19580-2026 artfynd.xlsx", "A 19580-2026")</f>
        <v/>
      </c>
      <c r="X142">
        <f>HYPERLINK("https://klasma.github.io/Logging_2582/kartor/A 19580-2026 karta.png", "A 19580-2026")</f>
        <v/>
      </c>
      <c r="Y142">
        <f>HYPERLINK("https://klasma.github.io/Logging_2582/kartor_geotiff/A 19580-2026 georefererad karta.tif", "A 19580-2026")</f>
        <v/>
      </c>
      <c r="AA142">
        <f>HYPERLINK("https://klasma.github.io/Logging_2582/klagomål/A 19580-2026 FSC-klagomål.docx", "A 19580-2026")</f>
        <v/>
      </c>
      <c r="AB142">
        <f>HYPERLINK("https://klasma.github.io/Logging_2582/klagomålsmail/A 19580-2026 FSC-klagomål mail.docx", "A 19580-2026")</f>
        <v/>
      </c>
      <c r="AC142">
        <f>HYPERLINK("https://klasma.github.io/Logging_2582/tillsyn/A 19580-2026 tillsynsbegäran.docx", "A 19580-2026")</f>
        <v/>
      </c>
      <c r="AD142">
        <f>HYPERLINK("https://klasma.github.io/Logging_2582/tillsynsmail/A 19580-2026 tillsynsbegäran mail.docx", "A 19580-2026")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46270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41087-2024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45559</v>
      </c>
      <c r="E144" s="1" t="n">
        <v>46270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HYPERLINK("https://klasma.github.io/Logging_2582/artfynd/A 41087-2024 artfynd.xlsx", "A 41087-2024")</f>
        <v/>
      </c>
      <c r="X144">
        <f>HYPERLINK("https://klasma.github.io/Logging_2582/kartor/A 41087-2024 karta.png", "A 41087-2024")</f>
        <v/>
      </c>
      <c r="Y144">
        <f>HYPERLINK("https://klasma.github.io/Logging_2582/kartor_geotiff/A 41087-2024 georefererad karta.tif", "A 41087-2024")</f>
        <v/>
      </c>
      <c r="AA144">
        <f>HYPERLINK("https://klasma.github.io/Logging_2582/klagomål/A 41087-2024 FSC-klagomål.docx", "A 41087-2024")</f>
        <v/>
      </c>
      <c r="AB144">
        <f>HYPERLINK("https://klasma.github.io/Logging_2582/klagomålsmail/A 41087-2024 FSC-klagomål mail.docx", "A 41087-2024")</f>
        <v/>
      </c>
      <c r="AC144">
        <f>HYPERLINK("https://klasma.github.io/Logging_2582/tillsyn/A 41087-2024 tillsynsbegäran.docx", "A 41087-2024")</f>
        <v/>
      </c>
      <c r="AD144">
        <f>HYPERLINK("https://klasma.github.io/Logging_2582/tillsynsmail/A 41087-2024 tillsynsbegäran mail.docx", "A 41087-2024")</f>
        <v/>
      </c>
    </row>
    <row r="145" ht="15" customHeight="1">
      <c r="A145" t="inlineStr">
        <is>
          <t>A 21310-2026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46147</v>
      </c>
      <c r="E145" s="1" t="n">
        <v>46270</v>
      </c>
      <c r="F145" t="inlineStr">
        <is>
          <t>NORRBOTTENS LÄN</t>
        </is>
      </c>
      <c r="G145" t="inlineStr">
        <is>
          <t>BODEN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Revlummer</t>
        </is>
      </c>
      <c r="W145">
        <f>HYPERLINK("https://klasma.github.io/Logging_2582/artfynd/A 21310-2026 artfynd.xlsx", "A 21310-2026")</f>
        <v/>
      </c>
      <c r="X145">
        <f>HYPERLINK("https://klasma.github.io/Logging_2582/kartor/A 21310-2026 karta.png", "A 21310-2026")</f>
        <v/>
      </c>
      <c r="Y145">
        <f>HYPERLINK("https://klasma.github.io/Logging_2582/kartor_geotiff/A 21310-2026 georefererad karta.tif", "A 21310-2026")</f>
        <v/>
      </c>
      <c r="AA145">
        <f>HYPERLINK("https://klasma.github.io/Logging_2582/klagomål/A 21310-2026 FSC-klagomål.docx", "A 21310-2026")</f>
        <v/>
      </c>
      <c r="AB145">
        <f>HYPERLINK("https://klasma.github.io/Logging_2582/klagomålsmail/A 21310-2026 FSC-klagomål mail.docx", "A 21310-2026")</f>
        <v/>
      </c>
      <c r="AC145">
        <f>HYPERLINK("https://klasma.github.io/Logging_2582/tillsyn/A 21310-2026 tillsynsbegäran.docx", "A 21310-2026")</f>
        <v/>
      </c>
      <c r="AD145">
        <f>HYPERLINK("https://klasma.github.io/Logging_2582/tillsynsmail/A 21310-2026 tillsynsbegäran mail.docx", "A 21310-2026")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46270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46270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HYPERLINK("https://klasma.github.io/Logging_2582/artfynd/A 19396-2022 artfynd.xlsx", "A 19396-2022")</f>
        <v/>
      </c>
      <c r="X147">
        <f>HYPERLINK("https://klasma.github.io/Logging_2582/kartor/A 19396-2022 karta.png", "A 19396-2022")</f>
        <v/>
      </c>
      <c r="Y147">
        <f>HYPERLINK("https://klasma.github.io/Logging_2582/kartor_geotiff/A 19396-2022 georefererad karta.tif", "A 19396-2022")</f>
        <v/>
      </c>
      <c r="AA147">
        <f>HYPERLINK("https://klasma.github.io/Logging_2582/klagomål/A 19396-2022 FSC-klagomål.docx", "A 19396-2022")</f>
        <v/>
      </c>
      <c r="AB147">
        <f>HYPERLINK("https://klasma.github.io/Logging_2582/klagomålsmail/A 19396-2022 FSC-klagomål mail.docx", "A 19396-2022")</f>
        <v/>
      </c>
      <c r="AC147">
        <f>HYPERLINK("https://klasma.github.io/Logging_2582/tillsyn/A 19396-2022 tillsynsbegäran.docx", "A 19396-2022")</f>
        <v/>
      </c>
      <c r="AD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25805-2026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46270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3.6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Plattlummer</t>
        </is>
      </c>
      <c r="W148">
        <f>HYPERLINK("https://klasma.github.io/Logging_2582/artfynd/A 25805-2026 artfynd.xlsx", "A 25805-2026")</f>
        <v/>
      </c>
      <c r="X148">
        <f>HYPERLINK("https://klasma.github.io/Logging_2582/kartor/A 25805-2026 karta.png", "A 25805-2026")</f>
        <v/>
      </c>
      <c r="Y148">
        <f>HYPERLINK("https://klasma.github.io/Logging_2582/kartor_geotiff/A 25805-2026 georefererad karta.tif", "A 25805-2026")</f>
        <v/>
      </c>
      <c r="AA148">
        <f>HYPERLINK("https://klasma.github.io/Logging_2582/klagomål/A 25805-2026 FSC-klagomål.docx", "A 25805-2026")</f>
        <v/>
      </c>
      <c r="AB148">
        <f>HYPERLINK("https://klasma.github.io/Logging_2582/klagomålsmail/A 25805-2026 FSC-klagomål mail.docx", "A 25805-2026")</f>
        <v/>
      </c>
      <c r="AC148">
        <f>HYPERLINK("https://klasma.github.io/Logging_2582/tillsyn/A 25805-2026 tillsynsbegäran.docx", "A 25805-2026")</f>
        <v/>
      </c>
      <c r="AD148">
        <f>HYPERLINK("https://klasma.github.io/Logging_2582/tillsynsmail/A 25805-2026 tillsynsbegäran mail.docx", "A 25805-2026")</f>
        <v/>
      </c>
    </row>
    <row r="149" ht="15" customHeight="1">
      <c r="A149" t="inlineStr">
        <is>
          <t>A 25803-2026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46270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9.9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Spindelblomster</t>
        </is>
      </c>
      <c r="W149">
        <f>HYPERLINK("https://klasma.github.io/Logging_2582/artfynd/A 25803-2026 artfynd.xlsx", "A 25803-2026")</f>
        <v/>
      </c>
      <c r="X149">
        <f>HYPERLINK("https://klasma.github.io/Logging_2582/kartor/A 25803-2026 karta.png", "A 25803-2026")</f>
        <v/>
      </c>
      <c r="Y149">
        <f>HYPERLINK("https://klasma.github.io/Logging_2582/kartor_geotiff/A 25803-2026 georefererad karta.tif", "A 25803-2026")</f>
        <v/>
      </c>
      <c r="AA149">
        <f>HYPERLINK("https://klasma.github.io/Logging_2582/klagomål/A 25803-2026 FSC-klagomål.docx", "A 25803-2026")</f>
        <v/>
      </c>
      <c r="AB149">
        <f>HYPERLINK("https://klasma.github.io/Logging_2582/klagomålsmail/A 25803-2026 FSC-klagomål mail.docx", "A 25803-2026")</f>
        <v/>
      </c>
      <c r="AC149">
        <f>HYPERLINK("https://klasma.github.io/Logging_2582/tillsyn/A 25803-2026 tillsynsbegäran.docx", "A 25803-2026")</f>
        <v/>
      </c>
      <c r="AD149">
        <f>HYPERLINK("https://klasma.github.io/Logging_2582/tillsynsmail/A 25803-2026 tillsynsbegäran mail.docx", "A 25803-2026")</f>
        <v/>
      </c>
    </row>
    <row r="150" ht="15" customHeight="1">
      <c r="A150" t="inlineStr">
        <is>
          <t>A 25801-2026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46270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25801-2026 artfynd.xlsx", "A 25801-2026")</f>
        <v/>
      </c>
      <c r="X150">
        <f>HYPERLINK("https://klasma.github.io/Logging_2582/kartor/A 25801-2026 karta.png", "A 25801-2026")</f>
        <v/>
      </c>
      <c r="Y150">
        <f>HYPERLINK("https://klasma.github.io/Logging_2582/kartor_geotiff/A 25801-2026 georefererad karta.tif", "A 25801-2026")</f>
        <v/>
      </c>
      <c r="Z150">
        <f>HYPERLINK("https://klasma.github.io/Logging_2582/knärot/A 25801-2026 karta knärot.png", "A 25801-2026")</f>
        <v/>
      </c>
      <c r="AA150">
        <f>HYPERLINK("https://klasma.github.io/Logging_2582/klagomål/A 25801-2026 FSC-klagomål.docx", "A 25801-2026")</f>
        <v/>
      </c>
      <c r="AB150">
        <f>HYPERLINK("https://klasma.github.io/Logging_2582/klagomålsmail/A 25801-2026 FSC-klagomål mail.docx", "A 25801-2026")</f>
        <v/>
      </c>
      <c r="AC150">
        <f>HYPERLINK("https://klasma.github.io/Logging_2582/tillsyn/A 25801-2026 tillsynsbegäran.docx", "A 25801-2026")</f>
        <v/>
      </c>
      <c r="AD150">
        <f>HYPERLINK("https://klasma.github.io/Logging_2582/tillsynsmail/A 25801-2026 tillsynsbegäran mail.docx", "A 25801-2026")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46270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46270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32159-2026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46236</v>
      </c>
      <c r="E153" s="1" t="n">
        <v>46270</v>
      </c>
      <c r="F153" t="inlineStr">
        <is>
          <t>NORRBOTTENS LÄN</t>
        </is>
      </c>
      <c r="G153" t="inlineStr">
        <is>
          <t>BODEN</t>
        </is>
      </c>
      <c r="I153" t="n">
        <v>5.8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Vanlig padda</t>
        </is>
      </c>
      <c r="W153">
        <f>HYPERLINK("https://klasma.github.io/Logging_2582/artfynd/A 32159-2026 artfynd.xlsx", "A 32159-2026")</f>
        <v/>
      </c>
      <c r="X153">
        <f>HYPERLINK("https://klasma.github.io/Logging_2582/kartor/A 32159-2026 karta.png", "A 32159-2026")</f>
        <v/>
      </c>
      <c r="Y153">
        <f>HYPERLINK("https://klasma.github.io/Logging_2582/kartor_geotiff/A 32159-2026 georefererad karta.tif", "A 32159-2026")</f>
        <v/>
      </c>
      <c r="AA153">
        <f>HYPERLINK("https://klasma.github.io/Logging_2582/klagomål/A 32159-2026 FSC-klagomål.docx", "A 32159-2026")</f>
        <v/>
      </c>
      <c r="AB153">
        <f>HYPERLINK("https://klasma.github.io/Logging_2582/klagomålsmail/A 32159-2026 FSC-klagomål mail.docx", "A 32159-2026")</f>
        <v/>
      </c>
      <c r="AC153">
        <f>HYPERLINK("https://klasma.github.io/Logging_2582/tillsyn/A 32159-2026 tillsynsbegäran.docx", "A 32159-2026")</f>
        <v/>
      </c>
      <c r="AD153">
        <f>HYPERLINK("https://klasma.github.io/Logging_2582/tillsynsmail/A 32159-2026 tillsynsbegäran mail.docx", "A 32159-2026")</f>
        <v/>
      </c>
    </row>
    <row r="154" ht="15" customHeight="1">
      <c r="A154" t="inlineStr">
        <is>
          <t>A 32708-2026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46241</v>
      </c>
      <c r="E154" s="1" t="n">
        <v>46270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Lunglav</t>
        </is>
      </c>
      <c r="W154">
        <f>HYPERLINK("https://klasma.github.io/Logging_2582/artfynd/A 32708-2026 artfynd.xlsx", "A 32708-2026")</f>
        <v/>
      </c>
      <c r="X154">
        <f>HYPERLINK("https://klasma.github.io/Logging_2582/kartor/A 32708-2026 karta.png", "A 32708-2026")</f>
        <v/>
      </c>
      <c r="Y154">
        <f>HYPERLINK("https://klasma.github.io/Logging_2582/kartor_geotiff/A 32708-2026 georefererad karta.tif", "A 32708-2026")</f>
        <v/>
      </c>
      <c r="AA154">
        <f>HYPERLINK("https://klasma.github.io/Logging_2582/klagomål/A 32708-2026 FSC-klagomål.docx", "A 32708-2026")</f>
        <v/>
      </c>
      <c r="AB154">
        <f>HYPERLINK("https://klasma.github.io/Logging_2582/klagomålsmail/A 32708-2026 FSC-klagomål mail.docx", "A 32708-2026")</f>
        <v/>
      </c>
      <c r="AC154">
        <f>HYPERLINK("https://klasma.github.io/Logging_2582/tillsyn/A 32708-2026 tillsynsbegäran.docx", "A 32708-2026")</f>
        <v/>
      </c>
      <c r="AD154">
        <f>HYPERLINK("https://klasma.github.io/Logging_2582/tillsynsmail/A 32708-2026 tillsynsbegäran mail.docx", "A 32708-2026")</f>
        <v/>
      </c>
    </row>
    <row r="155" ht="15" customHeight="1">
      <c r="A155" t="inlineStr">
        <is>
          <t>A 32664-2026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46240</v>
      </c>
      <c r="E155" s="1" t="n">
        <v>46270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14.3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4</v>
      </c>
      <c r="U155" t="n">
        <v>0</v>
      </c>
      <c r="V155" s="2" t="inlineStr">
        <is>
          <t>Lunglav</t>
        </is>
      </c>
      <c r="W155">
        <f>HYPERLINK("https://klasma.github.io/Logging_2582/artfynd/A 32664-2026 artfynd.xlsx", "A 32664-2026")</f>
        <v/>
      </c>
      <c r="X155">
        <f>HYPERLINK("https://klasma.github.io/Logging_2582/kartor/A 32664-2026 karta.png", "A 32664-2026")</f>
        <v/>
      </c>
      <c r="Y155">
        <f>HYPERLINK("https://klasma.github.io/Logging_2582/kartor_geotiff/A 32664-2026 georefererad karta.tif", "A 32664-2026")</f>
        <v/>
      </c>
      <c r="AA155">
        <f>HYPERLINK("https://klasma.github.io/Logging_2582/klagomål/A 32664-2026 FSC-klagomål.docx", "A 32664-2026")</f>
        <v/>
      </c>
      <c r="AB155">
        <f>HYPERLINK("https://klasma.github.io/Logging_2582/klagomålsmail/A 32664-2026 FSC-klagomål mail.docx", "A 32664-2026")</f>
        <v/>
      </c>
      <c r="AC155">
        <f>HYPERLINK("https://klasma.github.io/Logging_2582/tillsyn/A 32664-2026 tillsynsbegäran.docx", "A 32664-2026")</f>
        <v/>
      </c>
      <c r="AD155">
        <f>HYPERLINK("https://klasma.github.io/Logging_2582/tillsynsmail/A 32664-2026 tillsynsbegäran mail.docx", "A 32664-2026")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46270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46270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46270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35418-2026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46270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4.3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7</v>
      </c>
      <c r="U159" t="n">
        <v>7</v>
      </c>
      <c r="V159" s="2" t="inlineStr">
        <is>
          <t>Knärot</t>
        </is>
      </c>
      <c r="W159">
        <f>HYPERLINK("https://klasma.github.io/Logging_2582/artfynd/A 35418-2026 artfynd.xlsx", "A 35418-2026")</f>
        <v/>
      </c>
      <c r="X159">
        <f>HYPERLINK("https://klasma.github.io/Logging_2582/kartor/A 35418-2026 karta.png", "A 35418-2026")</f>
        <v/>
      </c>
      <c r="Y159">
        <f>HYPERLINK("https://klasma.github.io/Logging_2582/kartor_geotiff/A 35418-2026 georefererad karta.tif", "A 35418-2026")</f>
        <v/>
      </c>
      <c r="Z159">
        <f>HYPERLINK("https://klasma.github.io/Logging_2582/knärot/A 35418-2026 karta knärot.png", "A 35418-2026")</f>
        <v/>
      </c>
      <c r="AA159">
        <f>HYPERLINK("https://klasma.github.io/Logging_2582/klagomål/A 35418-2026 FSC-klagomål.docx", "A 35418-2026")</f>
        <v/>
      </c>
      <c r="AB159">
        <f>HYPERLINK("https://klasma.github.io/Logging_2582/klagomålsmail/A 35418-2026 FSC-klagomål mail.docx", "A 35418-2026")</f>
        <v/>
      </c>
      <c r="AC159">
        <f>HYPERLINK("https://klasma.github.io/Logging_2582/tillsyn/A 35418-2026 tillsynsbegäran.docx", "A 35418-2026")</f>
        <v/>
      </c>
      <c r="AD159">
        <f>HYPERLINK("https://klasma.github.io/Logging_2582/tillsynsmail/A 35418-2026 tillsynsbegäran mail.docx", "A 35418-2026")</f>
        <v/>
      </c>
    </row>
    <row r="160" ht="15" customHeight="1">
      <c r="A160" t="inlineStr">
        <is>
          <t>A 35292-2026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46270</v>
      </c>
      <c r="F160" t="inlineStr">
        <is>
          <t>NORRBOTTENS LÄN</t>
        </is>
      </c>
      <c r="G160" t="inlineStr">
        <is>
          <t>BODEN</t>
        </is>
      </c>
      <c r="I160" t="n">
        <v>4.9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HYPERLINK("https://klasma.github.io/Logging_2582/artfynd/A 35292-2026 artfynd.xlsx", "A 35292-2026")</f>
        <v/>
      </c>
      <c r="X160">
        <f>HYPERLINK("https://klasma.github.io/Logging_2582/kartor/A 35292-2026 karta.png", "A 35292-2026")</f>
        <v/>
      </c>
      <c r="Y160">
        <f>HYPERLINK("https://klasma.github.io/Logging_2582/kartor_geotiff/A 35292-2026 georefererad karta.tif", "A 35292-2026")</f>
        <v/>
      </c>
      <c r="AA160">
        <f>HYPERLINK("https://klasma.github.io/Logging_2582/klagomål/A 35292-2026 FSC-klagomål.docx", "A 35292-2026")</f>
        <v/>
      </c>
      <c r="AB160">
        <f>HYPERLINK("https://klasma.github.io/Logging_2582/klagomålsmail/A 35292-2026 FSC-klagomål mail.docx", "A 35292-2026")</f>
        <v/>
      </c>
      <c r="AC160">
        <f>HYPERLINK("https://klasma.github.io/Logging_2582/tillsyn/A 35292-2026 tillsynsbegäran.docx", "A 35292-2026")</f>
        <v/>
      </c>
      <c r="AD160">
        <f>HYPERLINK("https://klasma.github.io/Logging_2582/tillsynsmail/A 35292-2026 tillsynsbegäran mail.docx", "A 35292-2026")</f>
        <v/>
      </c>
      <c r="AE160">
        <f>HYPERLINK("https://klasma.github.io/Logging_2582/fåglar/A 35292-2026 prioriterade fågelarter.docx", "A 35292-2026")</f>
        <v/>
      </c>
    </row>
    <row r="161" ht="15" customHeight="1">
      <c r="A161" t="inlineStr">
        <is>
          <t>A 35410-2026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46270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9</v>
      </c>
      <c r="U161" t="n">
        <v>9</v>
      </c>
      <c r="V161" s="2" t="inlineStr">
        <is>
          <t>Knärot</t>
        </is>
      </c>
      <c r="W161">
        <f>HYPERLINK("https://klasma.github.io/Logging_2582/artfynd/A 35410-2026 artfynd.xlsx", "A 35410-2026")</f>
        <v/>
      </c>
      <c r="X161">
        <f>HYPERLINK("https://klasma.github.io/Logging_2582/kartor/A 35410-2026 karta.png", "A 35410-2026")</f>
        <v/>
      </c>
      <c r="Y161">
        <f>HYPERLINK("https://klasma.github.io/Logging_2582/kartor_geotiff/A 35410-2026 georefererad karta.tif", "A 35410-2026")</f>
        <v/>
      </c>
      <c r="Z161">
        <f>HYPERLINK("https://klasma.github.io/Logging_2582/knärot/A 35410-2026 karta knärot.png", "A 35410-2026")</f>
        <v/>
      </c>
      <c r="AA161">
        <f>HYPERLINK("https://klasma.github.io/Logging_2582/klagomål/A 35410-2026 FSC-klagomål.docx", "A 35410-2026")</f>
        <v/>
      </c>
      <c r="AB161">
        <f>HYPERLINK("https://klasma.github.io/Logging_2582/klagomålsmail/A 35410-2026 FSC-klagomål mail.docx", "A 35410-2026")</f>
        <v/>
      </c>
      <c r="AC161">
        <f>HYPERLINK("https://klasma.github.io/Logging_2582/tillsyn/A 35410-2026 tillsynsbegäran.docx", "A 35410-2026")</f>
        <v/>
      </c>
      <c r="AD161">
        <f>HYPERLINK("https://klasma.github.io/Logging_2582/tillsynsmail/A 35410-2026 tillsynsbegäran mail.docx", "A 35410-2026")</f>
        <v/>
      </c>
    </row>
    <row r="162" ht="15" customHeight="1">
      <c r="A162" t="inlineStr">
        <is>
          <t>A 2565-2026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46037</v>
      </c>
      <c r="E162" s="1" t="n">
        <v>46270</v>
      </c>
      <c r="F162" t="inlineStr">
        <is>
          <t>NORRBOTTENS LÄN</t>
        </is>
      </c>
      <c r="G162" t="inlineStr">
        <is>
          <t>BODEN</t>
        </is>
      </c>
      <c r="H162" t="inlineStr">
        <is>
          <t>Naturvårdsverket</t>
        </is>
      </c>
      <c r="I162" t="n">
        <v>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2</v>
      </c>
      <c r="V162" s="2" t="inlineStr">
        <is>
          <t>Garnlav</t>
        </is>
      </c>
      <c r="W162">
        <f>HYPERLINK("https://klasma.github.io/Logging_2582/artfynd/A 2565-2026 artfynd.xlsx", "A 2565-2026")</f>
        <v/>
      </c>
      <c r="X162">
        <f>HYPERLINK("https://klasma.github.io/Logging_2582/kartor/A 2565-2026 karta.png", "A 2565-2026")</f>
        <v/>
      </c>
      <c r="Y162">
        <f>HYPERLINK("https://klasma.github.io/Logging_2582/kartor_geotiff/A 2565-2026 georefererad karta.tif", "A 2565-2026")</f>
        <v/>
      </c>
      <c r="AA162">
        <f>HYPERLINK("https://klasma.github.io/Logging_2582/klagomål/A 2565-2026 FSC-klagomål.docx", "A 2565-2026")</f>
        <v/>
      </c>
      <c r="AB162">
        <f>HYPERLINK("https://klasma.github.io/Logging_2582/klagomålsmail/A 2565-2026 FSC-klagomål mail.docx", "A 2565-2026")</f>
        <v/>
      </c>
      <c r="AC162">
        <f>HYPERLINK("https://klasma.github.io/Logging_2582/tillsyn/A 2565-2026 tillsynsbegäran.docx", "A 2565-2026")</f>
        <v/>
      </c>
      <c r="AD162">
        <f>HYPERLINK("https://klasma.github.io/Logging_2582/tillsynsmail/A 2565-2026 tillsynsbegäran mail.docx", "A 2565-2026")</f>
        <v/>
      </c>
    </row>
    <row r="163" ht="15" customHeight="1">
      <c r="A163" t="inlineStr">
        <is>
          <t>A 35299-2026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46270</v>
      </c>
      <c r="F163" t="inlineStr">
        <is>
          <t>NORRBOTTENS LÄN</t>
        </is>
      </c>
      <c r="G163" t="inlineStr">
        <is>
          <t>BODEN</t>
        </is>
      </c>
      <c r="I163" t="n">
        <v>3.3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HYPERLINK("https://klasma.github.io/Logging_2582/artfynd/A 35299-2026 artfynd.xlsx", "A 35299-2026")</f>
        <v/>
      </c>
      <c r="X163">
        <f>HYPERLINK("https://klasma.github.io/Logging_2582/kartor/A 35299-2026 karta.png", "A 35299-2026")</f>
        <v/>
      </c>
      <c r="Y163">
        <f>HYPERLINK("https://klasma.github.io/Logging_2582/kartor_geotiff/A 35299-2026 georefererad karta.tif", "A 35299-2026")</f>
        <v/>
      </c>
      <c r="Z163">
        <f>HYPERLINK("https://klasma.github.io/Logging_2582/knärot/A 35299-2026 karta knärot.png", "A 35299-2026")</f>
        <v/>
      </c>
      <c r="AA163">
        <f>HYPERLINK("https://klasma.github.io/Logging_2582/klagomål/A 35299-2026 FSC-klagomål.docx", "A 35299-2026")</f>
        <v/>
      </c>
      <c r="AB163">
        <f>HYPERLINK("https://klasma.github.io/Logging_2582/klagomålsmail/A 35299-2026 FSC-klagomål mail.docx", "A 35299-2026")</f>
        <v/>
      </c>
      <c r="AC163">
        <f>HYPERLINK("https://klasma.github.io/Logging_2582/tillsyn/A 35299-2026 tillsynsbegäran.docx", "A 35299-2026")</f>
        <v/>
      </c>
      <c r="AD163">
        <f>HYPERLINK("https://klasma.github.io/Logging_2582/tillsynsmail/A 35299-2026 tillsynsbegäran mail.docx", "A 35299-2026")</f>
        <v/>
      </c>
    </row>
    <row r="164" ht="15" customHeight="1">
      <c r="A164" t="inlineStr">
        <is>
          <t>A 35415-2026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46270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2.6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2</v>
      </c>
      <c r="U164" t="n">
        <v>2</v>
      </c>
      <c r="V164" s="2" t="inlineStr">
        <is>
          <t>Knärot</t>
        </is>
      </c>
      <c r="W164">
        <f>HYPERLINK("https://klasma.github.io/Logging_2582/artfynd/A 35415-2026 artfynd.xlsx", "A 35415-2026")</f>
        <v/>
      </c>
      <c r="X164">
        <f>HYPERLINK("https://klasma.github.io/Logging_2582/kartor/A 35415-2026 karta.png", "A 35415-2026")</f>
        <v/>
      </c>
      <c r="Y164">
        <f>HYPERLINK("https://klasma.github.io/Logging_2582/kartor_geotiff/A 35415-2026 georefererad karta.tif", "A 35415-2026")</f>
        <v/>
      </c>
      <c r="Z164">
        <f>HYPERLINK("https://klasma.github.io/Logging_2582/knärot/A 35415-2026 karta knärot.png", "A 35415-2026")</f>
        <v/>
      </c>
      <c r="AA164">
        <f>HYPERLINK("https://klasma.github.io/Logging_2582/klagomål/A 35415-2026 FSC-klagomål.docx", "A 35415-2026")</f>
        <v/>
      </c>
      <c r="AB164">
        <f>HYPERLINK("https://klasma.github.io/Logging_2582/klagomålsmail/A 35415-2026 FSC-klagomål mail.docx", "A 35415-2026")</f>
        <v/>
      </c>
      <c r="AC164">
        <f>HYPERLINK("https://klasma.github.io/Logging_2582/tillsyn/A 35415-2026 tillsynsbegäran.docx", "A 35415-2026")</f>
        <v/>
      </c>
      <c r="AD164">
        <f>HYPERLINK("https://klasma.github.io/Logging_2582/tillsynsmail/A 35415-2026 tillsynsbegäran mail.docx", "A 35415-2026")</f>
        <v/>
      </c>
    </row>
    <row r="165" ht="15" customHeight="1">
      <c r="A165" t="inlineStr">
        <is>
          <t>A 16217-2024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46270</v>
      </c>
      <c r="F165" t="inlineStr">
        <is>
          <t>NORRBOTTENS LÄN</t>
        </is>
      </c>
      <c r="G165" t="inlineStr">
        <is>
          <t>BODEN</t>
        </is>
      </c>
      <c r="I165" t="n">
        <v>7.2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Videsparv</t>
        </is>
      </c>
      <c r="W165">
        <f>HYPERLINK("https://klasma.github.io/Logging_2582/artfynd/A 16217-2024 artfynd.xlsx", "A 16217-2024")</f>
        <v/>
      </c>
      <c r="X165">
        <f>HYPERLINK("https://klasma.github.io/Logging_2582/kartor/A 16217-2024 karta.png", "A 16217-2024")</f>
        <v/>
      </c>
      <c r="Y165">
        <f>HYPERLINK("https://klasma.github.io/Logging_2582/kartor_geotiff/A 16217-2024 georefererad karta.tif", "A 16217-2024")</f>
        <v/>
      </c>
      <c r="AA165">
        <f>HYPERLINK("https://klasma.github.io/Logging_2582/klagomål/A 16217-2024 FSC-klagomål.docx", "A 16217-2024")</f>
        <v/>
      </c>
      <c r="AB165">
        <f>HYPERLINK("https://klasma.github.io/Logging_2582/klagomålsmail/A 16217-2024 FSC-klagomål mail.docx", "A 16217-2024")</f>
        <v/>
      </c>
      <c r="AC165">
        <f>HYPERLINK("https://klasma.github.io/Logging_2582/tillsyn/A 16217-2024 tillsynsbegäran.docx", "A 16217-2024")</f>
        <v/>
      </c>
      <c r="AD165">
        <f>HYPERLINK("https://klasma.github.io/Logging_2582/tillsynsmail/A 16217-2024 tillsynsbegäran mail.docx", "A 16217-2024")</f>
        <v/>
      </c>
      <c r="AE165">
        <f>HYPERLINK("https://klasma.github.io/Logging_2582/fåglar/A 16217-2024 prioriterade fågelarter.docx", "A 16217-2024")</f>
        <v/>
      </c>
    </row>
    <row r="166" ht="15" customHeight="1">
      <c r="A166" t="inlineStr">
        <is>
          <t>A 36130-2026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46267</v>
      </c>
      <c r="E166" s="1" t="n">
        <v>46270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3.8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Vedflamlav</t>
        </is>
      </c>
      <c r="W166">
        <f>HYPERLINK("https://klasma.github.io/Logging_2582/artfynd/A 36130-2026 artfynd.xlsx", "A 36130-2026")</f>
        <v/>
      </c>
      <c r="X166">
        <f>HYPERLINK("https://klasma.github.io/Logging_2582/kartor/A 36130-2026 karta.png", "A 36130-2026")</f>
        <v/>
      </c>
      <c r="Y166">
        <f>HYPERLINK("https://klasma.github.io/Logging_2582/kartor_geotiff/A 36130-2026 georefererad karta.tif", "A 36130-2026")</f>
        <v/>
      </c>
      <c r="AA166">
        <f>HYPERLINK("https://klasma.github.io/Logging_2582/klagomål/A 36130-2026 FSC-klagomål.docx", "A 36130-2026")</f>
        <v/>
      </c>
      <c r="AB166">
        <f>HYPERLINK("https://klasma.github.io/Logging_2582/klagomålsmail/A 36130-2026 FSC-klagomål mail.docx", "A 36130-2026")</f>
        <v/>
      </c>
      <c r="AC166">
        <f>HYPERLINK("https://klasma.github.io/Logging_2582/tillsyn/A 36130-2026 tillsynsbegäran.docx", "A 36130-2026")</f>
        <v/>
      </c>
      <c r="AD166">
        <f>HYPERLINK("https://klasma.github.io/Logging_2582/tillsynsmail/A 36130-2026 tillsynsbegäran mail.docx", "A 36130-2026")</f>
        <v/>
      </c>
    </row>
    <row r="167" ht="15" customHeight="1">
      <c r="A167" t="inlineStr">
        <is>
          <t>S 187-2023</t>
        </is>
      </c>
      <c r="B167" t="inlineStr">
        <is>
          <t>samrådsanmälan</t>
        </is>
      </c>
      <c r="C167" t="inlineStr">
        <is>
          <t>Skogsgödsling</t>
        </is>
      </c>
      <c r="D167" s="1" t="n">
        <v>44944</v>
      </c>
      <c r="E167" s="1" t="n">
        <v>46270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407.1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Duvhök</t>
        </is>
      </c>
      <c r="W167">
        <f>HYPERLINK("https://klasma.github.io/Logging_2582/artfynd/S 187-2023 artfynd.xlsx", "S 187-2023")</f>
        <v/>
      </c>
      <c r="X167">
        <f>HYPERLINK("https://klasma.github.io/Logging_2582/kartor/S 187-2023 karta.png", "S 187-2023")</f>
        <v/>
      </c>
      <c r="Y167">
        <f>HYPERLINK("https://klasma.github.io/Logging_2582/kartor_geotiff/S 187-2023 georefererad karta.tif", "S 187-2023")</f>
        <v/>
      </c>
      <c r="AA167">
        <f>HYPERLINK("https://klasma.github.io/Logging_2582/klagomål/S 187-2023 FSC-klagomål.docx", "S 187-2023")</f>
        <v/>
      </c>
      <c r="AB167">
        <f>HYPERLINK("https://klasma.github.io/Logging_2582/klagomålsmail/S 187-2023 FSC-klagomål mail.docx", "S 187-2023")</f>
        <v/>
      </c>
      <c r="AC167">
        <f>HYPERLINK("https://klasma.github.io/Logging_2582/tillsyn/S 187-2023 tillsynsbegäran.docx", "S 187-2023")</f>
        <v/>
      </c>
      <c r="AD167">
        <f>HYPERLINK("https://klasma.github.io/Logging_2582/tillsynsmail/S 187-2023 tillsynsbegäran mail.docx", "S 187-2023")</f>
        <v/>
      </c>
      <c r="AE167">
        <f>HYPERLINK("https://klasma.github.io/Logging_2582/fåglar/S 187-2023 prioriterade fågelarter.docx", "S 187-2023")</f>
        <v/>
      </c>
    </row>
    <row r="168" ht="15" customHeight="1">
      <c r="A168" t="inlineStr">
        <is>
          <t>S 1448-2024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45418</v>
      </c>
      <c r="E168" s="1" t="n">
        <v>46270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HYPERLINK("https://klasma.github.io/Logging_2582/artfynd/S 1448-2024 artfynd.xlsx", "S 1448-2024")</f>
        <v/>
      </c>
      <c r="X168">
        <f>HYPERLINK("https://klasma.github.io/Logging_2582/kartor/S 1448-2024 karta.png", "S 1448-2024")</f>
        <v/>
      </c>
      <c r="Y168">
        <f>HYPERLINK("https://klasma.github.io/Logging_2582/kartor_geotiff/S 1448-2024 georefererad karta.tif", "S 1448-2024")</f>
        <v/>
      </c>
      <c r="AA168">
        <f>HYPERLINK("https://klasma.github.io/Logging_2582/klagomål/S 1448-2024 FSC-klagomål.docx", "S 1448-2024")</f>
        <v/>
      </c>
      <c r="AB168">
        <f>HYPERLINK("https://klasma.github.io/Logging_2582/klagomålsmail/S 1448-2024 FSC-klagomål mail.docx", "S 1448-2024")</f>
        <v/>
      </c>
      <c r="AC168">
        <f>HYPERLINK("https://klasma.github.io/Logging_2582/tillsyn/S 1448-2024 tillsynsbegäran.docx", "S 1448-2024")</f>
        <v/>
      </c>
      <c r="AD168">
        <f>HYPERLINK("https://klasma.github.io/Logging_2582/tillsynsmail/S 1448-2024 tillsynsbegäran mail.docx", "S 1448-2024")</f>
        <v/>
      </c>
    </row>
    <row r="169" ht="15" customHeight="1">
      <c r="A169" t="inlineStr">
        <is>
          <t>S 1234-2023</t>
        </is>
      </c>
      <c r="B169" t="inlineStr">
        <is>
          <t>samrådsanmälan</t>
        </is>
      </c>
      <c r="C169" t="inlineStr">
        <is>
          <t>Skogsgödsling</t>
        </is>
      </c>
      <c r="D169" s="1" t="n">
        <v>45028</v>
      </c>
      <c r="E169" s="1" t="n">
        <v>46270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100.1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HYPERLINK("https://klasma.github.io/Logging_2582/artfynd/S 1234-2023 artfynd.xlsx", "S 1234-2023")</f>
        <v/>
      </c>
      <c r="X169">
        <f>HYPERLINK("https://klasma.github.io/Logging_2582/kartor/S 1234-2023 karta.png", "S 1234-2023")</f>
        <v/>
      </c>
      <c r="Y169">
        <f>HYPERLINK("https://klasma.github.io/Logging_2582/kartor_geotiff/S 1234-2023 georefererad karta.tif", "S 1234-2023")</f>
        <v/>
      </c>
      <c r="AA169">
        <f>HYPERLINK("https://klasma.github.io/Logging_2582/klagomål/S 1234-2023 FSC-klagomål.docx", "S 1234-2023")</f>
        <v/>
      </c>
      <c r="AB169">
        <f>HYPERLINK("https://klasma.github.io/Logging_2582/klagomålsmail/S 1234-2023 FSC-klagomål mail.docx", "S 1234-2023")</f>
        <v/>
      </c>
      <c r="AC169">
        <f>HYPERLINK("https://klasma.github.io/Logging_2582/tillsyn/S 1234-2023 tillsynsbegäran.docx", "S 1234-2023")</f>
        <v/>
      </c>
      <c r="AD169">
        <f>HYPERLINK("https://klasma.github.io/Logging_2582/tillsynsmail/S 1234-2023 tillsynsbegäran mail.docx", "S 1234-2023")</f>
        <v/>
      </c>
    </row>
    <row r="170" ht="15" customHeight="1">
      <c r="A170" t="inlineStr">
        <is>
          <t>S 5116-2024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45643</v>
      </c>
      <c r="E170" s="1" t="n">
        <v>46270</v>
      </c>
      <c r="F170" t="inlineStr">
        <is>
          <t>NORRBOTTENS LÄN</t>
        </is>
      </c>
      <c r="G170" t="inlineStr">
        <is>
          <t>BODEN</t>
        </is>
      </c>
      <c r="I170" t="n">
        <v>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Mattlummer</t>
        </is>
      </c>
      <c r="W170">
        <f>HYPERLINK("https://klasma.github.io/Logging_2582/artfynd/S 5116-2024 artfynd.xlsx", "S 5116-2024")</f>
        <v/>
      </c>
      <c r="X170">
        <f>HYPERLINK("https://klasma.github.io/Logging_2582/kartor/S 5116-2024 karta.png", "S 5116-2024")</f>
        <v/>
      </c>
      <c r="Y170">
        <f>HYPERLINK("https://klasma.github.io/Logging_2582/kartor_geotiff/S 5116-2024 georefererad karta.tif", "S 5116-2024")</f>
        <v/>
      </c>
      <c r="AA170">
        <f>HYPERLINK("https://klasma.github.io/Logging_2582/klagomål/S 5116-2024 FSC-klagomål.docx", "S 5116-2024")</f>
        <v/>
      </c>
      <c r="AB170">
        <f>HYPERLINK("https://klasma.github.io/Logging_2582/klagomålsmail/S 5116-2024 FSC-klagomål mail.docx", "S 5116-2024")</f>
        <v/>
      </c>
      <c r="AC170">
        <f>HYPERLINK("https://klasma.github.io/Logging_2582/tillsyn/S 5116-2024 tillsynsbegäran.docx", "S 5116-2024")</f>
        <v/>
      </c>
      <c r="AD170">
        <f>HYPERLINK("https://klasma.github.io/Logging_2582/tillsynsmail/S 5116-2024 tillsynsbegäran mail.docx", "S 5116-2024")</f>
        <v/>
      </c>
    </row>
    <row r="171" ht="15" customHeight="1">
      <c r="A171" t="inlineStr">
        <is>
          <t>S 1634-2025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45799</v>
      </c>
      <c r="E171" s="1" t="n">
        <v>46270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1.9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HYPERLINK("https://klasma.github.io/Logging_2582/artfynd/S 1634-2025 artfynd.xlsx", "S 1634-2025")</f>
        <v/>
      </c>
      <c r="X171">
        <f>HYPERLINK("https://klasma.github.io/Logging_2582/kartor/S 1634-2025 karta.png", "S 1634-2025")</f>
        <v/>
      </c>
      <c r="Y171">
        <f>HYPERLINK("https://klasma.github.io/Logging_2582/kartor_geotiff/S 1634-2025 georefererad karta.tif", "S 1634-2025")</f>
        <v/>
      </c>
      <c r="Z171">
        <f>HYPERLINK("https://klasma.github.io/Logging_2582/knärot/S 1634-2025 karta knärot.png", "S 1634-2025")</f>
        <v/>
      </c>
      <c r="AA171">
        <f>HYPERLINK("https://klasma.github.io/Logging_2582/klagomål/S 1634-2025 FSC-klagomål.docx", "S 1634-2025")</f>
        <v/>
      </c>
      <c r="AB171">
        <f>HYPERLINK("https://klasma.github.io/Logging_2582/klagomålsmail/S 1634-2025 FSC-klagomål mail.docx", "S 1634-2025")</f>
        <v/>
      </c>
      <c r="AC171">
        <f>HYPERLINK("https://klasma.github.io/Logging_2582/tillsyn/S 1634-2025 tillsynsbegäran.docx", "S 1634-2025")</f>
        <v/>
      </c>
      <c r="AD171">
        <f>HYPERLINK("https://klasma.github.io/Logging_2582/tillsynsmail/S 1634-2025 tillsynsbegäran mail.docx", "S 1634-2025")</f>
        <v/>
      </c>
    </row>
    <row r="172" ht="15" customHeight="1">
      <c r="A172" t="inlineStr">
        <is>
          <t>S 2450-2025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45901</v>
      </c>
      <c r="E172" s="1" t="n">
        <v>46270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1.7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HYPERLINK("https://klasma.github.io/Logging_2582/artfynd/S 2450-2025 artfynd.xlsx", "S 2450-2025")</f>
        <v/>
      </c>
      <c r="X172">
        <f>HYPERLINK("https://klasma.github.io/Logging_2582/kartor/S 2450-2025 karta.png", "S 2450-2025")</f>
        <v/>
      </c>
      <c r="Y172">
        <f>HYPERLINK("https://klasma.github.io/Logging_2582/kartor_geotiff/S 2450-2025 georefererad karta.tif", "S 2450-2025")</f>
        <v/>
      </c>
      <c r="AA172">
        <f>HYPERLINK("https://klasma.github.io/Logging_2582/klagomål/S 2450-2025 FSC-klagomål.docx", "S 2450-2025")</f>
        <v/>
      </c>
      <c r="AB172">
        <f>HYPERLINK("https://klasma.github.io/Logging_2582/klagomålsmail/S 2450-2025 FSC-klagomål mail.docx", "S 2450-2025")</f>
        <v/>
      </c>
      <c r="AC172">
        <f>HYPERLINK("https://klasma.github.io/Logging_2582/tillsyn/S 2450-2025 tillsynsbegäran.docx", "S 2450-2025")</f>
        <v/>
      </c>
      <c r="AD172">
        <f>HYPERLINK("https://klasma.github.io/Logging_2582/tillsynsmail/S 2450-2025 tillsynsbegäran mail.docx", "S 2450-2025")</f>
        <v/>
      </c>
    </row>
    <row r="173" ht="15" customHeight="1">
      <c r="A173" t="inlineStr">
        <is>
          <t>S 2940-2025</t>
        </is>
      </c>
      <c r="B173" t="inlineStr">
        <is>
          <t>samrådsanmälan</t>
        </is>
      </c>
      <c r="C173" t="inlineStr">
        <is>
          <t>Annan skogsbruksåtgärd</t>
        </is>
      </c>
      <c r="D173" s="1" t="n">
        <v>45952</v>
      </c>
      <c r="E173" s="1" t="n">
        <v>46270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0.7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Skinnlav</t>
        </is>
      </c>
      <c r="W173">
        <f>HYPERLINK("https://klasma.github.io/Logging_2582/artfynd/S 2940-2025 artfynd.xlsx", "S 2940-2025")</f>
        <v/>
      </c>
      <c r="X173">
        <f>HYPERLINK("https://klasma.github.io/Logging_2582/kartor/S 2940-2025 karta.png", "S 2940-2025")</f>
        <v/>
      </c>
      <c r="Y173">
        <f>HYPERLINK("https://klasma.github.io/Logging_2582/kartor_geotiff/S 2940-2025 georefererad karta.tif", "S 2940-2025")</f>
        <v/>
      </c>
      <c r="AA173">
        <f>HYPERLINK("https://klasma.github.io/Logging_2582/klagomål/S 2940-2025 FSC-klagomål.docx", "S 2940-2025")</f>
        <v/>
      </c>
      <c r="AB173">
        <f>HYPERLINK("https://klasma.github.io/Logging_2582/klagomålsmail/S 2940-2025 FSC-klagomål mail.docx", "S 2940-2025")</f>
        <v/>
      </c>
      <c r="AC173">
        <f>HYPERLINK("https://klasma.github.io/Logging_2582/tillsyn/S 2940-2025 tillsynsbegäran.docx", "S 2940-2025")</f>
        <v/>
      </c>
      <c r="AD173">
        <f>HYPERLINK("https://klasma.github.io/Logging_2582/tillsynsmail/S 2940-2025 tillsynsbegäran mail.docx", "S 2940-2025")</f>
        <v/>
      </c>
    </row>
    <row r="174" ht="15" customHeight="1">
      <c r="A174" t="inlineStr">
        <is>
          <t>A 63790-2021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44509</v>
      </c>
      <c r="E174" s="1" t="n">
        <v>46270</v>
      </c>
      <c r="F174" t="inlineStr">
        <is>
          <t>NORRBOTTENS LÄN</t>
        </is>
      </c>
      <c r="G174" t="inlineStr">
        <is>
          <t>BODEN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44677</v>
      </c>
      <c r="E175" s="1" t="n">
        <v>46270</v>
      </c>
      <c r="F175" t="inlineStr">
        <is>
          <t>NORRBOTTENS LÄN</t>
        </is>
      </c>
      <c r="G175" t="inlineStr">
        <is>
          <t>BODEN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44577</v>
      </c>
      <c r="E176" s="1" t="n">
        <v>46270</v>
      </c>
      <c r="F176" t="inlineStr">
        <is>
          <t>NORRBOTTENS LÄN</t>
        </is>
      </c>
      <c r="G176" t="inlineStr">
        <is>
          <t>BODEN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15406-2022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46270</v>
      </c>
      <c r="F177" t="inlineStr">
        <is>
          <t>NORRBOTTENS LÄN</t>
        </is>
      </c>
      <c r="G177" t="inlineStr">
        <is>
          <t>BODEN</t>
        </is>
      </c>
      <c r="I177" t="n">
        <v>11.2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46270</v>
      </c>
      <c r="F178" t="inlineStr">
        <is>
          <t>NORRBOTTENS LÄN</t>
        </is>
      </c>
      <c r="G178" t="inlineStr">
        <is>
          <t>BODEN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46270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46270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51963-2021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44463</v>
      </c>
      <c r="E181" s="1" t="n">
        <v>46270</v>
      </c>
      <c r="F181" t="inlineStr">
        <is>
          <t>NORRBOTTENS LÄN</t>
        </is>
      </c>
      <c r="G181" t="inlineStr">
        <is>
          <t>BODEN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38722-2022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44815</v>
      </c>
      <c r="E182" s="1" t="n">
        <v>46270</v>
      </c>
      <c r="F182" t="inlineStr">
        <is>
          <t>NORRBOTTENS LÄN</t>
        </is>
      </c>
      <c r="G182" t="inlineStr">
        <is>
          <t>BODEN</t>
        </is>
      </c>
      <c r="H182" t="inlineStr">
        <is>
          <t>Övriga statliga verk och myndigheter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13577-2022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44648</v>
      </c>
      <c r="E183" s="1" t="n">
        <v>46270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51902-2021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46270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9527-2022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44617</v>
      </c>
      <c r="E185" s="1" t="n">
        <v>46270</v>
      </c>
      <c r="F185" t="inlineStr">
        <is>
          <t>NORRBOTTENS LÄN</t>
        </is>
      </c>
      <c r="G185" t="inlineStr">
        <is>
          <t>BODEN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44648</v>
      </c>
      <c r="E186" s="1" t="n">
        <v>46270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44464</v>
      </c>
      <c r="E187" s="1" t="n">
        <v>46270</v>
      </c>
      <c r="F187" t="inlineStr">
        <is>
          <t>NORRBOTTENS LÄN</t>
        </is>
      </c>
      <c r="G187" t="inlineStr">
        <is>
          <t>BODEN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46270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46270</v>
      </c>
      <c r="F189" t="inlineStr">
        <is>
          <t>NORRBOTTENS LÄN</t>
        </is>
      </c>
      <c r="G189" t="inlineStr">
        <is>
          <t>BODEN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46270</v>
      </c>
      <c r="F190" t="inlineStr">
        <is>
          <t>NORRBOTTENS LÄN</t>
        </is>
      </c>
      <c r="G190" t="inlineStr">
        <is>
          <t>BODEN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16478-2022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46270</v>
      </c>
      <c r="F191" t="inlineStr">
        <is>
          <t>NORRBOTTENS LÄN</t>
        </is>
      </c>
      <c r="G191" t="inlineStr">
        <is>
          <t>BODEN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46270</v>
      </c>
      <c r="F192" t="inlineStr">
        <is>
          <t>NORRBOTTENS LÄN</t>
        </is>
      </c>
      <c r="G192" t="inlineStr">
        <is>
          <t>BODEN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46270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44721</v>
      </c>
      <c r="E194" s="1" t="n">
        <v>46270</v>
      </c>
      <c r="F194" t="inlineStr">
        <is>
          <t>NORRBOTTENS LÄN</t>
        </is>
      </c>
      <c r="G194" t="inlineStr">
        <is>
          <t>BODEN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71833-2021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44543</v>
      </c>
      <c r="E195" s="1" t="n">
        <v>46270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68914-2021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46270</v>
      </c>
      <c r="F196" t="inlineStr">
        <is>
          <t>NORRBOTTENS LÄN</t>
        </is>
      </c>
      <c r="G196" t="inlineStr">
        <is>
          <t>BODEN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13552-2022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44648</v>
      </c>
      <c r="E197" s="1" t="n">
        <v>46270</v>
      </c>
      <c r="F197" t="inlineStr">
        <is>
          <t>NORRBOTTENS LÄN</t>
        </is>
      </c>
      <c r="G197" t="inlineStr">
        <is>
          <t>BODEN</t>
        </is>
      </c>
      <c r="H197" t="inlineStr">
        <is>
          <t>Sveaskog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46270</v>
      </c>
      <c r="F198" t="inlineStr">
        <is>
          <t>NORRBOTTENS LÄN</t>
        </is>
      </c>
      <c r="G198" t="inlineStr">
        <is>
          <t>BODEN</t>
        </is>
      </c>
      <c r="H198" t="inlineStr">
        <is>
          <t>SCA</t>
        </is>
      </c>
      <c r="I198" t="n">
        <v>9.199999999999999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44734</v>
      </c>
      <c r="E199" s="1" t="n">
        <v>46270</v>
      </c>
      <c r="F199" t="inlineStr">
        <is>
          <t>NORRBOTTENS LÄN</t>
        </is>
      </c>
      <c r="G199" t="inlineStr">
        <is>
          <t>BODEN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710-2022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46270</v>
      </c>
      <c r="F200" t="inlineStr">
        <is>
          <t>NORRBOTTENS LÄN</t>
        </is>
      </c>
      <c r="G200" t="inlineStr">
        <is>
          <t>BODEN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714-2022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46270</v>
      </c>
      <c r="F201" t="inlineStr">
        <is>
          <t>NORRBOTTENS LÄN</t>
        </is>
      </c>
      <c r="G201" t="inlineStr">
        <is>
          <t>BODEN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44600</v>
      </c>
      <c r="E202" s="1" t="n">
        <v>46270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29119-2022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44749</v>
      </c>
      <c r="E203" s="1" t="n">
        <v>46270</v>
      </c>
      <c r="F203" t="inlineStr">
        <is>
          <t>NORRBOTTENS LÄN</t>
        </is>
      </c>
      <c r="G203" t="inlineStr">
        <is>
          <t>BODEN</t>
        </is>
      </c>
      <c r="I203" t="n">
        <v>10.4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46270</v>
      </c>
      <c r="F204" t="inlineStr">
        <is>
          <t>NORRBOTTENS LÄN</t>
        </is>
      </c>
      <c r="G204" t="inlineStr">
        <is>
          <t>BODEN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69124-2021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44530</v>
      </c>
      <c r="E205" s="1" t="n">
        <v>46270</v>
      </c>
      <c r="F205" t="inlineStr">
        <is>
          <t>NORRBOTTENS LÄN</t>
        </is>
      </c>
      <c r="G205" t="inlineStr">
        <is>
          <t>BODEN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46270</v>
      </c>
      <c r="F206" t="inlineStr">
        <is>
          <t>NORRBOTTENS LÄN</t>
        </is>
      </c>
      <c r="G206" t="inlineStr">
        <is>
          <t>BODEN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44565</v>
      </c>
      <c r="E207" s="1" t="n">
        <v>46270</v>
      </c>
      <c r="F207" t="inlineStr">
        <is>
          <t>NORRBOTTENS LÄN</t>
        </is>
      </c>
      <c r="G207" t="inlineStr">
        <is>
          <t>BODEN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44573</v>
      </c>
      <c r="E208" s="1" t="n">
        <v>46270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711-2022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46270</v>
      </c>
      <c r="F209" t="inlineStr">
        <is>
          <t>NORRBOTTENS LÄN</t>
        </is>
      </c>
      <c r="G209" t="inlineStr">
        <is>
          <t>BODEN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44617</v>
      </c>
      <c r="E210" s="1" t="n">
        <v>46270</v>
      </c>
      <c r="F210" t="inlineStr">
        <is>
          <t>NORRBOTTENS LÄN</t>
        </is>
      </c>
      <c r="G210" t="inlineStr">
        <is>
          <t>BODEN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46270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11.3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46270</v>
      </c>
      <c r="F212" t="inlineStr">
        <is>
          <t>NORRBOTTENS LÄN</t>
        </is>
      </c>
      <c r="G212" t="inlineStr">
        <is>
          <t>BODEN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44596</v>
      </c>
      <c r="E213" s="1" t="n">
        <v>46270</v>
      </c>
      <c r="F213" t="inlineStr">
        <is>
          <t>NORRBOTTENS LÄN</t>
        </is>
      </c>
      <c r="G213" t="inlineStr">
        <is>
          <t>BODEN</t>
        </is>
      </c>
      <c r="H213" t="inlineStr">
        <is>
          <t>Övriga statliga verk och myndigheter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46270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46270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46270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44743</v>
      </c>
      <c r="E217" s="1" t="n">
        <v>46270</v>
      </c>
      <c r="F217" t="inlineStr">
        <is>
          <t>NORRBOTTENS LÄN</t>
        </is>
      </c>
      <c r="G217" t="inlineStr">
        <is>
          <t>BODEN</t>
        </is>
      </c>
      <c r="I217" t="n">
        <v>13.5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56485-2021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46270</v>
      </c>
      <c r="F218" t="inlineStr">
        <is>
          <t>NORRBOTTENS LÄN</t>
        </is>
      </c>
      <c r="G218" t="inlineStr">
        <is>
          <t>BODEN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68569-2021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46270</v>
      </c>
      <c r="F219" t="inlineStr">
        <is>
          <t>NORRBOTTENS LÄN</t>
        </is>
      </c>
      <c r="G219" t="inlineStr">
        <is>
          <t>BODEN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452-2022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44565</v>
      </c>
      <c r="E220" s="1" t="n">
        <v>46270</v>
      </c>
      <c r="F220" t="inlineStr">
        <is>
          <t>NORRBOTTENS LÄN</t>
        </is>
      </c>
      <c r="G220" t="inlineStr">
        <is>
          <t>BODEN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44635</v>
      </c>
      <c r="E221" s="1" t="n">
        <v>46270</v>
      </c>
      <c r="F221" t="inlineStr">
        <is>
          <t>NORRBOTTENS LÄN</t>
        </is>
      </c>
      <c r="G221" t="inlineStr">
        <is>
          <t>BODEN</t>
        </is>
      </c>
      <c r="H221" t="inlineStr">
        <is>
          <t>Kyrkan</t>
        </is>
      </c>
      <c r="I221" t="n">
        <v>16.5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46270</v>
      </c>
      <c r="F222" t="inlineStr">
        <is>
          <t>NORRBOTTENS LÄN</t>
        </is>
      </c>
      <c r="G222" t="inlineStr">
        <is>
          <t>BODEN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46270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46270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57583-2021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44484</v>
      </c>
      <c r="E225" s="1" t="n">
        <v>46270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46270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44795</v>
      </c>
      <c r="E227" s="1" t="n">
        <v>46270</v>
      </c>
      <c r="F227" t="inlineStr">
        <is>
          <t>NORRBOTTENS LÄN</t>
        </is>
      </c>
      <c r="G227" t="inlineStr">
        <is>
          <t>BODEN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38213-2022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46270</v>
      </c>
      <c r="F228" t="inlineStr">
        <is>
          <t>NORRBOTTENS LÄN</t>
        </is>
      </c>
      <c r="G228" t="inlineStr">
        <is>
          <t>BODEN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46270</v>
      </c>
      <c r="F229" t="inlineStr">
        <is>
          <t>NORRBOTTENS LÄN</t>
        </is>
      </c>
      <c r="G229" t="inlineStr">
        <is>
          <t>BODEN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45310</v>
      </c>
      <c r="E230" s="1" t="n">
        <v>46270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73910-2021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46270</v>
      </c>
      <c r="F231" t="inlineStr">
        <is>
          <t>NORRBOTTENS LÄN</t>
        </is>
      </c>
      <c r="G231" t="inlineStr">
        <is>
          <t>BODEN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52075-2021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44463</v>
      </c>
      <c r="E232" s="1" t="n">
        <v>46270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45022</v>
      </c>
      <c r="E233" s="1" t="n">
        <v>46270</v>
      </c>
      <c r="F233" t="inlineStr">
        <is>
          <t>NORRBOTTENS LÄN</t>
        </is>
      </c>
      <c r="G233" t="inlineStr">
        <is>
          <t>BODEN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46270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46270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44609</v>
      </c>
      <c r="E236" s="1" t="n">
        <v>46270</v>
      </c>
      <c r="F236" t="inlineStr">
        <is>
          <t>NORRBOTTENS LÄN</t>
        </is>
      </c>
      <c r="G236" t="inlineStr">
        <is>
          <t>BODEN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46270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44881</v>
      </c>
      <c r="E238" s="1" t="n">
        <v>46270</v>
      </c>
      <c r="F238" t="inlineStr">
        <is>
          <t>NORRBOTTENS LÄN</t>
        </is>
      </c>
      <c r="G238" t="inlineStr">
        <is>
          <t>BODEN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46270</v>
      </c>
      <c r="F239" t="inlineStr">
        <is>
          <t>NORRBOTTENS LÄN</t>
        </is>
      </c>
      <c r="G239" t="inlineStr">
        <is>
          <t>BODEN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44783</v>
      </c>
      <c r="E240" s="1" t="n">
        <v>46270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45125</v>
      </c>
      <c r="E241" s="1" t="n">
        <v>46270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45635</v>
      </c>
      <c r="E242" s="1" t="n">
        <v>46270</v>
      </c>
      <c r="F242" t="inlineStr">
        <is>
          <t>NORRBOTTENS LÄN</t>
        </is>
      </c>
      <c r="G242" t="inlineStr">
        <is>
          <t>BODEN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46270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46270</v>
      </c>
      <c r="F244" t="inlineStr">
        <is>
          <t>NORRBOTTENS LÄN</t>
        </is>
      </c>
      <c r="G244" t="inlineStr">
        <is>
          <t>BODEN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46270</v>
      </c>
      <c r="F245" t="inlineStr">
        <is>
          <t>NORRBOTTENS LÄN</t>
        </is>
      </c>
      <c r="G245" t="inlineStr">
        <is>
          <t>BODEN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44489</v>
      </c>
      <c r="E246" s="1" t="n">
        <v>46270</v>
      </c>
      <c r="F246" t="inlineStr">
        <is>
          <t>NORRBOTTENS LÄN</t>
        </is>
      </c>
      <c r="G246" t="inlineStr">
        <is>
          <t>BODEN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46270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50107-2024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46270</v>
      </c>
      <c r="F248" t="inlineStr">
        <is>
          <t>NORRBOTTENS LÄN</t>
        </is>
      </c>
      <c r="G248" t="inlineStr">
        <is>
          <t>BODEN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46270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45537</v>
      </c>
      <c r="E250" s="1" t="n">
        <v>46270</v>
      </c>
      <c r="F250" t="inlineStr">
        <is>
          <t>NORRBOTTENS LÄN</t>
        </is>
      </c>
      <c r="G250" t="inlineStr">
        <is>
          <t>BODEN</t>
        </is>
      </c>
      <c r="H250" t="inlineStr">
        <is>
          <t>Sveaskog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45254</v>
      </c>
      <c r="E251" s="1" t="n">
        <v>46270</v>
      </c>
      <c r="F251" t="inlineStr">
        <is>
          <t>NORRBOTTENS LÄN</t>
        </is>
      </c>
      <c r="G251" t="inlineStr">
        <is>
          <t>BODEN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54236-2022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44881</v>
      </c>
      <c r="E252" s="1" t="n">
        <v>46270</v>
      </c>
      <c r="F252" t="inlineStr">
        <is>
          <t>NORRBOTTENS LÄN</t>
        </is>
      </c>
      <c r="G252" t="inlineStr">
        <is>
          <t>BODEN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45237</v>
      </c>
      <c r="E253" s="1" t="n">
        <v>46270</v>
      </c>
      <c r="F253" t="inlineStr">
        <is>
          <t>NORRBOTTENS LÄN</t>
        </is>
      </c>
      <c r="G253" t="inlineStr">
        <is>
          <t>BODEN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7442-2024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45345</v>
      </c>
      <c r="E254" s="1" t="n">
        <v>46270</v>
      </c>
      <c r="F254" t="inlineStr">
        <is>
          <t>NORRBOTTENS LÄN</t>
        </is>
      </c>
      <c r="G254" t="inlineStr">
        <is>
          <t>BODEN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18436-2025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45762</v>
      </c>
      <c r="E255" s="1" t="n">
        <v>46270</v>
      </c>
      <c r="F255" t="inlineStr">
        <is>
          <t>NORRBOTTENS LÄN</t>
        </is>
      </c>
      <c r="G255" t="inlineStr">
        <is>
          <t>BODEN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32347-2024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45512</v>
      </c>
      <c r="E256" s="1" t="n">
        <v>46270</v>
      </c>
      <c r="F256" t="inlineStr">
        <is>
          <t>NORRBOTTENS LÄN</t>
        </is>
      </c>
      <c r="G256" t="inlineStr">
        <is>
          <t>BODEN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74264-2021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44558</v>
      </c>
      <c r="E257" s="1" t="n">
        <v>46270</v>
      </c>
      <c r="F257" t="inlineStr">
        <is>
          <t>NORRBOTTENS LÄN</t>
        </is>
      </c>
      <c r="G257" t="inlineStr">
        <is>
          <t>BODEN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45766</v>
      </c>
      <c r="E258" s="1" t="n">
        <v>46270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37114-2024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45539</v>
      </c>
      <c r="E259" s="1" t="n">
        <v>46270</v>
      </c>
      <c r="F259" t="inlineStr">
        <is>
          <t>NORRBOTTENS LÄN</t>
        </is>
      </c>
      <c r="G259" t="inlineStr">
        <is>
          <t>BODEN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68565-2021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46270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44970</v>
      </c>
      <c r="E261" s="1" t="n">
        <v>46270</v>
      </c>
      <c r="F261" t="inlineStr">
        <is>
          <t>NORRBOTTENS LÄN</t>
        </is>
      </c>
      <c r="G261" t="inlineStr">
        <is>
          <t>BODEN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64975-2023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45285</v>
      </c>
      <c r="E262" s="1" t="n">
        <v>46270</v>
      </c>
      <c r="F262" t="inlineStr">
        <is>
          <t>NORRBOTTENS LÄN</t>
        </is>
      </c>
      <c r="G262" t="inlineStr">
        <is>
          <t>BODEN</t>
        </is>
      </c>
      <c r="I262" t="n">
        <v>9.4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45797</v>
      </c>
      <c r="E263" s="1" t="n">
        <v>46270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24733-2025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45799</v>
      </c>
      <c r="E264" s="1" t="n">
        <v>46270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45604</v>
      </c>
      <c r="E265" s="1" t="n">
        <v>46270</v>
      </c>
      <c r="F265" t="inlineStr">
        <is>
          <t>NORRBOTTENS LÄN</t>
        </is>
      </c>
      <c r="G265" t="inlineStr">
        <is>
          <t>BODEN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14801-2024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46270</v>
      </c>
      <c r="F266" t="inlineStr">
        <is>
          <t>NORRBOTTENS LÄN</t>
        </is>
      </c>
      <c r="G266" t="inlineStr">
        <is>
          <t>BODEN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45397</v>
      </c>
      <c r="E267" s="1" t="n">
        <v>46270</v>
      </c>
      <c r="F267" t="inlineStr">
        <is>
          <t>NORRBOTTENS LÄN</t>
        </is>
      </c>
      <c r="G267" t="inlineStr">
        <is>
          <t>BODEN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46270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18866-2025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45764</v>
      </c>
      <c r="E269" s="1" t="n">
        <v>46270</v>
      </c>
      <c r="F269" t="inlineStr">
        <is>
          <t>NORRBOTTENS LÄN</t>
        </is>
      </c>
      <c r="G269" t="inlineStr">
        <is>
          <t>BODEN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46270</v>
      </c>
      <c r="F270" t="inlineStr">
        <is>
          <t>NORRBOTTENS LÄN</t>
        </is>
      </c>
      <c r="G270" t="inlineStr">
        <is>
          <t>BODEN</t>
        </is>
      </c>
      <c r="H270" t="inlineStr">
        <is>
          <t>Sveaskog</t>
        </is>
      </c>
      <c r="I270" t="n">
        <v>15.8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46270</v>
      </c>
      <c r="F271" t="inlineStr">
        <is>
          <t>NORRBOTTENS LÄN</t>
        </is>
      </c>
      <c r="G271" t="inlineStr">
        <is>
          <t>BODEN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46270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44983</v>
      </c>
      <c r="E273" s="1" t="n">
        <v>46270</v>
      </c>
      <c r="F273" t="inlineStr">
        <is>
          <t>NORRBOTTENS LÄN</t>
        </is>
      </c>
      <c r="G273" t="inlineStr">
        <is>
          <t>BODEN</t>
        </is>
      </c>
      <c r="I273" t="n">
        <v>37.1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45803</v>
      </c>
      <c r="E274" s="1" t="n">
        <v>46270</v>
      </c>
      <c r="F274" t="inlineStr">
        <is>
          <t>NORRBOTTENS LÄN</t>
        </is>
      </c>
      <c r="G274" t="inlineStr">
        <is>
          <t>BODEN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46270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46270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46020</v>
      </c>
      <c r="E277" s="1" t="n">
        <v>46270</v>
      </c>
      <c r="F277" t="inlineStr">
        <is>
          <t>NORRBOTTENS LÄN</t>
        </is>
      </c>
      <c r="G277" t="inlineStr">
        <is>
          <t>BODEN</t>
        </is>
      </c>
      <c r="I277" t="n">
        <v>12.5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46270</v>
      </c>
      <c r="F278" t="inlineStr">
        <is>
          <t>NORRBOTTENS LÄN</t>
        </is>
      </c>
      <c r="G278" t="inlineStr">
        <is>
          <t>BODEN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55080-2021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44474</v>
      </c>
      <c r="E279" s="1" t="n">
        <v>46270</v>
      </c>
      <c r="F279" t="inlineStr">
        <is>
          <t>NORRBOTTENS LÄN</t>
        </is>
      </c>
      <c r="G279" t="inlineStr">
        <is>
          <t>BODEN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46270</v>
      </c>
      <c r="F280" t="inlineStr">
        <is>
          <t>NORRBOTTENS LÄN</t>
        </is>
      </c>
      <c r="G280" t="inlineStr">
        <is>
          <t>BODEN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45758</v>
      </c>
      <c r="E281" s="1" t="n">
        <v>46270</v>
      </c>
      <c r="F281" t="inlineStr">
        <is>
          <t>NORRBOTTENS LÄN</t>
        </is>
      </c>
      <c r="G281" t="inlineStr">
        <is>
          <t>BODEN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48431-2024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45590</v>
      </c>
      <c r="E282" s="1" t="n">
        <v>46270</v>
      </c>
      <c r="F282" t="inlineStr">
        <is>
          <t>NORRBOTTENS LÄN</t>
        </is>
      </c>
      <c r="G282" t="inlineStr">
        <is>
          <t>BODEN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46270</v>
      </c>
      <c r="F283" t="inlineStr">
        <is>
          <t>NORRBOTTENS LÄN</t>
        </is>
      </c>
      <c r="G283" t="inlineStr">
        <is>
          <t>BODEN</t>
        </is>
      </c>
      <c r="I283" t="n">
        <v>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46270</v>
      </c>
      <c r="F284" t="inlineStr">
        <is>
          <t>NORRBOTTENS LÄN</t>
        </is>
      </c>
      <c r="G284" t="inlineStr">
        <is>
          <t>BODEN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45464</v>
      </c>
      <c r="E285" s="1" t="n">
        <v>46270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46270</v>
      </c>
      <c r="F286" t="inlineStr">
        <is>
          <t>NORRBOTTENS LÄN</t>
        </is>
      </c>
      <c r="G286" t="inlineStr">
        <is>
          <t>BODEN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45645</v>
      </c>
      <c r="E287" s="1" t="n">
        <v>46270</v>
      </c>
      <c r="F287" t="inlineStr">
        <is>
          <t>NORRBOTTENS LÄN</t>
        </is>
      </c>
      <c r="G287" t="inlineStr">
        <is>
          <t>BODEN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18671-2025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46270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45546</v>
      </c>
      <c r="E289" s="1" t="n">
        <v>46270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56474-2023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46270</v>
      </c>
      <c r="F290" t="inlineStr">
        <is>
          <t>NORRBOTTENS LÄN</t>
        </is>
      </c>
      <c r="G290" t="inlineStr">
        <is>
          <t>BODEN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46270</v>
      </c>
      <c r="F291" t="inlineStr">
        <is>
          <t>NORRBOTTENS LÄN</t>
        </is>
      </c>
      <c r="G291" t="inlineStr">
        <is>
          <t>BODEN</t>
        </is>
      </c>
      <c r="I291" t="n">
        <v>33.9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46270</v>
      </c>
      <c r="F292" t="inlineStr">
        <is>
          <t>NORRBOTTENS LÄN</t>
        </is>
      </c>
      <c r="G292" t="inlineStr">
        <is>
          <t>BODEN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45527</v>
      </c>
      <c r="E293" s="1" t="n">
        <v>46270</v>
      </c>
      <c r="F293" t="inlineStr">
        <is>
          <t>NORRBOTTENS LÄN</t>
        </is>
      </c>
      <c r="G293" t="inlineStr">
        <is>
          <t>BODEN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57873-2021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44484</v>
      </c>
      <c r="E294" s="1" t="n">
        <v>46270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45264</v>
      </c>
      <c r="E295" s="1" t="n">
        <v>46270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46270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45813</v>
      </c>
      <c r="E297" s="1" t="n">
        <v>46270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46270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13.9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45316</v>
      </c>
      <c r="E299" s="1" t="n">
        <v>46270</v>
      </c>
      <c r="F299" t="inlineStr">
        <is>
          <t>NORRBOTTENS LÄN</t>
        </is>
      </c>
      <c r="G299" t="inlineStr">
        <is>
          <t>BODEN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46270</v>
      </c>
      <c r="F300" t="inlineStr">
        <is>
          <t>NORRBOTTENS LÄN</t>
        </is>
      </c>
      <c r="G300" t="inlineStr">
        <is>
          <t>BODEN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29109-2024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45481</v>
      </c>
      <c r="E301" s="1" t="n">
        <v>46270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46270</v>
      </c>
      <c r="F302" t="inlineStr">
        <is>
          <t>NORRBOTTENS LÄN</t>
        </is>
      </c>
      <c r="G302" t="inlineStr">
        <is>
          <t>BODEN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19080-2025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45766</v>
      </c>
      <c r="E303" s="1" t="n">
        <v>46270</v>
      </c>
      <c r="F303" t="inlineStr">
        <is>
          <t>NORRBOTTENS LÄN</t>
        </is>
      </c>
      <c r="G303" t="inlineStr">
        <is>
          <t>BODEN</t>
        </is>
      </c>
      <c r="H303" t="inlineStr">
        <is>
          <t>SCA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45516</v>
      </c>
      <c r="E304" s="1" t="n">
        <v>46270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32913-2024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45516</v>
      </c>
      <c r="E305" s="1" t="n">
        <v>46270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28297-2025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45818</v>
      </c>
      <c r="E306" s="1" t="n">
        <v>46270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46270</v>
      </c>
      <c r="F307" t="inlineStr">
        <is>
          <t>NORRBOTTENS LÄN</t>
        </is>
      </c>
      <c r="G307" t="inlineStr">
        <is>
          <t>BODEN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19060-2024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45427</v>
      </c>
      <c r="E308" s="1" t="n">
        <v>46270</v>
      </c>
      <c r="F308" t="inlineStr">
        <is>
          <t>NORRBOTTENS LÄN</t>
        </is>
      </c>
      <c r="G308" t="inlineStr">
        <is>
          <t>BODEN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44935</v>
      </c>
      <c r="E309" s="1" t="n">
        <v>46270</v>
      </c>
      <c r="F309" t="inlineStr">
        <is>
          <t>NORRBOTTENS LÄN</t>
        </is>
      </c>
      <c r="G309" t="inlineStr">
        <is>
          <t>BODEN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45818</v>
      </c>
      <c r="E310" s="1" t="n">
        <v>46270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46270</v>
      </c>
      <c r="F311" t="inlineStr">
        <is>
          <t>NORRBOTTENS LÄN</t>
        </is>
      </c>
      <c r="G311" t="inlineStr">
        <is>
          <t>BODEN</t>
        </is>
      </c>
      <c r="H311" t="inlineStr">
        <is>
          <t>Sveaskog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28270-2025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45818</v>
      </c>
      <c r="E312" s="1" t="n">
        <v>46270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46270</v>
      </c>
      <c r="F313" t="inlineStr">
        <is>
          <t>NORRBOTTENS LÄN</t>
        </is>
      </c>
      <c r="G313" t="inlineStr">
        <is>
          <t>BODEN</t>
        </is>
      </c>
      <c r="I313" t="n">
        <v>13.9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46270</v>
      </c>
      <c r="F314" t="inlineStr">
        <is>
          <t>NORRBOTTENS LÄN</t>
        </is>
      </c>
      <c r="G314" t="inlineStr">
        <is>
          <t>BODEN</t>
        </is>
      </c>
      <c r="H314" t="inlineStr">
        <is>
          <t>Naturvårdsverket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40183-2025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46270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46270</v>
      </c>
      <c r="F316" t="inlineStr">
        <is>
          <t>NORRBOTTENS LÄN</t>
        </is>
      </c>
      <c r="G316" t="inlineStr">
        <is>
          <t>BODEN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37791-2024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45543</v>
      </c>
      <c r="E317" s="1" t="n">
        <v>46270</v>
      </c>
      <c r="F317" t="inlineStr">
        <is>
          <t>NORRBOTTENS LÄN</t>
        </is>
      </c>
      <c r="G317" t="inlineStr">
        <is>
          <t>BODEN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45709</v>
      </c>
      <c r="E318" s="1" t="n">
        <v>46270</v>
      </c>
      <c r="F318" t="inlineStr">
        <is>
          <t>NORRBOTTENS LÄN</t>
        </is>
      </c>
      <c r="G318" t="inlineStr">
        <is>
          <t>BODEN</t>
        </is>
      </c>
      <c r="H318" t="inlineStr">
        <is>
          <t>Övriga Aktiebolag</t>
        </is>
      </c>
      <c r="I318" t="n">
        <v>14.3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46270</v>
      </c>
      <c r="F319" t="inlineStr">
        <is>
          <t>NORRBOTTENS LÄN</t>
        </is>
      </c>
      <c r="G319" t="inlineStr">
        <is>
          <t>BODEN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40814-2025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45897</v>
      </c>
      <c r="E320" s="1" t="n">
        <v>46270</v>
      </c>
      <c r="F320" t="inlineStr">
        <is>
          <t>NORRBOTTENS LÄN</t>
        </is>
      </c>
      <c r="G320" t="inlineStr">
        <is>
          <t>BODEN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41487-2024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45560</v>
      </c>
      <c r="E321" s="1" t="n">
        <v>46270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45246</v>
      </c>
      <c r="E322" s="1" t="n">
        <v>46270</v>
      </c>
      <c r="F322" t="inlineStr">
        <is>
          <t>NORRBOTTENS LÄN</t>
        </is>
      </c>
      <c r="G322" t="inlineStr">
        <is>
          <t>BODEN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41601-2025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45901</v>
      </c>
      <c r="E323" s="1" t="n">
        <v>46270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30089-2025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46270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45446-2023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45194</v>
      </c>
      <c r="E325" s="1" t="n">
        <v>46270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46030</v>
      </c>
      <c r="E326" s="1" t="n">
        <v>46270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31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41691-2025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45902</v>
      </c>
      <c r="E327" s="1" t="n">
        <v>46270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46270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45244</v>
      </c>
      <c r="E329" s="1" t="n">
        <v>46270</v>
      </c>
      <c r="F329" t="inlineStr">
        <is>
          <t>NORRBOTTENS LÄN</t>
        </is>
      </c>
      <c r="G329" t="inlineStr">
        <is>
          <t>BODEN</t>
        </is>
      </c>
      <c r="H329" t="inlineStr">
        <is>
          <t>Övriga statliga verk och myndigheter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45748</v>
      </c>
      <c r="E330" s="1" t="n">
        <v>46270</v>
      </c>
      <c r="F330" t="inlineStr">
        <is>
          <t>NORRBOTTENS LÄN</t>
        </is>
      </c>
      <c r="G330" t="inlineStr">
        <is>
          <t>BODEN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46270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46270</v>
      </c>
      <c r="F332" t="inlineStr">
        <is>
          <t>NORRBOTTENS LÄN</t>
        </is>
      </c>
      <c r="G332" t="inlineStr">
        <is>
          <t>BODEN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46270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Aktiebolag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42656-2025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45907</v>
      </c>
      <c r="E334" s="1" t="n">
        <v>46270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31531-2025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45833</v>
      </c>
      <c r="E335" s="1" t="n">
        <v>46270</v>
      </c>
      <c r="F335" t="inlineStr">
        <is>
          <t>NORRBOTTENS LÄN</t>
        </is>
      </c>
      <c r="G335" t="inlineStr">
        <is>
          <t>BODEN</t>
        </is>
      </c>
      <c r="H335" t="inlineStr">
        <is>
          <t>Övriga Aktiebolag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46270</v>
      </c>
      <c r="F336" t="inlineStr">
        <is>
          <t>NORRBOTTENS LÄN</t>
        </is>
      </c>
      <c r="G336" t="inlineStr">
        <is>
          <t>BODEN</t>
        </is>
      </c>
      <c r="I336" t="n">
        <v>9.699999999999999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46270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46270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30299-2023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45110</v>
      </c>
      <c r="E339" s="1" t="n">
        <v>46270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45910</v>
      </c>
      <c r="E340" s="1" t="n">
        <v>46270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46270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43838-2025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46270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43973-2025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46270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43993-2025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46270</v>
      </c>
      <c r="F344" t="inlineStr">
        <is>
          <t>NORRBOTTENS LÄN</t>
        </is>
      </c>
      <c r="G344" t="inlineStr">
        <is>
          <t>BODEN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45803</v>
      </c>
      <c r="E345" s="1" t="n">
        <v>46270</v>
      </c>
      <c r="F345" t="inlineStr">
        <is>
          <t>NORRBOTTENS LÄN</t>
        </is>
      </c>
      <c r="G345" t="inlineStr">
        <is>
          <t>BODEN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46270</v>
      </c>
      <c r="F346" t="inlineStr">
        <is>
          <t>NORRBOTTENS LÄN</t>
        </is>
      </c>
      <c r="G346" t="inlineStr">
        <is>
          <t>BODEN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46270</v>
      </c>
      <c r="F347" t="inlineStr">
        <is>
          <t>NORRBOTTENS LÄN</t>
        </is>
      </c>
      <c r="G347" t="inlineStr">
        <is>
          <t>BODEN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46270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28745-2023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46270</v>
      </c>
      <c r="F349" t="inlineStr">
        <is>
          <t>NORRBOTTENS LÄN</t>
        </is>
      </c>
      <c r="G349" t="inlineStr">
        <is>
          <t>BODEN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33130-2025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45840</v>
      </c>
      <c r="E350" s="1" t="n">
        <v>46270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46270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46270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22460-2023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45070</v>
      </c>
      <c r="E353" s="1" t="n">
        <v>46270</v>
      </c>
      <c r="F353" t="inlineStr">
        <is>
          <t>NORRBOTTENS LÄN</t>
        </is>
      </c>
      <c r="G353" t="inlineStr">
        <is>
          <t>BODEN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33276-2025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46270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46270</v>
      </c>
      <c r="F355" t="inlineStr">
        <is>
          <t>NORRBOTTENS LÄN</t>
        </is>
      </c>
      <c r="G355" t="inlineStr">
        <is>
          <t>BODEN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45544-2025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46270</v>
      </c>
      <c r="F356" t="inlineStr">
        <is>
          <t>NORRBOTTENS LÄN</t>
        </is>
      </c>
      <c r="G356" t="inlineStr">
        <is>
          <t>BODEN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46270</v>
      </c>
      <c r="F357" t="inlineStr">
        <is>
          <t>NORRBOTTENS LÄN</t>
        </is>
      </c>
      <c r="G357" t="inlineStr">
        <is>
          <t>BODEN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45617-2025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45922</v>
      </c>
      <c r="E358" s="1" t="n">
        <v>46270</v>
      </c>
      <c r="F358" t="inlineStr">
        <is>
          <t>NORRBOTTENS LÄN</t>
        </is>
      </c>
      <c r="G358" t="inlineStr">
        <is>
          <t>BODEN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45843</v>
      </c>
      <c r="E359" s="1" t="n">
        <v>46270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46270</v>
      </c>
      <c r="F360" t="inlineStr">
        <is>
          <t>NORRBOTTENS LÄN</t>
        </is>
      </c>
      <c r="G360" t="inlineStr">
        <is>
          <t>BODEN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46455-2025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46270</v>
      </c>
      <c r="F361" t="inlineStr">
        <is>
          <t>NORRBOTTENS LÄN</t>
        </is>
      </c>
      <c r="G361" t="inlineStr">
        <is>
          <t>BODEN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46270</v>
      </c>
      <c r="F362" t="inlineStr">
        <is>
          <t>NORRBOTTENS LÄN</t>
        </is>
      </c>
      <c r="G362" t="inlineStr">
        <is>
          <t>BODEN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45672</v>
      </c>
      <c r="E363" s="1" t="n">
        <v>46270</v>
      </c>
      <c r="F363" t="inlineStr">
        <is>
          <t>NORRBOTTENS LÄN</t>
        </is>
      </c>
      <c r="G363" t="inlineStr">
        <is>
          <t>BODEN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18871-2025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46270</v>
      </c>
      <c r="F364" t="inlineStr">
        <is>
          <t>NORRBOTTENS LÄN</t>
        </is>
      </c>
      <c r="G364" t="inlineStr">
        <is>
          <t>BODEN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45969-2025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45924</v>
      </c>
      <c r="E365" s="1" t="n">
        <v>46270</v>
      </c>
      <c r="F365" t="inlineStr">
        <is>
          <t>NORRBOTTENS LÄN</t>
        </is>
      </c>
      <c r="G365" t="inlineStr">
        <is>
          <t>BODEN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46700-2025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46270</v>
      </c>
      <c r="F366" t="inlineStr">
        <is>
          <t>NORRBOTTENS LÄN</t>
        </is>
      </c>
      <c r="G366" t="inlineStr">
        <is>
          <t>BODEN</t>
        </is>
      </c>
      <c r="H366" t="inlineStr">
        <is>
          <t>Övriga Aktiebolag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46270</v>
      </c>
      <c r="F367" t="inlineStr">
        <is>
          <t>NORRBOTTENS LÄN</t>
        </is>
      </c>
      <c r="G367" t="inlineStr">
        <is>
          <t>BODEN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46270</v>
      </c>
      <c r="F368" t="inlineStr">
        <is>
          <t>NORRBOTTENS LÄN</t>
        </is>
      </c>
      <c r="G368" t="inlineStr">
        <is>
          <t>BODEN</t>
        </is>
      </c>
      <c r="I368" t="n">
        <v>6.4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59890-2023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45254</v>
      </c>
      <c r="E369" s="1" t="n">
        <v>46270</v>
      </c>
      <c r="F369" t="inlineStr">
        <is>
          <t>NORRBOTTENS LÄN</t>
        </is>
      </c>
      <c r="G369" t="inlineStr">
        <is>
          <t>BODEN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63841-2025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46020</v>
      </c>
      <c r="E370" s="1" t="n">
        <v>46270</v>
      </c>
      <c r="F370" t="inlineStr">
        <is>
          <t>NORRBOTTENS LÄN</t>
        </is>
      </c>
      <c r="G370" t="inlineStr">
        <is>
          <t>BODEN</t>
        </is>
      </c>
      <c r="I370" t="n">
        <v>10.9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45463</v>
      </c>
      <c r="E371" s="1" t="n">
        <v>46270</v>
      </c>
      <c r="F371" t="inlineStr">
        <is>
          <t>NORRBOTTENS LÄN</t>
        </is>
      </c>
      <c r="G371" t="inlineStr">
        <is>
          <t>BODEN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45931</v>
      </c>
      <c r="E372" s="1" t="n">
        <v>46270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47204-2025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46270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46270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46270</v>
      </c>
      <c r="F375" t="inlineStr">
        <is>
          <t>NORRBOTTENS LÄN</t>
        </is>
      </c>
      <c r="G375" t="inlineStr">
        <is>
          <t>BODEN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48091-2025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45933</v>
      </c>
      <c r="E376" s="1" t="n">
        <v>46270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45906</v>
      </c>
      <c r="E377" s="1" t="n">
        <v>46270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46270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46270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46270</v>
      </c>
      <c r="F380" t="inlineStr">
        <is>
          <t>NORRBOTTENS LÄN</t>
        </is>
      </c>
      <c r="G380" t="inlineStr">
        <is>
          <t>BODEN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45856</v>
      </c>
      <c r="E381" s="1" t="n">
        <v>46270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10.8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45796</v>
      </c>
      <c r="E382" s="1" t="n">
        <v>46270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45674</v>
      </c>
      <c r="E383" s="1" t="n">
        <v>46270</v>
      </c>
      <c r="F383" t="inlineStr">
        <is>
          <t>NORRBOTTENS LÄN</t>
        </is>
      </c>
      <c r="G383" t="inlineStr">
        <is>
          <t>BODEN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45936</v>
      </c>
      <c r="E384" s="1" t="n">
        <v>46270</v>
      </c>
      <c r="F384" t="inlineStr">
        <is>
          <t>NORRBOTTENS LÄN</t>
        </is>
      </c>
      <c r="G384" t="inlineStr">
        <is>
          <t>BODEN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45596</v>
      </c>
      <c r="E385" s="1" t="n">
        <v>46270</v>
      </c>
      <c r="F385" t="inlineStr">
        <is>
          <t>NORRBOTTENS LÄN</t>
        </is>
      </c>
      <c r="G385" t="inlineStr">
        <is>
          <t>BODEN</t>
        </is>
      </c>
      <c r="I385" t="n">
        <v>22.7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46270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48805-2025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45937</v>
      </c>
      <c r="E387" s="1" t="n">
        <v>46270</v>
      </c>
      <c r="F387" t="inlineStr">
        <is>
          <t>NORRBOTTENS LÄN</t>
        </is>
      </c>
      <c r="G387" t="inlineStr">
        <is>
          <t>BODEN</t>
        </is>
      </c>
      <c r="I387" t="n">
        <v>10.2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36019-2025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46270</v>
      </c>
      <c r="F388" t="inlineStr">
        <is>
          <t>NORRBOTTENS LÄN</t>
        </is>
      </c>
      <c r="G388" t="inlineStr">
        <is>
          <t>BODEN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11092-2022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44628</v>
      </c>
      <c r="E389" s="1" t="n">
        <v>46270</v>
      </c>
      <c r="F389" t="inlineStr">
        <is>
          <t>NORRBOTTENS LÄN</t>
        </is>
      </c>
      <c r="G389" t="inlineStr">
        <is>
          <t>BODEN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49215-2025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46270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46270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49588-2025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45939</v>
      </c>
      <c r="E392" s="1" t="n">
        <v>46270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46270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46270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45718</v>
      </c>
      <c r="E395" s="1" t="n">
        <v>46270</v>
      </c>
      <c r="F395" t="inlineStr">
        <is>
          <t>NORRBOTTENS LÄN</t>
        </is>
      </c>
      <c r="G395" t="inlineStr">
        <is>
          <t>BODEN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50147-2025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45943</v>
      </c>
      <c r="E396" s="1" t="n">
        <v>46270</v>
      </c>
      <c r="F396" t="inlineStr">
        <is>
          <t>NORRBOTTENS LÄN</t>
        </is>
      </c>
      <c r="G396" t="inlineStr">
        <is>
          <t>BODEN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57579-2023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45246</v>
      </c>
      <c r="E397" s="1" t="n">
        <v>46270</v>
      </c>
      <c r="F397" t="inlineStr">
        <is>
          <t>NORRBOTTENS LÄN</t>
        </is>
      </c>
      <c r="G397" t="inlineStr">
        <is>
          <t>BODEN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46270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46270</v>
      </c>
      <c r="F399" t="inlineStr">
        <is>
          <t>NORRBOTTENS LÄN</t>
        </is>
      </c>
      <c r="G399" t="inlineStr">
        <is>
          <t>BODEN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45356</v>
      </c>
      <c r="E400" s="1" t="n">
        <v>46270</v>
      </c>
      <c r="F400" t="inlineStr">
        <is>
          <t>NORRBOTTENS LÄN</t>
        </is>
      </c>
      <c r="G400" t="inlineStr">
        <is>
          <t>BODEN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50387-2025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46270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46270</v>
      </c>
      <c r="F402" t="inlineStr">
        <is>
          <t>NORRBOTTENS LÄN</t>
        </is>
      </c>
      <c r="G402" t="inlineStr">
        <is>
          <t>BODEN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45944</v>
      </c>
      <c r="E403" s="1" t="n">
        <v>46270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45944</v>
      </c>
      <c r="E404" s="1" t="n">
        <v>46270</v>
      </c>
      <c r="F404" t="inlineStr">
        <is>
          <t>NORRBOTTENS LÄN</t>
        </is>
      </c>
      <c r="G404" t="inlineStr">
        <is>
          <t>BODEN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50471-2025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46270</v>
      </c>
      <c r="F405" t="inlineStr">
        <is>
          <t>NORRBOTTENS LÄN</t>
        </is>
      </c>
      <c r="G405" t="inlineStr">
        <is>
          <t>BODEN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45456</v>
      </c>
      <c r="E406" s="1" t="n">
        <v>46270</v>
      </c>
      <c r="F406" t="inlineStr">
        <is>
          <t>NORRBOTTENS LÄN</t>
        </is>
      </c>
      <c r="G406" t="inlineStr">
        <is>
          <t>BODEN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45944</v>
      </c>
      <c r="E407" s="1" t="n">
        <v>46270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45358</v>
      </c>
      <c r="E408" s="1" t="n">
        <v>46270</v>
      </c>
      <c r="F408" t="inlineStr">
        <is>
          <t>NORRBOTTENS LÄN</t>
        </is>
      </c>
      <c r="G408" t="inlineStr">
        <is>
          <t>BODEN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10730-2024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45369</v>
      </c>
      <c r="E409" s="1" t="n">
        <v>46270</v>
      </c>
      <c r="F409" t="inlineStr">
        <is>
          <t>NORRBOTTENS LÄN</t>
        </is>
      </c>
      <c r="G409" t="inlineStr">
        <is>
          <t>BODEN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45102</v>
      </c>
      <c r="E410" s="1" t="n">
        <v>46270</v>
      </c>
      <c r="F410" t="inlineStr">
        <is>
          <t>NORRBOTTENS LÄN</t>
        </is>
      </c>
      <c r="G410" t="inlineStr">
        <is>
          <t>BODEN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51061-2025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45947</v>
      </c>
      <c r="E411" s="1" t="n">
        <v>46270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45316</v>
      </c>
      <c r="E412" s="1" t="n">
        <v>46270</v>
      </c>
      <c r="F412" t="inlineStr">
        <is>
          <t>NORRBOTTENS LÄN</t>
        </is>
      </c>
      <c r="G412" t="inlineStr">
        <is>
          <t>BODEN</t>
        </is>
      </c>
      <c r="I412" t="n">
        <v>8.800000000000001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45838</v>
      </c>
      <c r="E413" s="1" t="n">
        <v>46270</v>
      </c>
      <c r="F413" t="inlineStr">
        <is>
          <t>NORRBOTTENS LÄN</t>
        </is>
      </c>
      <c r="G413" t="inlineStr">
        <is>
          <t>BODEN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45770</v>
      </c>
      <c r="E414" s="1" t="n">
        <v>46270</v>
      </c>
      <c r="F414" t="inlineStr">
        <is>
          <t>NORRBOTTENS LÄN</t>
        </is>
      </c>
      <c r="G414" t="inlineStr">
        <is>
          <t>BODEN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46042</v>
      </c>
      <c r="E415" s="1" t="n">
        <v>46270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68611-2021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44529</v>
      </c>
      <c r="E416" s="1" t="n">
        <v>46270</v>
      </c>
      <c r="F416" t="inlineStr">
        <is>
          <t>NORRBOTTENS LÄN</t>
        </is>
      </c>
      <c r="G416" t="inlineStr">
        <is>
          <t>BODEN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45950</v>
      </c>
      <c r="E417" s="1" t="n">
        <v>46270</v>
      </c>
      <c r="F417" t="inlineStr">
        <is>
          <t>NORRBOTTENS LÄN</t>
        </is>
      </c>
      <c r="G417" t="inlineStr">
        <is>
          <t>BODEN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45868</v>
      </c>
      <c r="E418" s="1" t="n">
        <v>46270</v>
      </c>
      <c r="F418" t="inlineStr">
        <is>
          <t>NORRBOTTENS LÄN</t>
        </is>
      </c>
      <c r="G418" t="inlineStr">
        <is>
          <t>BODEN</t>
        </is>
      </c>
      <c r="H418" t="inlineStr">
        <is>
          <t>SCA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46270</v>
      </c>
      <c r="F419" t="inlineStr">
        <is>
          <t>NORRBOTTENS LÄN</t>
        </is>
      </c>
      <c r="G419" t="inlineStr">
        <is>
          <t>BODEN</t>
        </is>
      </c>
      <c r="I419" t="n">
        <v>7.8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13556-2022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44648</v>
      </c>
      <c r="E420" s="1" t="n">
        <v>46270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59331-2021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44490</v>
      </c>
      <c r="E421" s="1" t="n">
        <v>46270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52169-2025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45953</v>
      </c>
      <c r="E422" s="1" t="n">
        <v>46270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51193-2023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45212</v>
      </c>
      <c r="E423" s="1" t="n">
        <v>46270</v>
      </c>
      <c r="F423" t="inlineStr">
        <is>
          <t>NORRBOTTENS LÄN</t>
        </is>
      </c>
      <c r="G423" t="inlineStr">
        <is>
          <t>BODEN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46270</v>
      </c>
      <c r="F424" t="inlineStr">
        <is>
          <t>NORRBOTTENS LÄN</t>
        </is>
      </c>
      <c r="G424" t="inlineStr">
        <is>
          <t>BODEN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46270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45953</v>
      </c>
      <c r="E426" s="1" t="n">
        <v>46270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45880</v>
      </c>
      <c r="E427" s="1" t="n">
        <v>46270</v>
      </c>
      <c r="F427" t="inlineStr">
        <is>
          <t>NORRBOTTENS LÄN</t>
        </is>
      </c>
      <c r="G427" t="inlineStr">
        <is>
          <t>BODEN</t>
        </is>
      </c>
      <c r="H427" t="inlineStr">
        <is>
          <t>SCA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46270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28079-2024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45476</v>
      </c>
      <c r="E429" s="1" t="n">
        <v>46270</v>
      </c>
      <c r="F429" t="inlineStr">
        <is>
          <t>NORRBOTTENS LÄN</t>
        </is>
      </c>
      <c r="G429" t="inlineStr">
        <is>
          <t>BODEN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54935-2021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44474</v>
      </c>
      <c r="E430" s="1" t="n">
        <v>46270</v>
      </c>
      <c r="F430" t="inlineStr">
        <is>
          <t>NORRBOTTENS LÄN</t>
        </is>
      </c>
      <c r="G430" t="inlineStr">
        <is>
          <t>BODEN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708-2022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44566</v>
      </c>
      <c r="E431" s="1" t="n">
        <v>46270</v>
      </c>
      <c r="F431" t="inlineStr">
        <is>
          <t>NORRBOTTENS LÄN</t>
        </is>
      </c>
      <c r="G431" t="inlineStr">
        <is>
          <t>BODEN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37854-2025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45881</v>
      </c>
      <c r="E432" s="1" t="n">
        <v>46270</v>
      </c>
      <c r="F432" t="inlineStr">
        <is>
          <t>NORRBOTTENS LÄN</t>
        </is>
      </c>
      <c r="G432" t="inlineStr">
        <is>
          <t>BODEN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39272-2024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45551</v>
      </c>
      <c r="E433" s="1" t="n">
        <v>46270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51525-2025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45950</v>
      </c>
      <c r="E434" s="1" t="n">
        <v>46270</v>
      </c>
      <c r="F434" t="inlineStr">
        <is>
          <t>NORRBOTTENS LÄN</t>
        </is>
      </c>
      <c r="G434" t="inlineStr">
        <is>
          <t>BODEN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45955</v>
      </c>
      <c r="E435" s="1" t="n">
        <v>46270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52646-2025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45955</v>
      </c>
      <c r="E436" s="1" t="n">
        <v>46270</v>
      </c>
      <c r="F436" t="inlineStr">
        <is>
          <t>NORRBOTTENS LÄN</t>
        </is>
      </c>
      <c r="G436" t="inlineStr">
        <is>
          <t>BODEN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45882</v>
      </c>
      <c r="E437" s="1" t="n">
        <v>46270</v>
      </c>
      <c r="F437" t="inlineStr">
        <is>
          <t>NORRBOTTENS LÄN</t>
        </is>
      </c>
      <c r="G437" t="inlineStr">
        <is>
          <t>BODEN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38288-2025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45882</v>
      </c>
      <c r="E438" s="1" t="n">
        <v>46270</v>
      </c>
      <c r="F438" t="inlineStr">
        <is>
          <t>NORRBOTTENS LÄN</t>
        </is>
      </c>
      <c r="G438" t="inlineStr">
        <is>
          <t>BODEN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45707</v>
      </c>
      <c r="E439" s="1" t="n">
        <v>46270</v>
      </c>
      <c r="F439" t="inlineStr">
        <is>
          <t>NORRBOTTENS LÄN</t>
        </is>
      </c>
      <c r="G439" t="inlineStr">
        <is>
          <t>BODEN</t>
        </is>
      </c>
      <c r="I439" t="n">
        <v>11.3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46270</v>
      </c>
      <c r="F440" t="inlineStr">
        <is>
          <t>NORRBOTTENS LÄN</t>
        </is>
      </c>
      <c r="G440" t="inlineStr">
        <is>
          <t>BODEN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46050</v>
      </c>
      <c r="E441" s="1" t="n">
        <v>46270</v>
      </c>
      <c r="F441" t="inlineStr">
        <is>
          <t>NORRBOTTENS LÄN</t>
        </is>
      </c>
      <c r="G441" t="inlineStr">
        <is>
          <t>BODEN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46270</v>
      </c>
      <c r="F442" t="inlineStr">
        <is>
          <t>NORRBOTTENS LÄN</t>
        </is>
      </c>
      <c r="G442" t="inlineStr">
        <is>
          <t>BODEN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56111-2021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44477</v>
      </c>
      <c r="E443" s="1" t="n">
        <v>46270</v>
      </c>
      <c r="F443" t="inlineStr">
        <is>
          <t>NORRBOTTENS LÄN</t>
        </is>
      </c>
      <c r="G443" t="inlineStr">
        <is>
          <t>BODEN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46056</v>
      </c>
      <c r="E444" s="1" t="n">
        <v>46270</v>
      </c>
      <c r="F444" t="inlineStr">
        <is>
          <t>NORRBOTTENS LÄN</t>
        </is>
      </c>
      <c r="G444" t="inlineStr">
        <is>
          <t>BODEN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46270</v>
      </c>
      <c r="F445" t="inlineStr">
        <is>
          <t>NORRBOTTENS LÄN</t>
        </is>
      </c>
      <c r="G445" t="inlineStr">
        <is>
          <t>BODEN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46270</v>
      </c>
      <c r="F446" t="inlineStr">
        <is>
          <t>NORRBOTTENS LÄN</t>
        </is>
      </c>
      <c r="G446" t="inlineStr">
        <is>
          <t>BODEN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53623-2025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45960</v>
      </c>
      <c r="E447" s="1" t="n">
        <v>46270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11.7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18900-2025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45764</v>
      </c>
      <c r="E448" s="1" t="n">
        <v>46270</v>
      </c>
      <c r="F448" t="inlineStr">
        <is>
          <t>NORRBOTTENS LÄN</t>
        </is>
      </c>
      <c r="G448" t="inlineStr">
        <is>
          <t>BODEN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38584-2025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45884</v>
      </c>
      <c r="E449" s="1" t="n">
        <v>46270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61748-2024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45649</v>
      </c>
      <c r="E450" s="1" t="n">
        <v>46270</v>
      </c>
      <c r="F450" t="inlineStr">
        <is>
          <t>NORRBOTTENS LÄN</t>
        </is>
      </c>
      <c r="G450" t="inlineStr">
        <is>
          <t>BODEN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61757-2024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45649</v>
      </c>
      <c r="E451" s="1" t="n">
        <v>46270</v>
      </c>
      <c r="F451" t="inlineStr">
        <is>
          <t>NORRBOTTENS LÄN</t>
        </is>
      </c>
      <c r="G451" t="inlineStr">
        <is>
          <t>BODEN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53893-2025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45961</v>
      </c>
      <c r="E452" s="1" t="n">
        <v>46270</v>
      </c>
      <c r="F452" t="inlineStr">
        <is>
          <t>NORRBOTTENS LÄN</t>
        </is>
      </c>
      <c r="G452" t="inlineStr">
        <is>
          <t>BODEN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46270</v>
      </c>
      <c r="F453" t="inlineStr">
        <is>
          <t>NORRBOTTENS LÄN</t>
        </is>
      </c>
      <c r="G453" t="inlineStr">
        <is>
          <t>BODEN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29309-2023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45105</v>
      </c>
      <c r="E454" s="1" t="n">
        <v>46270</v>
      </c>
      <c r="F454" t="inlineStr">
        <is>
          <t>NORRBOTTENS LÄN</t>
        </is>
      </c>
      <c r="G454" t="inlineStr">
        <is>
          <t>BODEN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46270</v>
      </c>
      <c r="F455" t="inlineStr">
        <is>
          <t>NORRBOTTENS LÄN</t>
        </is>
      </c>
      <c r="G455" t="inlineStr">
        <is>
          <t>BODEN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46270</v>
      </c>
      <c r="F456" t="inlineStr">
        <is>
          <t>NORRBOTTENS LÄN</t>
        </is>
      </c>
      <c r="G456" t="inlineStr">
        <is>
          <t>BODEN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54417-2025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46270</v>
      </c>
      <c r="F457" t="inlineStr">
        <is>
          <t>NORRBOTTENS LÄN</t>
        </is>
      </c>
      <c r="G457" t="inlineStr">
        <is>
          <t>BODEN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47097-2023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46270</v>
      </c>
      <c r="F458" t="inlineStr">
        <is>
          <t>NORRBOTTENS LÄN</t>
        </is>
      </c>
      <c r="G458" t="inlineStr">
        <is>
          <t>BODEN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28359-2023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45099</v>
      </c>
      <c r="E459" s="1" t="n">
        <v>46270</v>
      </c>
      <c r="F459" t="inlineStr">
        <is>
          <t>NORRBOTTENS LÄN</t>
        </is>
      </c>
      <c r="G459" t="inlineStr">
        <is>
          <t>BODEN</t>
        </is>
      </c>
      <c r="I459" t="n">
        <v>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54578-2025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46270</v>
      </c>
      <c r="F460" t="inlineStr">
        <is>
          <t>NORRBOTTENS LÄN</t>
        </is>
      </c>
      <c r="G460" t="inlineStr">
        <is>
          <t>BODEN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22447-2024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45446</v>
      </c>
      <c r="E461" s="1" t="n">
        <v>46270</v>
      </c>
      <c r="F461" t="inlineStr">
        <is>
          <t>NORRBOTTENS LÄN</t>
        </is>
      </c>
      <c r="G461" t="inlineStr">
        <is>
          <t>BODEN</t>
        </is>
      </c>
      <c r="I461" t="n">
        <v>6.7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54523-2025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45965</v>
      </c>
      <c r="E462" s="1" t="n">
        <v>46270</v>
      </c>
      <c r="F462" t="inlineStr">
        <is>
          <t>NORRBOTTENS LÄN</t>
        </is>
      </c>
      <c r="G462" t="inlineStr">
        <is>
          <t>BODEN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11647-2023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44994</v>
      </c>
      <c r="E463" s="1" t="n">
        <v>46270</v>
      </c>
      <c r="F463" t="inlineStr">
        <is>
          <t>NORRBOTTENS LÄN</t>
        </is>
      </c>
      <c r="G463" t="inlineStr">
        <is>
          <t>BODEN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57895-2021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44486</v>
      </c>
      <c r="E464" s="1" t="n">
        <v>46270</v>
      </c>
      <c r="F464" t="inlineStr">
        <is>
          <t>NORRBOTTENS LÄN</t>
        </is>
      </c>
      <c r="G464" t="inlineStr">
        <is>
          <t>BODEN</t>
        </is>
      </c>
      <c r="I464" t="n">
        <v>9.199999999999999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11865-2025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45728</v>
      </c>
      <c r="E465" s="1" t="n">
        <v>46270</v>
      </c>
      <c r="F465" t="inlineStr">
        <is>
          <t>NORRBOTTENS LÄN</t>
        </is>
      </c>
      <c r="G465" t="inlineStr">
        <is>
          <t>BODEN</t>
        </is>
      </c>
      <c r="H465" t="inlineStr">
        <is>
          <t>Övriga Aktiebolag</t>
        </is>
      </c>
      <c r="I465" t="n">
        <v>10.6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54172-2025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45964</v>
      </c>
      <c r="E466" s="1" t="n">
        <v>46270</v>
      </c>
      <c r="F466" t="inlineStr">
        <is>
          <t>NORRBOTTENS LÄN</t>
        </is>
      </c>
      <c r="G466" t="inlineStr">
        <is>
          <t>BODEN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61771-2024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46270</v>
      </c>
      <c r="F467" t="inlineStr">
        <is>
          <t>NORRBOTTENS LÄN</t>
        </is>
      </c>
      <c r="G467" t="inlineStr">
        <is>
          <t>BODEN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54834-2025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46270</v>
      </c>
      <c r="F468" t="inlineStr">
        <is>
          <t>NORRBOTTENS LÄN</t>
        </is>
      </c>
      <c r="G468" t="inlineStr">
        <is>
          <t>BODEN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54833-2025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45966</v>
      </c>
      <c r="E469" s="1" t="n">
        <v>46270</v>
      </c>
      <c r="F469" t="inlineStr">
        <is>
          <t>NORRBOTTENS LÄN</t>
        </is>
      </c>
      <c r="G469" t="inlineStr">
        <is>
          <t>BODEN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46270</v>
      </c>
      <c r="F470" t="inlineStr">
        <is>
          <t>NORRBOTTENS LÄN</t>
        </is>
      </c>
      <c r="G470" t="inlineStr">
        <is>
          <t>BODEN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46270</v>
      </c>
      <c r="F471" t="inlineStr">
        <is>
          <t>NORRBOTTENS LÄN</t>
        </is>
      </c>
      <c r="G471" t="inlineStr">
        <is>
          <t>BODEN</t>
        </is>
      </c>
      <c r="H471" t="inlineStr">
        <is>
          <t>Sveaskog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46901-2024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45583</v>
      </c>
      <c r="E472" s="1" t="n">
        <v>46270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46270</v>
      </c>
      <c r="F473" t="inlineStr">
        <is>
          <t>NORRBOTTENS LÄN</t>
        </is>
      </c>
      <c r="G473" t="inlineStr">
        <is>
          <t>BODEN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46270</v>
      </c>
      <c r="F474" t="inlineStr">
        <is>
          <t>NORRBOTTENS LÄN</t>
        </is>
      </c>
      <c r="G474" t="inlineStr">
        <is>
          <t>BODEN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46541-2021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44445</v>
      </c>
      <c r="E475" s="1" t="n">
        <v>46270</v>
      </c>
      <c r="F475" t="inlineStr">
        <is>
          <t>NORRBOTTENS LÄN</t>
        </is>
      </c>
      <c r="G475" t="inlineStr">
        <is>
          <t>BODEN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6638-2024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45341</v>
      </c>
      <c r="E476" s="1" t="n">
        <v>46270</v>
      </c>
      <c r="F476" t="inlineStr">
        <is>
          <t>NORRBOTTENS LÄN</t>
        </is>
      </c>
      <c r="G476" t="inlineStr">
        <is>
          <t>BODEN</t>
        </is>
      </c>
      <c r="H476" t="inlineStr">
        <is>
          <t>Övriga statliga verk och myndigheter</t>
        </is>
      </c>
      <c r="I476" t="n">
        <v>12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8056-2026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46063</v>
      </c>
      <c r="E477" s="1" t="n">
        <v>46270</v>
      </c>
      <c r="F477" t="inlineStr">
        <is>
          <t>NORRBOTTENS LÄN</t>
        </is>
      </c>
      <c r="G477" t="inlineStr">
        <is>
          <t>BODEN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7923-2026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46063</v>
      </c>
      <c r="E478" s="1" t="n">
        <v>46270</v>
      </c>
      <c r="F478" t="inlineStr">
        <is>
          <t>NORRBOTTENS LÄN</t>
        </is>
      </c>
      <c r="G478" t="inlineStr">
        <is>
          <t>BODEN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45972</v>
      </c>
      <c r="E479" s="1" t="n">
        <v>46270</v>
      </c>
      <c r="F479" t="inlineStr">
        <is>
          <t>NORRBOTTENS LÄN</t>
        </is>
      </c>
      <c r="G479" t="inlineStr">
        <is>
          <t>BODEN</t>
        </is>
      </c>
      <c r="I479" t="n">
        <v>11.9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41957-2024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45561</v>
      </c>
      <c r="E480" s="1" t="n">
        <v>46270</v>
      </c>
      <c r="F480" t="inlineStr">
        <is>
          <t>NORRBOTTENS LÄN</t>
        </is>
      </c>
      <c r="G480" t="inlineStr">
        <is>
          <t>BODEN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8433-2026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46270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59983-2023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45257</v>
      </c>
      <c r="E482" s="1" t="n">
        <v>46270</v>
      </c>
      <c r="F482" t="inlineStr">
        <is>
          <t>NORRBOTTENS LÄN</t>
        </is>
      </c>
      <c r="G482" t="inlineStr">
        <is>
          <t>BODEN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56439-2025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46270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67068-2021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44522</v>
      </c>
      <c r="E484" s="1" t="n">
        <v>46270</v>
      </c>
      <c r="F484" t="inlineStr">
        <is>
          <t>NORRBOTTENS LÄN</t>
        </is>
      </c>
      <c r="G484" t="inlineStr">
        <is>
          <t>BODEN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56560-2025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45975</v>
      </c>
      <c r="E485" s="1" t="n">
        <v>46270</v>
      </c>
      <c r="F485" t="inlineStr">
        <is>
          <t>NORRBOTTENS LÄN</t>
        </is>
      </c>
      <c r="G485" t="inlineStr">
        <is>
          <t>BODEN</t>
        </is>
      </c>
      <c r="H485" t="inlineStr">
        <is>
          <t>Naturvårdsverket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56440-2025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45975</v>
      </c>
      <c r="E486" s="1" t="n">
        <v>46270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45596</v>
      </c>
      <c r="E487" s="1" t="n">
        <v>46270</v>
      </c>
      <c r="F487" t="inlineStr">
        <is>
          <t>NORRBOTTENS LÄN</t>
        </is>
      </c>
      <c r="G487" t="inlineStr">
        <is>
          <t>BODEN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47424-2024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45587</v>
      </c>
      <c r="E488" s="1" t="n">
        <v>46270</v>
      </c>
      <c r="F488" t="inlineStr">
        <is>
          <t>NORRBOTTENS LÄN</t>
        </is>
      </c>
      <c r="G488" t="inlineStr">
        <is>
          <t>BODEN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56867-2025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45978</v>
      </c>
      <c r="E489" s="1" t="n">
        <v>46270</v>
      </c>
      <c r="F489" t="inlineStr">
        <is>
          <t>NORRBOTTENS LÄN</t>
        </is>
      </c>
      <c r="G489" t="inlineStr">
        <is>
          <t>BODEN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56947-2025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45978</v>
      </c>
      <c r="E490" s="1" t="n">
        <v>46270</v>
      </c>
      <c r="F490" t="inlineStr">
        <is>
          <t>NORRBOTTENS LÄN</t>
        </is>
      </c>
      <c r="G490" t="inlineStr">
        <is>
          <t>BODEN</t>
        </is>
      </c>
      <c r="H490" t="inlineStr">
        <is>
          <t>Naturvårdsverket</t>
        </is>
      </c>
      <c r="I490" t="n">
        <v>10.4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57777-2025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46270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57778-2025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45981</v>
      </c>
      <c r="E492" s="1" t="n">
        <v>46270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45685</v>
      </c>
      <c r="E493" s="1" t="n">
        <v>46270</v>
      </c>
      <c r="F493" t="inlineStr">
        <is>
          <t>NORRBOTTENS LÄN</t>
        </is>
      </c>
      <c r="G493" t="inlineStr">
        <is>
          <t>BODEN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45984</v>
      </c>
      <c r="E494" s="1" t="n">
        <v>46270</v>
      </c>
      <c r="F494" t="inlineStr">
        <is>
          <t>NORRBOTTENS LÄN</t>
        </is>
      </c>
      <c r="G494" t="inlineStr">
        <is>
          <t>BODEN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58490-2025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45985</v>
      </c>
      <c r="E495" s="1" t="n">
        <v>46270</v>
      </c>
      <c r="F495" t="inlineStr">
        <is>
          <t>NORRBOTTENS LÄN</t>
        </is>
      </c>
      <c r="G495" t="inlineStr">
        <is>
          <t>BODEN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46270</v>
      </c>
      <c r="F496" t="inlineStr">
        <is>
          <t>NORRBOTTENS LÄN</t>
        </is>
      </c>
      <c r="G496" t="inlineStr">
        <is>
          <t>BODEN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46078</v>
      </c>
      <c r="E497" s="1" t="n">
        <v>46270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58294-2025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45985</v>
      </c>
      <c r="E498" s="1" t="n">
        <v>46270</v>
      </c>
      <c r="F498" t="inlineStr">
        <is>
          <t>NORRBOTTENS LÄN</t>
        </is>
      </c>
      <c r="G498" t="inlineStr">
        <is>
          <t>BODEN</t>
        </is>
      </c>
      <c r="H498" t="inlineStr">
        <is>
          <t>Sveaskog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46270</v>
      </c>
      <c r="F499" t="inlineStr">
        <is>
          <t>NORRBOTTENS LÄN</t>
        </is>
      </c>
      <c r="G499" t="inlineStr">
        <is>
          <t>BODEN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46270</v>
      </c>
      <c r="F500" t="inlineStr">
        <is>
          <t>NORRBOTTENS LÄN</t>
        </is>
      </c>
      <c r="G500" t="inlineStr">
        <is>
          <t>BODEN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46270</v>
      </c>
      <c r="F501" t="inlineStr">
        <is>
          <t>NORRBOTTENS LÄN</t>
        </is>
      </c>
      <c r="G501" t="inlineStr">
        <is>
          <t>BODEN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58662-2025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45986</v>
      </c>
      <c r="E502" s="1" t="n">
        <v>46270</v>
      </c>
      <c r="F502" t="inlineStr">
        <is>
          <t>NORRBOTTENS LÄN</t>
        </is>
      </c>
      <c r="G502" t="inlineStr">
        <is>
          <t>BODEN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46270</v>
      </c>
      <c r="F503" t="inlineStr">
        <is>
          <t>NORRBOTTENS LÄN</t>
        </is>
      </c>
      <c r="G503" t="inlineStr">
        <is>
          <t>BODEN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45512</v>
      </c>
      <c r="E504" s="1" t="n">
        <v>46270</v>
      </c>
      <c r="F504" t="inlineStr">
        <is>
          <t>NORRBOTTENS LÄN</t>
        </is>
      </c>
      <c r="G504" t="inlineStr">
        <is>
          <t>BODEN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46270</v>
      </c>
      <c r="F505" t="inlineStr">
        <is>
          <t>NORRBOTTENS LÄN</t>
        </is>
      </c>
      <c r="G505" t="inlineStr">
        <is>
          <t>BODEN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59032-2025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46270</v>
      </c>
      <c r="F506" t="inlineStr">
        <is>
          <t>NORRBOTTENS LÄN</t>
        </is>
      </c>
      <c r="G506" t="inlineStr">
        <is>
          <t>BODEN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59031-2025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46270</v>
      </c>
      <c r="F507" t="inlineStr">
        <is>
          <t>NORRBOTTENS LÄN</t>
        </is>
      </c>
      <c r="G507" t="inlineStr">
        <is>
          <t>BODEN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56163-2022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44889</v>
      </c>
      <c r="E508" s="1" t="n">
        <v>46270</v>
      </c>
      <c r="F508" t="inlineStr">
        <is>
          <t>NORRBOTTENS LÄN</t>
        </is>
      </c>
      <c r="G508" t="inlineStr">
        <is>
          <t>BODEN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45406</v>
      </c>
      <c r="E509" s="1" t="n">
        <v>46270</v>
      </c>
      <c r="F509" t="inlineStr">
        <is>
          <t>NORRBOTTENS LÄN</t>
        </is>
      </c>
      <c r="G509" t="inlineStr">
        <is>
          <t>BODEN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19968-2025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45771</v>
      </c>
      <c r="E510" s="1" t="n">
        <v>46270</v>
      </c>
      <c r="F510" t="inlineStr">
        <is>
          <t>NORRBOTTENS LÄN</t>
        </is>
      </c>
      <c r="G510" t="inlineStr">
        <is>
          <t>BODEN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54104-2022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44881</v>
      </c>
      <c r="E511" s="1" t="n">
        <v>46270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46270</v>
      </c>
      <c r="F512" t="inlineStr">
        <is>
          <t>NORRBOTTENS LÄN</t>
        </is>
      </c>
      <c r="G512" t="inlineStr">
        <is>
          <t>BODEN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60397-2025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46270</v>
      </c>
      <c r="F513" t="inlineStr">
        <is>
          <t>NORRBOTTENS LÄN</t>
        </is>
      </c>
      <c r="G513" t="inlineStr">
        <is>
          <t>BODEN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46270</v>
      </c>
      <c r="F514" t="inlineStr">
        <is>
          <t>NORRBOTTENS LÄN</t>
        </is>
      </c>
      <c r="G514" t="inlineStr">
        <is>
          <t>BODEN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46270</v>
      </c>
      <c r="F515" t="inlineStr">
        <is>
          <t>NORRBOTTENS LÄN</t>
        </is>
      </c>
      <c r="G515" t="inlineStr">
        <is>
          <t>BODEN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46270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60423-2025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46270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46270</v>
      </c>
      <c r="F518" t="inlineStr">
        <is>
          <t>NORRBOTTENS LÄN</t>
        </is>
      </c>
      <c r="G518" t="inlineStr">
        <is>
          <t>BODEN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45994</v>
      </c>
      <c r="E519" s="1" t="n">
        <v>46270</v>
      </c>
      <c r="F519" t="inlineStr">
        <is>
          <t>NORRBOTTENS LÄN</t>
        </is>
      </c>
      <c r="G519" t="inlineStr">
        <is>
          <t>BODEN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60225-2025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46270</v>
      </c>
      <c r="F520" t="inlineStr">
        <is>
          <t>NORRBOTTENS LÄN</t>
        </is>
      </c>
      <c r="G520" t="inlineStr">
        <is>
          <t>BODEN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45994</v>
      </c>
      <c r="E521" s="1" t="n">
        <v>46270</v>
      </c>
      <c r="F521" t="inlineStr">
        <is>
          <t>NORRBOTTENS LÄN</t>
        </is>
      </c>
      <c r="G521" t="inlineStr">
        <is>
          <t>BODEN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47423-2024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45587</v>
      </c>
      <c r="E522" s="1" t="n">
        <v>46270</v>
      </c>
      <c r="F522" t="inlineStr">
        <is>
          <t>NORRBOTTENS LÄN</t>
        </is>
      </c>
      <c r="G522" t="inlineStr">
        <is>
          <t>BODEN</t>
        </is>
      </c>
      <c r="I522" t="n">
        <v>17.2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60613-2025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45996</v>
      </c>
      <c r="E523" s="1" t="n">
        <v>46270</v>
      </c>
      <c r="F523" t="inlineStr">
        <is>
          <t>NORRBOTTENS LÄN</t>
        </is>
      </c>
      <c r="G523" t="inlineStr">
        <is>
          <t>BODEN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46270</v>
      </c>
      <c r="F524" t="inlineStr">
        <is>
          <t>NORRBOTTENS LÄN</t>
        </is>
      </c>
      <c r="G524" t="inlineStr">
        <is>
          <t>BODEN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46270</v>
      </c>
      <c r="F525" t="inlineStr">
        <is>
          <t>NORRBOTTENS LÄN</t>
        </is>
      </c>
      <c r="G525" t="inlineStr">
        <is>
          <t>BODEN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58099-2023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45248</v>
      </c>
      <c r="E526" s="1" t="n">
        <v>46270</v>
      </c>
      <c r="F526" t="inlineStr">
        <is>
          <t>NORRBOTTENS LÄN</t>
        </is>
      </c>
      <c r="G526" t="inlineStr">
        <is>
          <t>BODEN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46270</v>
      </c>
      <c r="F527" t="inlineStr">
        <is>
          <t>NORRBOTTENS LÄN</t>
        </is>
      </c>
      <c r="G527" t="inlineStr">
        <is>
          <t>BODEN</t>
        </is>
      </c>
      <c r="I527" t="n">
        <v>9.199999999999999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61034-2025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45999</v>
      </c>
      <c r="E528" s="1" t="n">
        <v>46270</v>
      </c>
      <c r="F528" t="inlineStr">
        <is>
          <t>NORRBOTTENS LÄN</t>
        </is>
      </c>
      <c r="G528" t="inlineStr">
        <is>
          <t>BODEN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45906</v>
      </c>
      <c r="E529" s="1" t="n">
        <v>46270</v>
      </c>
      <c r="F529" t="inlineStr">
        <is>
          <t>NORRBOTTENS LÄN</t>
        </is>
      </c>
      <c r="G529" t="inlineStr">
        <is>
          <t>BODEN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45691</v>
      </c>
      <c r="E530" s="1" t="n">
        <v>46270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61227-2025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46270</v>
      </c>
      <c r="F531" t="inlineStr">
        <is>
          <t>NORRBOTTENS LÄN</t>
        </is>
      </c>
      <c r="G531" t="inlineStr">
        <is>
          <t>BODEN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61384-2025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46001</v>
      </c>
      <c r="E532" s="1" t="n">
        <v>46270</v>
      </c>
      <c r="F532" t="inlineStr">
        <is>
          <t>NORRBOTTENS LÄN</t>
        </is>
      </c>
      <c r="G532" t="inlineStr">
        <is>
          <t>BODEN</t>
        </is>
      </c>
      <c r="I532" t="n">
        <v>17.1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13714-2022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44648</v>
      </c>
      <c r="E533" s="1" t="n">
        <v>46270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467-2022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44565</v>
      </c>
      <c r="E534" s="1" t="n">
        <v>46270</v>
      </c>
      <c r="F534" t="inlineStr">
        <is>
          <t>NORRBOTTENS LÄN</t>
        </is>
      </c>
      <c r="G534" t="inlineStr">
        <is>
          <t>BODEN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61560-2025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46001</v>
      </c>
      <c r="E535" s="1" t="n">
        <v>46270</v>
      </c>
      <c r="F535" t="inlineStr">
        <is>
          <t>NORRBOTTENS LÄN</t>
        </is>
      </c>
      <c r="G535" t="inlineStr">
        <is>
          <t>BODEN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46084</v>
      </c>
      <c r="E536" s="1" t="n">
        <v>46270</v>
      </c>
      <c r="F536" t="inlineStr">
        <is>
          <t>NORRBOTTENS LÄN</t>
        </is>
      </c>
      <c r="G536" t="inlineStr">
        <is>
          <t>BODEN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46270</v>
      </c>
      <c r="F537" t="inlineStr">
        <is>
          <t>NORRBOTTENS LÄN</t>
        </is>
      </c>
      <c r="G537" t="inlineStr">
        <is>
          <t>BODEN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61959-2025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46003</v>
      </c>
      <c r="E538" s="1" t="n">
        <v>46270</v>
      </c>
      <c r="F538" t="inlineStr">
        <is>
          <t>NORRBOTTENS LÄN</t>
        </is>
      </c>
      <c r="G538" t="inlineStr">
        <is>
          <t>BODEN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46270</v>
      </c>
      <c r="F539" t="inlineStr">
        <is>
          <t>NORRBOTTENS LÄN</t>
        </is>
      </c>
      <c r="G539" t="inlineStr">
        <is>
          <t>BODEN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61559-2025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46001</v>
      </c>
      <c r="E540" s="1" t="n">
        <v>46270</v>
      </c>
      <c r="F540" t="inlineStr">
        <is>
          <t>NORRBOTTENS LÄN</t>
        </is>
      </c>
      <c r="G540" t="inlineStr">
        <is>
          <t>BODEN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61743-2024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45649</v>
      </c>
      <c r="E541" s="1" t="n">
        <v>46270</v>
      </c>
      <c r="F541" t="inlineStr">
        <is>
          <t>NORRBOTTENS LÄN</t>
        </is>
      </c>
      <c r="G541" t="inlineStr">
        <is>
          <t>BODEN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12183-2026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46086</v>
      </c>
      <c r="E542" s="1" t="n">
        <v>46270</v>
      </c>
      <c r="F542" t="inlineStr">
        <is>
          <t>NORRBOTTENS LÄN</t>
        </is>
      </c>
      <c r="G542" t="inlineStr">
        <is>
          <t>BODEN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44553-2024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45574</v>
      </c>
      <c r="E543" s="1" t="n">
        <v>46270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45301</v>
      </c>
      <c r="E544" s="1" t="n">
        <v>46270</v>
      </c>
      <c r="F544" t="inlineStr">
        <is>
          <t>NORRBOTTENS LÄN</t>
        </is>
      </c>
      <c r="G544" t="inlineStr">
        <is>
          <t>BODEN</t>
        </is>
      </c>
      <c r="H544" t="inlineStr">
        <is>
          <t>Övriga statliga verk och myndigheter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63329-2025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46270</v>
      </c>
      <c r="F545" t="inlineStr">
        <is>
          <t>NORRBOTTENS LÄN</t>
        </is>
      </c>
      <c r="G545" t="inlineStr">
        <is>
          <t>BODEN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63333-2025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46009</v>
      </c>
      <c r="E546" s="1" t="n">
        <v>46270</v>
      </c>
      <c r="F546" t="inlineStr">
        <is>
          <t>NORRBOTTENS LÄN</t>
        </is>
      </c>
      <c r="G546" t="inlineStr">
        <is>
          <t>BODEN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62687-2025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46008</v>
      </c>
      <c r="E547" s="1" t="n">
        <v>46270</v>
      </c>
      <c r="F547" t="inlineStr">
        <is>
          <t>NORRBOTTENS LÄN</t>
        </is>
      </c>
      <c r="G547" t="inlineStr">
        <is>
          <t>BODEN</t>
        </is>
      </c>
      <c r="I547" t="n">
        <v>10.1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60237-2025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46270</v>
      </c>
      <c r="F548" t="inlineStr">
        <is>
          <t>NORRBOTTENS LÄN</t>
        </is>
      </c>
      <c r="G548" t="inlineStr">
        <is>
          <t>BODEN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45761</v>
      </c>
      <c r="E549" s="1" t="n">
        <v>46270</v>
      </c>
      <c r="F549" t="inlineStr">
        <is>
          <t>NORRBOTTENS LÄN</t>
        </is>
      </c>
      <c r="G549" t="inlineStr">
        <is>
          <t>BODEN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12338-2026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46270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16180-2025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45750</v>
      </c>
      <c r="E551" s="1" t="n">
        <v>46270</v>
      </c>
      <c r="F551" t="inlineStr">
        <is>
          <t>NORRBOTTENS LÄN</t>
        </is>
      </c>
      <c r="G551" t="inlineStr">
        <is>
          <t>BODEN</t>
        </is>
      </c>
      <c r="H551" t="inlineStr">
        <is>
          <t>Övriga Aktiebolag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62992-2025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46009</v>
      </c>
      <c r="E552" s="1" t="n">
        <v>46270</v>
      </c>
      <c r="F552" t="inlineStr">
        <is>
          <t>NORRBOTTENS LÄN</t>
        </is>
      </c>
      <c r="G552" t="inlineStr">
        <is>
          <t>BODEN</t>
        </is>
      </c>
      <c r="I552" t="n">
        <v>5.6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45902</v>
      </c>
      <c r="E553" s="1" t="n">
        <v>46270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46012</v>
      </c>
      <c r="E554" s="1" t="n">
        <v>46270</v>
      </c>
      <c r="F554" t="inlineStr">
        <is>
          <t>NORRBOTTENS LÄN</t>
        </is>
      </c>
      <c r="G554" t="inlineStr">
        <is>
          <t>BODEN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46012</v>
      </c>
      <c r="E555" s="1" t="n">
        <v>46270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63398-2025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46012</v>
      </c>
      <c r="E556" s="1" t="n">
        <v>46270</v>
      </c>
      <c r="F556" t="inlineStr">
        <is>
          <t>NORRBOTTENS LÄN</t>
        </is>
      </c>
      <c r="G556" t="inlineStr">
        <is>
          <t>BODEN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61260-2023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45264</v>
      </c>
      <c r="E557" s="1" t="n">
        <v>46270</v>
      </c>
      <c r="F557" t="inlineStr">
        <is>
          <t>NORRBOTTENS LÄN</t>
        </is>
      </c>
      <c r="G557" t="inlineStr">
        <is>
          <t>BODEN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12875-2026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46270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5452-2025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45692</v>
      </c>
      <c r="E559" s="1" t="n">
        <v>46270</v>
      </c>
      <c r="F559" t="inlineStr">
        <is>
          <t>NORRBOTTENS LÄN</t>
        </is>
      </c>
      <c r="G559" t="inlineStr">
        <is>
          <t>BODEN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59029-2022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44903</v>
      </c>
      <c r="E560" s="1" t="n">
        <v>46270</v>
      </c>
      <c r="F560" t="inlineStr">
        <is>
          <t>NORRBOTTENS LÄN</t>
        </is>
      </c>
      <c r="G560" t="inlineStr">
        <is>
          <t>BODEN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13717-2026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46097</v>
      </c>
      <c r="E561" s="1" t="n">
        <v>46270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46270</v>
      </c>
      <c r="F562" t="inlineStr">
        <is>
          <t>NORRBOTTENS LÄN</t>
        </is>
      </c>
      <c r="G562" t="inlineStr">
        <is>
          <t>BODEN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45672</v>
      </c>
      <c r="E563" s="1" t="n">
        <v>46270</v>
      </c>
      <c r="F563" t="inlineStr">
        <is>
          <t>NORRBOTTENS LÄN</t>
        </is>
      </c>
      <c r="G563" t="inlineStr">
        <is>
          <t>BODEN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45376-2025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45922</v>
      </c>
      <c r="E564" s="1" t="n">
        <v>46270</v>
      </c>
      <c r="F564" t="inlineStr">
        <is>
          <t>NORRBOTTENS LÄN</t>
        </is>
      </c>
      <c r="G564" t="inlineStr">
        <is>
          <t>BODEN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14325-2026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46100</v>
      </c>
      <c r="E565" s="1" t="n">
        <v>46270</v>
      </c>
      <c r="F565" t="inlineStr">
        <is>
          <t>NORRBOTTENS LÄN</t>
        </is>
      </c>
      <c r="G565" t="inlineStr">
        <is>
          <t>BODEN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18002-2025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45761</v>
      </c>
      <c r="E566" s="1" t="n">
        <v>46270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statliga verk och myndigheter</t>
        </is>
      </c>
      <c r="I566" t="n">
        <v>11.5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14245-2026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46099</v>
      </c>
      <c r="E567" s="1" t="n">
        <v>46270</v>
      </c>
      <c r="F567" t="inlineStr">
        <is>
          <t>NORRBOTTENS LÄN</t>
        </is>
      </c>
      <c r="G567" t="inlineStr">
        <is>
          <t>BODEN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48415-2024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45590</v>
      </c>
      <c r="E568" s="1" t="n">
        <v>46270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48471-2024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45591</v>
      </c>
      <c r="E569" s="1" t="n">
        <v>46270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45591</v>
      </c>
      <c r="E570" s="1" t="n">
        <v>46270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7.7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18569-2024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45425</v>
      </c>
      <c r="E571" s="1" t="n">
        <v>46270</v>
      </c>
      <c r="F571" t="inlineStr">
        <is>
          <t>NORRBOTTENS LÄN</t>
        </is>
      </c>
      <c r="G571" t="inlineStr">
        <is>
          <t>BODEN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15017-2022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44657</v>
      </c>
      <c r="E572" s="1" t="n">
        <v>46270</v>
      </c>
      <c r="F572" t="inlineStr">
        <is>
          <t>NORRBOTTENS LÄN</t>
        </is>
      </c>
      <c r="G572" t="inlineStr">
        <is>
          <t>BODEN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46270</v>
      </c>
      <c r="F573" t="inlineStr">
        <is>
          <t>NORRBOTTENS LÄN</t>
        </is>
      </c>
      <c r="G573" t="inlineStr">
        <is>
          <t>BODEN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15342-2026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46105</v>
      </c>
      <c r="E574" s="1" t="n">
        <v>46270</v>
      </c>
      <c r="F574" t="inlineStr">
        <is>
          <t>NORRBOTTENS LÄN</t>
        </is>
      </c>
      <c r="G574" t="inlineStr">
        <is>
          <t>BODEN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46564-2022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44847</v>
      </c>
      <c r="E575" s="1" t="n">
        <v>46270</v>
      </c>
      <c r="F575" t="inlineStr">
        <is>
          <t>NORRBOTTENS LÄN</t>
        </is>
      </c>
      <c r="G575" t="inlineStr">
        <is>
          <t>BODEN</t>
        </is>
      </c>
      <c r="I575" t="n">
        <v>28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49162-2023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45210</v>
      </c>
      <c r="E576" s="1" t="n">
        <v>46270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44573</v>
      </c>
      <c r="E577" s="1" t="n">
        <v>46270</v>
      </c>
      <c r="F577" t="inlineStr">
        <is>
          <t>NORRBOTTENS LÄN</t>
        </is>
      </c>
      <c r="G577" t="inlineStr">
        <is>
          <t>BODEN</t>
        </is>
      </c>
      <c r="H577" t="inlineStr">
        <is>
          <t>Övriga statliga verk och myndigheter</t>
        </is>
      </c>
      <c r="I577" t="n">
        <v>9.9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48950-2022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44859</v>
      </c>
      <c r="E578" s="1" t="n">
        <v>46270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37984-2024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45544</v>
      </c>
      <c r="E579" s="1" t="n">
        <v>46270</v>
      </c>
      <c r="F579" t="inlineStr">
        <is>
          <t>NORRBOTTENS LÄN</t>
        </is>
      </c>
      <c r="G579" t="inlineStr">
        <is>
          <t>BODEN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45314</v>
      </c>
      <c r="E580" s="1" t="n">
        <v>46270</v>
      </c>
      <c r="F580" t="inlineStr">
        <is>
          <t>NORRBOTTENS LÄN</t>
        </is>
      </c>
      <c r="G580" t="inlineStr">
        <is>
          <t>BODEN</t>
        </is>
      </c>
      <c r="I580" t="n">
        <v>17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19563-2024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46270</v>
      </c>
      <c r="F581" t="inlineStr">
        <is>
          <t>NORRBOTTENS LÄN</t>
        </is>
      </c>
      <c r="G581" t="inlineStr">
        <is>
          <t>BODEN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6693-2023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44963</v>
      </c>
      <c r="E582" s="1" t="n">
        <v>46270</v>
      </c>
      <c r="F582" t="inlineStr">
        <is>
          <t>NORRBOTTENS LÄN</t>
        </is>
      </c>
      <c r="G582" t="inlineStr">
        <is>
          <t>BODEN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45980</v>
      </c>
      <c r="E583" s="1" t="n">
        <v>46270</v>
      </c>
      <c r="F583" t="inlineStr">
        <is>
          <t>NORRBOTTENS LÄN</t>
        </is>
      </c>
      <c r="G583" t="inlineStr">
        <is>
          <t>BODEN</t>
        </is>
      </c>
      <c r="I583" t="n">
        <v>19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31456-2024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45505</v>
      </c>
      <c r="E584" s="1" t="n">
        <v>46270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46270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9969-2023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44979</v>
      </c>
      <c r="E586" s="1" t="n">
        <v>46270</v>
      </c>
      <c r="F586" t="inlineStr">
        <is>
          <t>NORRBOTTENS LÄN</t>
        </is>
      </c>
      <c r="G586" t="inlineStr">
        <is>
          <t>BODEN</t>
        </is>
      </c>
      <c r="H586" t="inlineStr">
        <is>
          <t>Övriga statliga verk och myndigheter</t>
        </is>
      </c>
      <c r="I586" t="n">
        <v>18.8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17810-2026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46270</v>
      </c>
      <c r="F587" t="inlineStr">
        <is>
          <t>NORRBOTTENS LÄN</t>
        </is>
      </c>
      <c r="G587" t="inlineStr">
        <is>
          <t>BODEN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18221-2026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46126</v>
      </c>
      <c r="E588" s="1" t="n">
        <v>46270</v>
      </c>
      <c r="F588" t="inlineStr">
        <is>
          <t>NORRBOTTENS LÄN</t>
        </is>
      </c>
      <c r="G588" t="inlineStr">
        <is>
          <t>BODEN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18401-2026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46126</v>
      </c>
      <c r="E589" s="1" t="n">
        <v>46270</v>
      </c>
      <c r="F589" t="inlineStr">
        <is>
          <t>NORRBOTTENS LÄN</t>
        </is>
      </c>
      <c r="G589" t="inlineStr">
        <is>
          <t>BODEN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26806-2024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45470</v>
      </c>
      <c r="E590" s="1" t="n">
        <v>46270</v>
      </c>
      <c r="F590" t="inlineStr">
        <is>
          <t>NORRBOTTENS LÄN</t>
        </is>
      </c>
      <c r="G590" t="inlineStr">
        <is>
          <t>BODEN</t>
        </is>
      </c>
      <c r="H590" t="inlineStr">
        <is>
          <t>Övriga Aktiebolag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46127</v>
      </c>
      <c r="E591" s="1" t="n">
        <v>46270</v>
      </c>
      <c r="F591" t="inlineStr">
        <is>
          <t>NORRBOTTENS LÄN</t>
        </is>
      </c>
      <c r="G591" t="inlineStr">
        <is>
          <t>BODEN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68591-2021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44529</v>
      </c>
      <c r="E592" s="1" t="n">
        <v>46270</v>
      </c>
      <c r="F592" t="inlineStr">
        <is>
          <t>NORRBOTTENS LÄN</t>
        </is>
      </c>
      <c r="G592" t="inlineStr">
        <is>
          <t>BODEN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19050-2026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46132</v>
      </c>
      <c r="E593" s="1" t="n">
        <v>46270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44567-2024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45574</v>
      </c>
      <c r="E594" s="1" t="n">
        <v>46270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19091-2026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46132</v>
      </c>
      <c r="E595" s="1" t="n">
        <v>46270</v>
      </c>
      <c r="F595" t="inlineStr">
        <is>
          <t>NORRBOTTENS LÄN</t>
        </is>
      </c>
      <c r="G595" t="inlineStr">
        <is>
          <t>BODEN</t>
        </is>
      </c>
      <c r="I595" t="n">
        <v>11.7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19200-2026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46132</v>
      </c>
      <c r="E596" s="1" t="n">
        <v>46270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19049-2026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46132</v>
      </c>
      <c r="E597" s="1" t="n">
        <v>46270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62589-2025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46007</v>
      </c>
      <c r="E598" s="1" t="n">
        <v>46270</v>
      </c>
      <c r="F598" t="inlineStr">
        <is>
          <t>NORRBOTTENS LÄN</t>
        </is>
      </c>
      <c r="G598" t="inlineStr">
        <is>
          <t>BODEN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19051-2025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45764</v>
      </c>
      <c r="E599" s="1" t="n">
        <v>46270</v>
      </c>
      <c r="F599" t="inlineStr">
        <is>
          <t>NORRBOTTENS LÄN</t>
        </is>
      </c>
      <c r="G599" t="inlineStr">
        <is>
          <t>BODEN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20069-2026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46136</v>
      </c>
      <c r="E600" s="1" t="n">
        <v>46270</v>
      </c>
      <c r="F600" t="inlineStr">
        <is>
          <t>NORRBOTTENS LÄN</t>
        </is>
      </c>
      <c r="G600" t="inlineStr">
        <is>
          <t>BODEN</t>
        </is>
      </c>
      <c r="H600" t="inlineStr">
        <is>
          <t>SCA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46270</v>
      </c>
      <c r="F601" t="inlineStr">
        <is>
          <t>NORRBOTTENS LÄN</t>
        </is>
      </c>
      <c r="G601" t="inlineStr">
        <is>
          <t>BODEN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14757-2023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45014</v>
      </c>
      <c r="E602" s="1" t="n">
        <v>46270</v>
      </c>
      <c r="F602" t="inlineStr">
        <is>
          <t>NORRBOTTENS LÄN</t>
        </is>
      </c>
      <c r="G602" t="inlineStr">
        <is>
          <t>BODEN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62017-2025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46003</v>
      </c>
      <c r="E603" s="1" t="n">
        <v>46270</v>
      </c>
      <c r="F603" t="inlineStr">
        <is>
          <t>NORRBOTTENS LÄN</t>
        </is>
      </c>
      <c r="G603" t="inlineStr">
        <is>
          <t>BODEN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57600-2021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44484</v>
      </c>
      <c r="E604" s="1" t="n">
        <v>46270</v>
      </c>
      <c r="F604" t="inlineStr">
        <is>
          <t>NORRBOTTENS LÄN</t>
        </is>
      </c>
      <c r="G604" t="inlineStr">
        <is>
          <t>BODEN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46029</v>
      </c>
      <c r="E605" s="1" t="n">
        <v>46270</v>
      </c>
      <c r="F605" t="inlineStr">
        <is>
          <t>NORRBOTTENS LÄN</t>
        </is>
      </c>
      <c r="G605" t="inlineStr">
        <is>
          <t>BODEN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6244-2023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44964</v>
      </c>
      <c r="E606" s="1" t="n">
        <v>46270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19624-2025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45770</v>
      </c>
      <c r="E607" s="1" t="n">
        <v>46270</v>
      </c>
      <c r="F607" t="inlineStr">
        <is>
          <t>NORRBOTTENS LÄN</t>
        </is>
      </c>
      <c r="G607" t="inlineStr">
        <is>
          <t>BODEN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59893-2023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45254</v>
      </c>
      <c r="E608" s="1" t="n">
        <v>46270</v>
      </c>
      <c r="F608" t="inlineStr">
        <is>
          <t>NORRBOTTENS LÄN</t>
        </is>
      </c>
      <c r="G608" t="inlineStr">
        <is>
          <t>BODEN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35040-2022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44796</v>
      </c>
      <c r="E609" s="1" t="n">
        <v>46270</v>
      </c>
      <c r="F609" t="inlineStr">
        <is>
          <t>NORRBOTTENS LÄN</t>
        </is>
      </c>
      <c r="G609" t="inlineStr">
        <is>
          <t>BODEN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60776-2025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45999</v>
      </c>
      <c r="E610" s="1" t="n">
        <v>46270</v>
      </c>
      <c r="F610" t="inlineStr">
        <is>
          <t>NORRBOTTENS LÄN</t>
        </is>
      </c>
      <c r="G610" t="inlineStr">
        <is>
          <t>BODEN</t>
        </is>
      </c>
      <c r="I610" t="n">
        <v>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61988-2025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46003</v>
      </c>
      <c r="E611" s="1" t="n">
        <v>46270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5792-2025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45694</v>
      </c>
      <c r="E612" s="1" t="n">
        <v>46270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45408</v>
      </c>
      <c r="E613" s="1" t="n">
        <v>46270</v>
      </c>
      <c r="F613" t="inlineStr">
        <is>
          <t>NORRBOTTENS LÄN</t>
        </is>
      </c>
      <c r="G613" t="inlineStr">
        <is>
          <t>BODEN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33915-2024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45523</v>
      </c>
      <c r="E614" s="1" t="n">
        <v>46270</v>
      </c>
      <c r="F614" t="inlineStr">
        <is>
          <t>NORRBOTTENS LÄN</t>
        </is>
      </c>
      <c r="G614" t="inlineStr">
        <is>
          <t>BODEN</t>
        </is>
      </c>
      <c r="H614" t="inlineStr">
        <is>
          <t>SCA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50561-2025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45944</v>
      </c>
      <c r="E615" s="1" t="n">
        <v>46270</v>
      </c>
      <c r="F615" t="inlineStr">
        <is>
          <t>NORRBOTTENS LÄN</t>
        </is>
      </c>
      <c r="G615" t="inlineStr">
        <is>
          <t>BODEN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36112-2023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45149</v>
      </c>
      <c r="E616" s="1" t="n">
        <v>46270</v>
      </c>
      <c r="F616" t="inlineStr">
        <is>
          <t>NORRBOTTENS LÄN</t>
        </is>
      </c>
      <c r="G616" t="inlineStr">
        <is>
          <t>BODEN</t>
        </is>
      </c>
      <c r="I616" t="n">
        <v>16.1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20505-2023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45054</v>
      </c>
      <c r="E617" s="1" t="n">
        <v>46270</v>
      </c>
      <c r="F617" t="inlineStr">
        <is>
          <t>NORRBOTTENS LÄN</t>
        </is>
      </c>
      <c r="G617" t="inlineStr">
        <is>
          <t>BODEN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21335-2024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45429</v>
      </c>
      <c r="E618" s="1" t="n">
        <v>46270</v>
      </c>
      <c r="F618" t="inlineStr">
        <is>
          <t>NORRBOTTENS LÄN</t>
        </is>
      </c>
      <c r="G618" t="inlineStr">
        <is>
          <t>BODEN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25916-2023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45085</v>
      </c>
      <c r="E619" s="1" t="n">
        <v>46270</v>
      </c>
      <c r="F619" t="inlineStr">
        <is>
          <t>NORRBOTTENS LÄN</t>
        </is>
      </c>
      <c r="G619" t="inlineStr">
        <is>
          <t>BODEN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35755-2025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45860</v>
      </c>
      <c r="E620" s="1" t="n">
        <v>46270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64649-2023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46270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48459-2025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45935</v>
      </c>
      <c r="E622" s="1" t="n">
        <v>46270</v>
      </c>
      <c r="F622" t="inlineStr">
        <is>
          <t>NORRBOTTENS LÄN</t>
        </is>
      </c>
      <c r="G622" t="inlineStr">
        <is>
          <t>BODEN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44903</v>
      </c>
      <c r="E623" s="1" t="n">
        <v>46270</v>
      </c>
      <c r="F623" t="inlineStr">
        <is>
          <t>NORRBOTTENS LÄN</t>
        </is>
      </c>
      <c r="G623" t="inlineStr">
        <is>
          <t>BODEN</t>
        </is>
      </c>
      <c r="I623" t="n">
        <v>16.1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49127-2023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45210</v>
      </c>
      <c r="E624" s="1" t="n">
        <v>46270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32775-2025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45839</v>
      </c>
      <c r="E625" s="1" t="n">
        <v>46270</v>
      </c>
      <c r="F625" t="inlineStr">
        <is>
          <t>NORRBOTTENS LÄN</t>
        </is>
      </c>
      <c r="G625" t="inlineStr">
        <is>
          <t>BODEN</t>
        </is>
      </c>
      <c r="I625" t="n">
        <v>13.6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43007-2022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44833</v>
      </c>
      <c r="E626" s="1" t="n">
        <v>46270</v>
      </c>
      <c r="F626" t="inlineStr">
        <is>
          <t>NORRBOTTENS LÄN</t>
        </is>
      </c>
      <c r="G626" t="inlineStr">
        <is>
          <t>BODEN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67438-2021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44524</v>
      </c>
      <c r="E627" s="1" t="n">
        <v>46270</v>
      </c>
      <c r="F627" t="inlineStr">
        <is>
          <t>NORRBOTTENS LÄN</t>
        </is>
      </c>
      <c r="G627" t="inlineStr">
        <is>
          <t>BODEN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46270</v>
      </c>
      <c r="F628" t="inlineStr">
        <is>
          <t>NORRBOTTENS LÄN</t>
        </is>
      </c>
      <c r="G628" t="inlineStr">
        <is>
          <t>BODEN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46512-2021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44445</v>
      </c>
      <c r="E629" s="1" t="n">
        <v>46270</v>
      </c>
      <c r="F629" t="inlineStr">
        <is>
          <t>NORRBOTTENS LÄN</t>
        </is>
      </c>
      <c r="G629" t="inlineStr">
        <is>
          <t>BODEN</t>
        </is>
      </c>
      <c r="I629" t="n">
        <v>7.2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49859-2023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45212</v>
      </c>
      <c r="E630" s="1" t="n">
        <v>46270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47024-2024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45586</v>
      </c>
      <c r="E631" s="1" t="n">
        <v>46270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21421-2022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44706</v>
      </c>
      <c r="E632" s="1" t="n">
        <v>46270</v>
      </c>
      <c r="F632" t="inlineStr">
        <is>
          <t>NORRBOTTENS LÄN</t>
        </is>
      </c>
      <c r="G632" t="inlineStr">
        <is>
          <t>BODEN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28432-2022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44747</v>
      </c>
      <c r="E633" s="1" t="n">
        <v>46270</v>
      </c>
      <c r="F633" t="inlineStr">
        <is>
          <t>NORRBOTTENS LÄN</t>
        </is>
      </c>
      <c r="G633" t="inlineStr">
        <is>
          <t>BODEN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16741-2022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44673</v>
      </c>
      <c r="E634" s="1" t="n">
        <v>46270</v>
      </c>
      <c r="F634" t="inlineStr">
        <is>
          <t>NORRBOTTENS LÄN</t>
        </is>
      </c>
      <c r="G634" t="inlineStr">
        <is>
          <t>BODEN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38994-2024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45548</v>
      </c>
      <c r="E635" s="1" t="n">
        <v>46270</v>
      </c>
      <c r="F635" t="inlineStr">
        <is>
          <t>NORRBOTTENS LÄN</t>
        </is>
      </c>
      <c r="G635" t="inlineStr">
        <is>
          <t>BODEN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14995-2022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44657</v>
      </c>
      <c r="E636" s="1" t="n">
        <v>46270</v>
      </c>
      <c r="F636" t="inlineStr">
        <is>
          <t>NORRBOTTENS LÄN</t>
        </is>
      </c>
      <c r="G636" t="inlineStr">
        <is>
          <t>BODEN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15000-2022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44657</v>
      </c>
      <c r="E637" s="1" t="n">
        <v>46270</v>
      </c>
      <c r="F637" t="inlineStr">
        <is>
          <t>NORRBOTTENS LÄN</t>
        </is>
      </c>
      <c r="G637" t="inlineStr">
        <is>
          <t>BODEN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11634-2026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46270</v>
      </c>
      <c r="F638" t="inlineStr">
        <is>
          <t>NORRBOTTENS LÄN</t>
        </is>
      </c>
      <c r="G638" t="inlineStr">
        <is>
          <t>BODEN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10240-2026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46270</v>
      </c>
      <c r="F639" t="inlineStr">
        <is>
          <t>NORRBOTTENS LÄN</t>
        </is>
      </c>
      <c r="G639" t="inlineStr">
        <is>
          <t>BODEN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31195-2025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45832</v>
      </c>
      <c r="E640" s="1" t="n">
        <v>46270</v>
      </c>
      <c r="F640" t="inlineStr">
        <is>
          <t>NORRBOTTENS LÄN</t>
        </is>
      </c>
      <c r="G640" t="inlineStr">
        <is>
          <t>BODEN</t>
        </is>
      </c>
      <c r="I640" t="n">
        <v>8.9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28248-2025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45818</v>
      </c>
      <c r="E641" s="1" t="n">
        <v>46270</v>
      </c>
      <c r="F641" t="inlineStr">
        <is>
          <t>NORRBOTTENS LÄN</t>
        </is>
      </c>
      <c r="G641" t="inlineStr">
        <is>
          <t>BODEN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61214-2024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46270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6776-2023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44966</v>
      </c>
      <c r="E643" s="1" t="n">
        <v>46270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21279-2026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46270</v>
      </c>
      <c r="F644" t="inlineStr">
        <is>
          <t>NORRBOTTENS LÄN</t>
        </is>
      </c>
      <c r="G644" t="inlineStr">
        <is>
          <t>BODEN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40115-2025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45893</v>
      </c>
      <c r="E645" s="1" t="n">
        <v>46270</v>
      </c>
      <c r="F645" t="inlineStr">
        <is>
          <t>NORRBOTTENS LÄN</t>
        </is>
      </c>
      <c r="G645" t="inlineStr">
        <is>
          <t>BODEN</t>
        </is>
      </c>
      <c r="H645" t="inlineStr">
        <is>
          <t>Övriga statliga verk och myndigheter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33511-2025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45841</v>
      </c>
      <c r="E646" s="1" t="n">
        <v>46270</v>
      </c>
      <c r="F646" t="inlineStr">
        <is>
          <t>NORRBOTTENS LÄN</t>
        </is>
      </c>
      <c r="G646" t="inlineStr">
        <is>
          <t>BODEN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21478-2026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46148</v>
      </c>
      <c r="E647" s="1" t="n">
        <v>46270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48592-2024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45593</v>
      </c>
      <c r="E648" s="1" t="n">
        <v>46270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46270</v>
      </c>
      <c r="F649" t="inlineStr">
        <is>
          <t>NORRBOTTENS LÄN</t>
        </is>
      </c>
      <c r="G649" t="inlineStr">
        <is>
          <t>BODEN</t>
        </is>
      </c>
      <c r="I649" t="n">
        <v>11.6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21610-2026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46149</v>
      </c>
      <c r="E650" s="1" t="n">
        <v>46270</v>
      </c>
      <c r="F650" t="inlineStr">
        <is>
          <t>NORRBOTTENS LÄN</t>
        </is>
      </c>
      <c r="G650" t="inlineStr">
        <is>
          <t>BODEN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46149</v>
      </c>
      <c r="E651" s="1" t="n">
        <v>46270</v>
      </c>
      <c r="F651" t="inlineStr">
        <is>
          <t>NORRBOTTENS LÄN</t>
        </is>
      </c>
      <c r="G651" t="inlineStr">
        <is>
          <t>BODEN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22264-2026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46270</v>
      </c>
      <c r="F652" t="inlineStr">
        <is>
          <t>NORRBOTTENS LÄN</t>
        </is>
      </c>
      <c r="G652" t="inlineStr">
        <is>
          <t>BODEN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22259-2026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46150</v>
      </c>
      <c r="E653" s="1" t="n">
        <v>46270</v>
      </c>
      <c r="F653" t="inlineStr">
        <is>
          <t>NORRBOTTENS LÄN</t>
        </is>
      </c>
      <c r="G653" t="inlineStr">
        <is>
          <t>BODEN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19528-2024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46270</v>
      </c>
      <c r="F654" t="inlineStr">
        <is>
          <t>NORRBOTTENS LÄN</t>
        </is>
      </c>
      <c r="G654" t="inlineStr">
        <is>
          <t>BODEN</t>
        </is>
      </c>
      <c r="I654" t="n">
        <v>3.9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19533-2024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45429</v>
      </c>
      <c r="E655" s="1" t="n">
        <v>46270</v>
      </c>
      <c r="F655" t="inlineStr">
        <is>
          <t>NORRBOTTENS LÄN</t>
        </is>
      </c>
      <c r="G655" t="inlineStr">
        <is>
          <t>BODEN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25920-2023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45085</v>
      </c>
      <c r="E656" s="1" t="n">
        <v>46270</v>
      </c>
      <c r="F656" t="inlineStr">
        <is>
          <t>NORRBOTTENS LÄN</t>
        </is>
      </c>
      <c r="G656" t="inlineStr">
        <is>
          <t>BODEN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21784-2026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46150</v>
      </c>
      <c r="E657" s="1" t="n">
        <v>46270</v>
      </c>
      <c r="F657" t="inlineStr">
        <is>
          <t>NORRBOTTENS LÄN</t>
        </is>
      </c>
      <c r="G657" t="inlineStr">
        <is>
          <t>BODEN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16699-2024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45408</v>
      </c>
      <c r="E658" s="1" t="n">
        <v>46270</v>
      </c>
      <c r="F658" t="inlineStr">
        <is>
          <t>NORRBOTTENS LÄN</t>
        </is>
      </c>
      <c r="G658" t="inlineStr">
        <is>
          <t>BODEN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22373-2026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46154</v>
      </c>
      <c r="E659" s="1" t="n">
        <v>46270</v>
      </c>
      <c r="F659" t="inlineStr">
        <is>
          <t>NORRBOTTENS LÄN</t>
        </is>
      </c>
      <c r="G659" t="inlineStr">
        <is>
          <t>BODEN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61587-2024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45646</v>
      </c>
      <c r="E660" s="1" t="n">
        <v>46270</v>
      </c>
      <c r="F660" t="inlineStr">
        <is>
          <t>NORRBOTTENS LÄN</t>
        </is>
      </c>
      <c r="G660" t="inlineStr">
        <is>
          <t>BODEN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22560-2026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46270</v>
      </c>
      <c r="F661" t="inlineStr">
        <is>
          <t>NORRBOTTENS LÄN</t>
        </is>
      </c>
      <c r="G661" t="inlineStr">
        <is>
          <t>BODEN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60085-2024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45639</v>
      </c>
      <c r="E662" s="1" t="n">
        <v>46270</v>
      </c>
      <c r="F662" t="inlineStr">
        <is>
          <t>NORRBOTTENS LÄN</t>
        </is>
      </c>
      <c r="G662" t="inlineStr">
        <is>
          <t>BODEN</t>
        </is>
      </c>
      <c r="I662" t="n">
        <v>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46270</v>
      </c>
      <c r="F663" t="inlineStr">
        <is>
          <t>NORRBOTTENS LÄN</t>
        </is>
      </c>
      <c r="G663" t="inlineStr">
        <is>
          <t>BODEN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22239-2026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46270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45153</v>
      </c>
      <c r="E665" s="1" t="n">
        <v>46270</v>
      </c>
      <c r="F665" t="inlineStr">
        <is>
          <t>NORRBOTTENS LÄN</t>
        </is>
      </c>
      <c r="G665" t="inlineStr">
        <is>
          <t>BODEN</t>
        </is>
      </c>
      <c r="I665" t="n">
        <v>7.5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59035-2025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45988</v>
      </c>
      <c r="E666" s="1" t="n">
        <v>46270</v>
      </c>
      <c r="F666" t="inlineStr">
        <is>
          <t>NORRBOTTENS LÄN</t>
        </is>
      </c>
      <c r="G666" t="inlineStr">
        <is>
          <t>BODEN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19068-2024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45427</v>
      </c>
      <c r="E667" s="1" t="n">
        <v>46270</v>
      </c>
      <c r="F667" t="inlineStr">
        <is>
          <t>NORRBOTTENS LÄN</t>
        </is>
      </c>
      <c r="G667" t="inlineStr">
        <is>
          <t>BODEN</t>
        </is>
      </c>
      <c r="I667" t="n">
        <v>22.1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31754-2024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45509</v>
      </c>
      <c r="E668" s="1" t="n">
        <v>46270</v>
      </c>
      <c r="F668" t="inlineStr">
        <is>
          <t>NORRBOTTENS LÄN</t>
        </is>
      </c>
      <c r="G668" t="inlineStr">
        <is>
          <t>BODEN</t>
        </is>
      </c>
      <c r="I668" t="n">
        <v>11.1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21329-2024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45440</v>
      </c>
      <c r="E669" s="1" t="n">
        <v>46270</v>
      </c>
      <c r="F669" t="inlineStr">
        <is>
          <t>NORRBOTTENS LÄN</t>
        </is>
      </c>
      <c r="G669" t="inlineStr">
        <is>
          <t>BODEN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59688-2023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45256</v>
      </c>
      <c r="E670" s="1" t="n">
        <v>46270</v>
      </c>
      <c r="F670" t="inlineStr">
        <is>
          <t>NORRBOTTENS LÄN</t>
        </is>
      </c>
      <c r="G670" t="inlineStr">
        <is>
          <t>BODEN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42196-2024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45562</v>
      </c>
      <c r="E671" s="1" t="n">
        <v>46270</v>
      </c>
      <c r="F671" t="inlineStr">
        <is>
          <t>NORRBOTTENS LÄN</t>
        </is>
      </c>
      <c r="G671" t="inlineStr">
        <is>
          <t>BODEN</t>
        </is>
      </c>
      <c r="H671" t="inlineStr">
        <is>
          <t>SCA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61932-2024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45653</v>
      </c>
      <c r="E672" s="1" t="n">
        <v>46270</v>
      </c>
      <c r="F672" t="inlineStr">
        <is>
          <t>NORRBOTTENS LÄN</t>
        </is>
      </c>
      <c r="G672" t="inlineStr">
        <is>
          <t>BODEN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46270</v>
      </c>
      <c r="F673" t="inlineStr">
        <is>
          <t>NORRBOTTENS LÄN</t>
        </is>
      </c>
      <c r="G673" t="inlineStr">
        <is>
          <t>BODEN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45818</v>
      </c>
      <c r="E674" s="1" t="n">
        <v>46270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11.3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45744</v>
      </c>
      <c r="E675" s="1" t="n">
        <v>46270</v>
      </c>
      <c r="F675" t="inlineStr">
        <is>
          <t>NORRBOTTENS LÄN</t>
        </is>
      </c>
      <c r="G675" t="inlineStr">
        <is>
          <t>BODEN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5129-2025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45691</v>
      </c>
      <c r="E676" s="1" t="n">
        <v>46270</v>
      </c>
      <c r="F676" t="inlineStr">
        <is>
          <t>NORRBOTTENS LÄN</t>
        </is>
      </c>
      <c r="G676" t="inlineStr">
        <is>
          <t>BODEN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45499</v>
      </c>
      <c r="E677" s="1" t="n">
        <v>46270</v>
      </c>
      <c r="F677" t="inlineStr">
        <is>
          <t>NORRBOTTENS LÄN</t>
        </is>
      </c>
      <c r="G677" t="inlineStr">
        <is>
          <t>BODEN</t>
        </is>
      </c>
      <c r="I677" t="n">
        <v>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37212-2025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45875</v>
      </c>
      <c r="E678" s="1" t="n">
        <v>46270</v>
      </c>
      <c r="F678" t="inlineStr">
        <is>
          <t>NORRBOTTENS LÄN</t>
        </is>
      </c>
      <c r="G678" t="inlineStr">
        <is>
          <t>BODEN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37384-2023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45156</v>
      </c>
      <c r="E679" s="1" t="n">
        <v>46270</v>
      </c>
      <c r="F679" t="inlineStr">
        <is>
          <t>NORRBOTTENS LÄN</t>
        </is>
      </c>
      <c r="G679" t="inlineStr">
        <is>
          <t>BODEN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12893-2022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44642</v>
      </c>
      <c r="E680" s="1" t="n">
        <v>46270</v>
      </c>
      <c r="F680" t="inlineStr">
        <is>
          <t>NORRBOTTENS LÄN</t>
        </is>
      </c>
      <c r="G680" t="inlineStr">
        <is>
          <t>BODEN</t>
        </is>
      </c>
      <c r="H680" t="inlineStr">
        <is>
          <t>Övriga statliga verk och myndigheter</t>
        </is>
      </c>
      <c r="I680" t="n">
        <v>15.8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22458-2023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45070</v>
      </c>
      <c r="E681" s="1" t="n">
        <v>46270</v>
      </c>
      <c r="F681" t="inlineStr">
        <is>
          <t>NORRBOTTENS LÄN</t>
        </is>
      </c>
      <c r="G681" t="inlineStr">
        <is>
          <t>BODEN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58373-2022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44901</v>
      </c>
      <c r="E682" s="1" t="n">
        <v>46270</v>
      </c>
      <c r="F682" t="inlineStr">
        <is>
          <t>NORRBOTTENS LÄN</t>
        </is>
      </c>
      <c r="G682" t="inlineStr">
        <is>
          <t>BODEN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45929-2023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45195</v>
      </c>
      <c r="E683" s="1" t="n">
        <v>46270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45674</v>
      </c>
      <c r="E684" s="1" t="n">
        <v>46270</v>
      </c>
      <c r="F684" t="inlineStr">
        <is>
          <t>NORRBOTTENS LÄN</t>
        </is>
      </c>
      <c r="G684" t="inlineStr">
        <is>
          <t>BODEN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40157-2025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45894</v>
      </c>
      <c r="E685" s="1" t="n">
        <v>46270</v>
      </c>
      <c r="F685" t="inlineStr">
        <is>
          <t>NORRBOTTENS LÄN</t>
        </is>
      </c>
      <c r="G685" t="inlineStr">
        <is>
          <t>BODEN</t>
        </is>
      </c>
      <c r="H685" t="inlineStr">
        <is>
          <t>Övriga statliga verk och myndigheter</t>
        </is>
      </c>
      <c r="I685" t="n">
        <v>17.6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61750-2024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45649</v>
      </c>
      <c r="E686" s="1" t="n">
        <v>46270</v>
      </c>
      <c r="F686" t="inlineStr">
        <is>
          <t>NORRBOTTENS LÄN</t>
        </is>
      </c>
      <c r="G686" t="inlineStr">
        <is>
          <t>BODEN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23790-2026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46164</v>
      </c>
      <c r="E687" s="1" t="n">
        <v>46270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23792-2026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46164</v>
      </c>
      <c r="E688" s="1" t="n">
        <v>46270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23788-2026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46164</v>
      </c>
      <c r="E689" s="1" t="n">
        <v>46270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7.1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47922-2024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45589</v>
      </c>
      <c r="E690" s="1" t="n">
        <v>46270</v>
      </c>
      <c r="F690" t="inlineStr">
        <is>
          <t>NORRBOTTENS LÄN</t>
        </is>
      </c>
      <c r="G690" t="inlineStr">
        <is>
          <t>BODEN</t>
        </is>
      </c>
      <c r="H690" t="inlineStr">
        <is>
          <t>Naturvårdsverket</t>
        </is>
      </c>
      <c r="I690" t="n">
        <v>4.9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47924-2024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45589</v>
      </c>
      <c r="E691" s="1" t="n">
        <v>46270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23789-2026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46164</v>
      </c>
      <c r="E692" s="1" t="n">
        <v>46270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3.8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24431-2026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46270</v>
      </c>
      <c r="F693" t="inlineStr">
        <is>
          <t>NORRBOTTENS LÄN</t>
        </is>
      </c>
      <c r="G693" t="inlineStr">
        <is>
          <t>BODEN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24235-2026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46270</v>
      </c>
      <c r="F694" t="inlineStr">
        <is>
          <t>NORRBOTTENS LÄN</t>
        </is>
      </c>
      <c r="G694" t="inlineStr">
        <is>
          <t>BODEN</t>
        </is>
      </c>
      <c r="I694" t="n">
        <v>5.9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24744-2024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45460</v>
      </c>
      <c r="E695" s="1" t="n">
        <v>46270</v>
      </c>
      <c r="F695" t="inlineStr">
        <is>
          <t>NORRBOTTENS LÄN</t>
        </is>
      </c>
      <c r="G695" t="inlineStr">
        <is>
          <t>BODEN</t>
        </is>
      </c>
      <c r="H695" t="inlineStr">
        <is>
          <t>Övriga Aktiebolag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24430-2026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46270</v>
      </c>
      <c r="F696" t="inlineStr">
        <is>
          <t>NORRBOTTENS LÄN</t>
        </is>
      </c>
      <c r="G696" t="inlineStr">
        <is>
          <t>BODEN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24234-2026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46270</v>
      </c>
      <c r="F697" t="inlineStr">
        <is>
          <t>NORRBOTTENS LÄN</t>
        </is>
      </c>
      <c r="G697" t="inlineStr">
        <is>
          <t>BODEN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24221-2026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46168</v>
      </c>
      <c r="E698" s="1" t="n">
        <v>46270</v>
      </c>
      <c r="F698" t="inlineStr">
        <is>
          <t>NORRBOTTENS LÄN</t>
        </is>
      </c>
      <c r="G698" t="inlineStr">
        <is>
          <t>BODEN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8028-2024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45350</v>
      </c>
      <c r="E699" s="1" t="n">
        <v>46270</v>
      </c>
      <c r="F699" t="inlineStr">
        <is>
          <t>NORRBOTTENS LÄN</t>
        </is>
      </c>
      <c r="G699" t="inlineStr">
        <is>
          <t>BODEN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24805-2026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46172</v>
      </c>
      <c r="E700" s="1" t="n">
        <v>46270</v>
      </c>
      <c r="F700" t="inlineStr">
        <is>
          <t>NORRBOTTENS LÄN</t>
        </is>
      </c>
      <c r="G700" t="inlineStr">
        <is>
          <t>BODEN</t>
        </is>
      </c>
      <c r="H700" t="inlineStr">
        <is>
          <t>SCA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25627-2022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44732</v>
      </c>
      <c r="E701" s="1" t="n">
        <v>46270</v>
      </c>
      <c r="F701" t="inlineStr">
        <is>
          <t>NORRBOTTENS LÄN</t>
        </is>
      </c>
      <c r="G701" t="inlineStr">
        <is>
          <t>BODEN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46171</v>
      </c>
      <c r="E702" s="1" t="n">
        <v>46270</v>
      </c>
      <c r="F702" t="inlineStr">
        <is>
          <t>NORRBOTTENS LÄN</t>
        </is>
      </c>
      <c r="G702" t="inlineStr">
        <is>
          <t>BODEN</t>
        </is>
      </c>
      <c r="I702" t="n">
        <v>6.1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2732-2025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45677</v>
      </c>
      <c r="E703" s="1" t="n">
        <v>46270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61107-2022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44908</v>
      </c>
      <c r="E704" s="1" t="n">
        <v>46270</v>
      </c>
      <c r="F704" t="inlineStr">
        <is>
          <t>NORRBOTTENS LÄN</t>
        </is>
      </c>
      <c r="G704" t="inlineStr">
        <is>
          <t>BODEN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25042-2026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46174</v>
      </c>
      <c r="E705" s="1" t="n">
        <v>46270</v>
      </c>
      <c r="F705" t="inlineStr">
        <is>
          <t>NORRBOTTENS LÄN</t>
        </is>
      </c>
      <c r="G705" t="inlineStr">
        <is>
          <t>BODEN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50327-2023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45216</v>
      </c>
      <c r="E706" s="1" t="n">
        <v>46270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24400-2022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44726</v>
      </c>
      <c r="E707" s="1" t="n">
        <v>46270</v>
      </c>
      <c r="F707" t="inlineStr">
        <is>
          <t>NORRBOTTENS LÄN</t>
        </is>
      </c>
      <c r="G707" t="inlineStr">
        <is>
          <t>BODEN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706-2022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44566</v>
      </c>
      <c r="E708" s="1" t="n">
        <v>46270</v>
      </c>
      <c r="F708" t="inlineStr">
        <is>
          <t>NORRBOTTENS LÄN</t>
        </is>
      </c>
      <c r="G708" t="inlineStr">
        <is>
          <t>BODEN</t>
        </is>
      </c>
      <c r="I708" t="n">
        <v>12.4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45035-2022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44841</v>
      </c>
      <c r="E709" s="1" t="n">
        <v>46270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8873-2024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45356</v>
      </c>
      <c r="E710" s="1" t="n">
        <v>46270</v>
      </c>
      <c r="F710" t="inlineStr">
        <is>
          <t>NORRBOTTENS LÄN</t>
        </is>
      </c>
      <c r="G710" t="inlineStr">
        <is>
          <t>BODEN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25240-2026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46175</v>
      </c>
      <c r="E711" s="1" t="n">
        <v>46270</v>
      </c>
      <c r="F711" t="inlineStr">
        <is>
          <t>NORRBOTTENS LÄN</t>
        </is>
      </c>
      <c r="G711" t="inlineStr">
        <is>
          <t>BODEN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46270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7.5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45356</v>
      </c>
      <c r="E713" s="1" t="n">
        <v>46270</v>
      </c>
      <c r="F713" t="inlineStr">
        <is>
          <t>NORRBOTTENS LÄN</t>
        </is>
      </c>
      <c r="G713" t="inlineStr">
        <is>
          <t>BODEN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46270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26022-2022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44734</v>
      </c>
      <c r="E715" s="1" t="n">
        <v>46270</v>
      </c>
      <c r="F715" t="inlineStr">
        <is>
          <t>NORRBOTTENS LÄN</t>
        </is>
      </c>
      <c r="G715" t="inlineStr">
        <is>
          <t>BODEN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61969-2024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45653</v>
      </c>
      <c r="E716" s="1" t="n">
        <v>46270</v>
      </c>
      <c r="F716" t="inlineStr">
        <is>
          <t>NORRBOTTENS LÄN</t>
        </is>
      </c>
      <c r="G716" t="inlineStr">
        <is>
          <t>BODEN</t>
        </is>
      </c>
      <c r="I716" t="n">
        <v>9.699999999999999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19584-2025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45770</v>
      </c>
      <c r="E717" s="1" t="n">
        <v>46270</v>
      </c>
      <c r="F717" t="inlineStr">
        <is>
          <t>NORRBOTTENS LÄN</t>
        </is>
      </c>
      <c r="G717" t="inlineStr">
        <is>
          <t>BODEN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37866-2024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45544</v>
      </c>
      <c r="E718" s="1" t="n">
        <v>46270</v>
      </c>
      <c r="F718" t="inlineStr">
        <is>
          <t>NORRBOTTENS LÄN</t>
        </is>
      </c>
      <c r="G718" t="inlineStr">
        <is>
          <t>BODEN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25571-2026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46177</v>
      </c>
      <c r="E719" s="1" t="n">
        <v>46270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24498-2026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46270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34760-2022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44795</v>
      </c>
      <c r="E721" s="1" t="n">
        <v>46270</v>
      </c>
      <c r="F721" t="inlineStr">
        <is>
          <t>NORRBOTTENS LÄN</t>
        </is>
      </c>
      <c r="G721" t="inlineStr">
        <is>
          <t>BODEN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26122-2026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46270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38874-2023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45161</v>
      </c>
      <c r="E723" s="1" t="n">
        <v>46270</v>
      </c>
      <c r="F723" t="inlineStr">
        <is>
          <t>NORRBOTTENS LÄN</t>
        </is>
      </c>
      <c r="G723" t="inlineStr">
        <is>
          <t>BODEN</t>
        </is>
      </c>
      <c r="I723" t="n">
        <v>15.5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26182-2026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46182</v>
      </c>
      <c r="E724" s="1" t="n">
        <v>46270</v>
      </c>
      <c r="F724" t="inlineStr">
        <is>
          <t>NORRBOTTENS LÄN</t>
        </is>
      </c>
      <c r="G724" t="inlineStr">
        <is>
          <t>BODEN</t>
        </is>
      </c>
      <c r="H724" t="inlineStr">
        <is>
          <t>SCA</t>
        </is>
      </c>
      <c r="I724" t="n">
        <v>8.5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26056-2026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46181</v>
      </c>
      <c r="E725" s="1" t="n">
        <v>46270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46183</v>
      </c>
      <c r="E726" s="1" t="n">
        <v>46270</v>
      </c>
      <c r="F726" t="inlineStr">
        <is>
          <t>NORRBOTTENS LÄN</t>
        </is>
      </c>
      <c r="G726" t="inlineStr">
        <is>
          <t>BODEN</t>
        </is>
      </c>
      <c r="I726" t="n">
        <v>7.7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26714-2026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46184</v>
      </c>
      <c r="E727" s="1" t="n">
        <v>46270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7.2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26776-2026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46270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  <c r="Z728">
        <f>HYPERLINK("https://klasma.github.io/Logging_2582/knärot/A 26776-2026 karta knärot.png", "A 26776-2026")</f>
        <v/>
      </c>
      <c r="AA728">
        <f>HYPERLINK("https://klasma.github.io/Logging_2582/klagomål/A 26776-2026 FSC-klagomål.docx", "A 26776-2026")</f>
        <v/>
      </c>
      <c r="AB728">
        <f>HYPERLINK("https://klasma.github.io/Logging_2582/klagomålsmail/A 26776-2026 FSC-klagomål mail.docx", "A 26776-2026")</f>
        <v/>
      </c>
      <c r="AC728">
        <f>HYPERLINK("https://klasma.github.io/Logging_2582/tillsyn/A 26776-2026 tillsynsbegäran.docx", "A 26776-2026")</f>
        <v/>
      </c>
      <c r="AD728">
        <f>HYPERLINK("https://klasma.github.io/Logging_2582/tillsynsmail/A 26776-2026 tillsynsbegäran mail.docx", "A 26776-2026")</f>
        <v/>
      </c>
    </row>
    <row r="729" ht="15" customHeight="1">
      <c r="A729" t="inlineStr">
        <is>
          <t>A 26375-2026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46270</v>
      </c>
      <c r="F729" t="inlineStr">
        <is>
          <t>NORRBOTTENS LÄN</t>
        </is>
      </c>
      <c r="G729" t="inlineStr">
        <is>
          <t>BODEN</t>
        </is>
      </c>
      <c r="I729" t="n">
        <v>18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26386-2026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46183</v>
      </c>
      <c r="E730" s="1" t="n">
        <v>46270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26662-2026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46270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42.2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45448-2023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45194</v>
      </c>
      <c r="E732" s="1" t="n">
        <v>46270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61103-2022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44908</v>
      </c>
      <c r="E733" s="1" t="n">
        <v>46270</v>
      </c>
      <c r="F733" t="inlineStr">
        <is>
          <t>NORRBOTTENS LÄN</t>
        </is>
      </c>
      <c r="G733" t="inlineStr">
        <is>
          <t>BODEN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9319-2024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45358</v>
      </c>
      <c r="E734" s="1" t="n">
        <v>46270</v>
      </c>
      <c r="F734" t="inlineStr">
        <is>
          <t>NORRBOTTENS LÄN</t>
        </is>
      </c>
      <c r="G734" t="inlineStr">
        <is>
          <t>BODEN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3459-2025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45680</v>
      </c>
      <c r="E735" s="1" t="n">
        <v>46270</v>
      </c>
      <c r="F735" t="inlineStr">
        <is>
          <t>NORRBOTTENS LÄN</t>
        </is>
      </c>
      <c r="G735" t="inlineStr">
        <is>
          <t>BODEN</t>
        </is>
      </c>
      <c r="H735" t="inlineStr">
        <is>
          <t>Naturvårdsverket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26996-2026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46270</v>
      </c>
      <c r="F736" t="inlineStr">
        <is>
          <t>NORRBOTTENS LÄN</t>
        </is>
      </c>
      <c r="G736" t="inlineStr">
        <is>
          <t>BODEN</t>
        </is>
      </c>
      <c r="I736" t="n">
        <v>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43648-2023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45187</v>
      </c>
      <c r="E737" s="1" t="n">
        <v>46270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55540-2022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44887</v>
      </c>
      <c r="E738" s="1" t="n">
        <v>46270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39463-2023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45166</v>
      </c>
      <c r="E739" s="1" t="n">
        <v>46270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46270</v>
      </c>
      <c r="F740" t="inlineStr">
        <is>
          <t>NORRBOTTENS LÄN</t>
        </is>
      </c>
      <c r="G740" t="inlineStr">
        <is>
          <t>BODEN</t>
        </is>
      </c>
      <c r="I740" t="n">
        <v>47.3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46270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4055-2024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45323</v>
      </c>
      <c r="E742" s="1" t="n">
        <v>46270</v>
      </c>
      <c r="F742" t="inlineStr">
        <is>
          <t>NORRBOTTENS LÄN</t>
        </is>
      </c>
      <c r="G742" t="inlineStr">
        <is>
          <t>BODEN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877-2023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44931</v>
      </c>
      <c r="E743" s="1" t="n">
        <v>46270</v>
      </c>
      <c r="F743" t="inlineStr">
        <is>
          <t>NORRBOTTENS LÄN</t>
        </is>
      </c>
      <c r="G743" t="inlineStr">
        <is>
          <t>BODEN</t>
        </is>
      </c>
      <c r="I743" t="n">
        <v>8.699999999999999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12801-2023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45001</v>
      </c>
      <c r="E744" s="1" t="n">
        <v>46270</v>
      </c>
      <c r="F744" t="inlineStr">
        <is>
          <t>NORRBOTTENS LÄN</t>
        </is>
      </c>
      <c r="G744" t="inlineStr">
        <is>
          <t>BODEN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32087-2026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46234</v>
      </c>
      <c r="E745" s="1" t="n">
        <v>46270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20041-2025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45772</v>
      </c>
      <c r="E746" s="1" t="n">
        <v>46270</v>
      </c>
      <c r="F746" t="inlineStr">
        <is>
          <t>NORRBOTTENS LÄN</t>
        </is>
      </c>
      <c r="G746" t="inlineStr">
        <is>
          <t>BODEN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19582-2025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45770</v>
      </c>
      <c r="E747" s="1" t="n">
        <v>46270</v>
      </c>
      <c r="F747" t="inlineStr">
        <is>
          <t>NORRBOTTENS LÄN</t>
        </is>
      </c>
      <c r="G747" t="inlineStr">
        <is>
          <t>BODEN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32088-2026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46234</v>
      </c>
      <c r="E748" s="1" t="n">
        <v>46270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8170-2025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45708</v>
      </c>
      <c r="E749" s="1" t="n">
        <v>46270</v>
      </c>
      <c r="F749" t="inlineStr">
        <is>
          <t>NORRBOTTENS LÄN</t>
        </is>
      </c>
      <c r="G749" t="inlineStr">
        <is>
          <t>BODEN</t>
        </is>
      </c>
      <c r="H749" t="inlineStr">
        <is>
          <t>Övriga Aktiebolag</t>
        </is>
      </c>
      <c r="I749" t="n">
        <v>15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32086-2026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46234</v>
      </c>
      <c r="E750" s="1" t="n">
        <v>46270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27749-2026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46191</v>
      </c>
      <c r="E751" s="1" t="n">
        <v>46270</v>
      </c>
      <c r="F751" t="inlineStr">
        <is>
          <t>NORRBOTTENS LÄN</t>
        </is>
      </c>
      <c r="G751" t="inlineStr">
        <is>
          <t>BODEN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44964</v>
      </c>
      <c r="E752" s="1" t="n">
        <v>46270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32426-2026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46238</v>
      </c>
      <c r="E753" s="1" t="n">
        <v>46270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32427-2026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46238</v>
      </c>
      <c r="E754" s="1" t="n">
        <v>46270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28241-2026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46196</v>
      </c>
      <c r="E755" s="1" t="n">
        <v>46270</v>
      </c>
      <c r="F755" t="inlineStr">
        <is>
          <t>NORRBOTTENS LÄN</t>
        </is>
      </c>
      <c r="G755" t="inlineStr">
        <is>
          <t>BODEN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32562-2026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46239</v>
      </c>
      <c r="E756" s="1" t="n">
        <v>46270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17417-2023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45035</v>
      </c>
      <c r="E757" s="1" t="n">
        <v>46270</v>
      </c>
      <c r="F757" t="inlineStr">
        <is>
          <t>NORRBOTTENS LÄN</t>
        </is>
      </c>
      <c r="G757" t="inlineStr">
        <is>
          <t>BODEN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45476</v>
      </c>
      <c r="E758" s="1" t="n">
        <v>46270</v>
      </c>
      <c r="F758" t="inlineStr">
        <is>
          <t>NORRBOTTENS LÄN</t>
        </is>
      </c>
      <c r="G758" t="inlineStr">
        <is>
          <t>BODEN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26964-2023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45093</v>
      </c>
      <c r="E759" s="1" t="n">
        <v>46270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54590-2022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44883</v>
      </c>
      <c r="E760" s="1" t="n">
        <v>46270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60337-2024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45643</v>
      </c>
      <c r="E761" s="1" t="n">
        <v>46270</v>
      </c>
      <c r="F761" t="inlineStr">
        <is>
          <t>NORRBOTTENS LÄN</t>
        </is>
      </c>
      <c r="G761" t="inlineStr">
        <is>
          <t>BODEN</t>
        </is>
      </c>
      <c r="I761" t="n">
        <v>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35115-2024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45529</v>
      </c>
      <c r="E762" s="1" t="n">
        <v>46270</v>
      </c>
      <c r="F762" t="inlineStr">
        <is>
          <t>NORRBOTTENS LÄN</t>
        </is>
      </c>
      <c r="G762" t="inlineStr">
        <is>
          <t>BODEN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30105-2023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45099</v>
      </c>
      <c r="E763" s="1" t="n">
        <v>46270</v>
      </c>
      <c r="F763" t="inlineStr">
        <is>
          <t>NORRBOTTENS LÄN</t>
        </is>
      </c>
      <c r="G763" t="inlineStr">
        <is>
          <t>BODEN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57604-2021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44484</v>
      </c>
      <c r="E764" s="1" t="n">
        <v>46270</v>
      </c>
      <c r="F764" t="inlineStr">
        <is>
          <t>NORRBOTTENS LÄN</t>
        </is>
      </c>
      <c r="G764" t="inlineStr">
        <is>
          <t>BODEN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28566-2026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46270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29467-2026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46198</v>
      </c>
      <c r="E766" s="1" t="n">
        <v>46270</v>
      </c>
      <c r="F766" t="inlineStr">
        <is>
          <t>NORRBOTTENS LÄN</t>
        </is>
      </c>
      <c r="G766" t="inlineStr">
        <is>
          <t>BODEN</t>
        </is>
      </c>
      <c r="I766" t="n">
        <v>14.5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28509-2026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46197</v>
      </c>
      <c r="E767" s="1" t="n">
        <v>46270</v>
      </c>
      <c r="F767" t="inlineStr">
        <is>
          <t>NORRBOTTENS LÄN</t>
        </is>
      </c>
      <c r="G767" t="inlineStr">
        <is>
          <t>BODEN</t>
        </is>
      </c>
      <c r="I767" t="n">
        <v>8.9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32674-2026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46240</v>
      </c>
      <c r="E768" s="1" t="n">
        <v>46270</v>
      </c>
      <c r="F768" t="inlineStr">
        <is>
          <t>NORRBOTTENS LÄN</t>
        </is>
      </c>
      <c r="G768" t="inlineStr">
        <is>
          <t>BODEN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28490-2026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46197</v>
      </c>
      <c r="E769" s="1" t="n">
        <v>46270</v>
      </c>
      <c r="F769" t="inlineStr">
        <is>
          <t>NORRBOTTENS LÄN</t>
        </is>
      </c>
      <c r="G769" t="inlineStr">
        <is>
          <t>BODEN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32678-2026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46240</v>
      </c>
      <c r="E770" s="1" t="n">
        <v>46270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7.4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23706-2024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45454</v>
      </c>
      <c r="E771" s="1" t="n">
        <v>46270</v>
      </c>
      <c r="F771" t="inlineStr">
        <is>
          <t>NORRBOTTENS LÄN</t>
        </is>
      </c>
      <c r="G771" t="inlineStr">
        <is>
          <t>BODEN</t>
        </is>
      </c>
      <c r="I771" t="n">
        <v>10.9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8776-2022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44614</v>
      </c>
      <c r="E772" s="1" t="n">
        <v>46270</v>
      </c>
      <c r="F772" t="inlineStr">
        <is>
          <t>NORRBOTTENS LÄN</t>
        </is>
      </c>
      <c r="G772" t="inlineStr">
        <is>
          <t>BODEN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28512-2026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46197</v>
      </c>
      <c r="E773" s="1" t="n">
        <v>46270</v>
      </c>
      <c r="F773" t="inlineStr">
        <is>
          <t>NORRBOTTENS LÄN</t>
        </is>
      </c>
      <c r="G773" t="inlineStr">
        <is>
          <t>BODEN</t>
        </is>
      </c>
      <c r="I773" t="n">
        <v>10.8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25387-2023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45079</v>
      </c>
      <c r="E774" s="1" t="n">
        <v>46270</v>
      </c>
      <c r="F774" t="inlineStr">
        <is>
          <t>NORRBOTTENS LÄN</t>
        </is>
      </c>
      <c r="G774" t="inlineStr">
        <is>
          <t>BODEN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28496-2026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46197</v>
      </c>
      <c r="E775" s="1" t="n">
        <v>46270</v>
      </c>
      <c r="F775" t="inlineStr">
        <is>
          <t>NORRBOTTENS LÄN</t>
        </is>
      </c>
      <c r="G775" t="inlineStr">
        <is>
          <t>BODEN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28615-2026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46197</v>
      </c>
      <c r="E776" s="1" t="n">
        <v>46270</v>
      </c>
      <c r="F776" t="inlineStr">
        <is>
          <t>NORRBOTTENS LÄN</t>
        </is>
      </c>
      <c r="G776" t="inlineStr">
        <is>
          <t>BODEN</t>
        </is>
      </c>
      <c r="I776" t="n">
        <v>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18428-2025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45762</v>
      </c>
      <c r="E777" s="1" t="n">
        <v>46270</v>
      </c>
      <c r="F777" t="inlineStr">
        <is>
          <t>NORRBOTTENS LÄN</t>
        </is>
      </c>
      <c r="G777" t="inlineStr">
        <is>
          <t>BODEN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62140-2024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46270</v>
      </c>
      <c r="F778" t="inlineStr">
        <is>
          <t>NORRBOTTENS LÄN</t>
        </is>
      </c>
      <c r="G778" t="inlineStr">
        <is>
          <t>BODEN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48129-2023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45205</v>
      </c>
      <c r="E779" s="1" t="n">
        <v>46270</v>
      </c>
      <c r="F779" t="inlineStr">
        <is>
          <t>NORRBOTTENS LÄN</t>
        </is>
      </c>
      <c r="G779" t="inlineStr">
        <is>
          <t>BODEN</t>
        </is>
      </c>
      <c r="I779" t="n">
        <v>7.1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29152-2026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46202</v>
      </c>
      <c r="E780" s="1" t="n">
        <v>46270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29155-2026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46202</v>
      </c>
      <c r="E781" s="1" t="n">
        <v>46270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54616-2023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45233</v>
      </c>
      <c r="E782" s="1" t="n">
        <v>46270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29183-2026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46202</v>
      </c>
      <c r="E783" s="1" t="n">
        <v>46270</v>
      </c>
      <c r="F783" t="inlineStr">
        <is>
          <t>NORRBOTTENS LÄN</t>
        </is>
      </c>
      <c r="G783" t="inlineStr">
        <is>
          <t>BODEN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29147-2026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46202</v>
      </c>
      <c r="E784" s="1" t="n">
        <v>46270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12562-2024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45379</v>
      </c>
      <c r="E785" s="1" t="n">
        <v>46270</v>
      </c>
      <c r="F785" t="inlineStr">
        <is>
          <t>NORRBOTTENS LÄN</t>
        </is>
      </c>
      <c r="G785" t="inlineStr">
        <is>
          <t>BODEN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29393-2026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46203</v>
      </c>
      <c r="E786" s="1" t="n">
        <v>46270</v>
      </c>
      <c r="F786" t="inlineStr">
        <is>
          <t>NORRBOTTENS LÄN</t>
        </is>
      </c>
      <c r="G786" t="inlineStr">
        <is>
          <t>BODEN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20260-2025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45773</v>
      </c>
      <c r="E787" s="1" t="n">
        <v>46270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29568-2026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46270</v>
      </c>
      <c r="F788" t="inlineStr">
        <is>
          <t>NORRBOTTENS LÄN</t>
        </is>
      </c>
      <c r="G788" t="inlineStr">
        <is>
          <t>BODEN</t>
        </is>
      </c>
      <c r="I788" t="n">
        <v>12.2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29394-2026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46203</v>
      </c>
      <c r="E789" s="1" t="n">
        <v>46270</v>
      </c>
      <c r="F789" t="inlineStr">
        <is>
          <t>NORRBOTTENS LÄN</t>
        </is>
      </c>
      <c r="G789" t="inlineStr">
        <is>
          <t>BODEN</t>
        </is>
      </c>
      <c r="I789" t="n">
        <v>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46246</v>
      </c>
      <c r="E790" s="1" t="n">
        <v>46270</v>
      </c>
      <c r="F790" t="inlineStr">
        <is>
          <t>NORRBOTTENS LÄN</t>
        </is>
      </c>
      <c r="G790" t="inlineStr">
        <is>
          <t>BODEN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11651-2023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44994</v>
      </c>
      <c r="E791" s="1" t="n">
        <v>46270</v>
      </c>
      <c r="F791" t="inlineStr">
        <is>
          <t>NORRBOTTENS LÄN</t>
        </is>
      </c>
      <c r="G791" t="inlineStr">
        <is>
          <t>BODEN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29759-2026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46270</v>
      </c>
      <c r="F792" t="inlineStr">
        <is>
          <t>NORRBOTTENS LÄN</t>
        </is>
      </c>
      <c r="G792" t="inlineStr">
        <is>
          <t>BODEN</t>
        </is>
      </c>
      <c r="I792" t="n">
        <v>38.7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718-2022</t>
        </is>
      </c>
      <c r="B793" t="inlineStr">
        <is>
          <t>avverkningsanmälan</t>
        </is>
      </c>
      <c r="C793" t="inlineStr">
        <is>
          <t>Avverkning för att bevara och utveckla /försöksver</t>
        </is>
      </c>
      <c r="D793" s="1" t="n">
        <v>44568</v>
      </c>
      <c r="E793" s="1" t="n">
        <v>46270</v>
      </c>
      <c r="F793" t="inlineStr">
        <is>
          <t>NORRBOTTENS LÄN</t>
        </is>
      </c>
      <c r="G793" t="inlineStr">
        <is>
          <t>BODEN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29555-2026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46270</v>
      </c>
      <c r="F794" t="inlineStr">
        <is>
          <t>NORRBOTTENS LÄN</t>
        </is>
      </c>
      <c r="G794" t="inlineStr">
        <is>
          <t>BODEN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43969-2024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45572</v>
      </c>
      <c r="E795" s="1" t="n">
        <v>46270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19048-2025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45764</v>
      </c>
      <c r="E796" s="1" t="n">
        <v>46270</v>
      </c>
      <c r="F796" t="inlineStr">
        <is>
          <t>NORRBOTTENS LÄN</t>
        </is>
      </c>
      <c r="G796" t="inlineStr">
        <is>
          <t>BODEN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19050-2025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45764</v>
      </c>
      <c r="E797" s="1" t="n">
        <v>46270</v>
      </c>
      <c r="F797" t="inlineStr">
        <is>
          <t>NORRBOTTENS LÄN</t>
        </is>
      </c>
      <c r="G797" t="inlineStr">
        <is>
          <t>BODEN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54718-2024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45618</v>
      </c>
      <c r="E798" s="1" t="n">
        <v>46270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28357-2023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45099</v>
      </c>
      <c r="E799" s="1" t="n">
        <v>46270</v>
      </c>
      <c r="F799" t="inlineStr">
        <is>
          <t>NORRBOTTENS LÄN</t>
        </is>
      </c>
      <c r="G799" t="inlineStr">
        <is>
          <t>BODEN</t>
        </is>
      </c>
      <c r="I799" t="n">
        <v>4.5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46251</v>
      </c>
      <c r="E800" s="1" t="n">
        <v>46270</v>
      </c>
      <c r="F800" t="inlineStr">
        <is>
          <t>NORRBOTTENS LÄN</t>
        </is>
      </c>
      <c r="G800" t="inlineStr">
        <is>
          <t>BODEN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38219-2022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44812</v>
      </c>
      <c r="E801" s="1" t="n">
        <v>46270</v>
      </c>
      <c r="F801" t="inlineStr">
        <is>
          <t>NORRBOTTENS LÄN</t>
        </is>
      </c>
      <c r="G801" t="inlineStr">
        <is>
          <t>BODEN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40624-2022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44823</v>
      </c>
      <c r="E802" s="1" t="n">
        <v>46270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56457-2024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45625</v>
      </c>
      <c r="E803" s="1" t="n">
        <v>46270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30077-2026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46206</v>
      </c>
      <c r="E804" s="1" t="n">
        <v>46270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48107-2022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44856</v>
      </c>
      <c r="E805" s="1" t="n">
        <v>46270</v>
      </c>
      <c r="F805" t="inlineStr">
        <is>
          <t>NORRBOTTENS LÄN</t>
        </is>
      </c>
      <c r="G805" t="inlineStr">
        <is>
          <t>BODEN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14743-2023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45013</v>
      </c>
      <c r="E806" s="1" t="n">
        <v>46270</v>
      </c>
      <c r="F806" t="inlineStr">
        <is>
          <t>NORRBOTTENS LÄN</t>
        </is>
      </c>
      <c r="G806" t="inlineStr">
        <is>
          <t>BODEN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3462-2022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44585</v>
      </c>
      <c r="E807" s="1" t="n">
        <v>46270</v>
      </c>
      <c r="F807" t="inlineStr">
        <is>
          <t>NORRBOTTENS LÄN</t>
        </is>
      </c>
      <c r="G807" t="inlineStr">
        <is>
          <t>BODEN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33790-2026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46251</v>
      </c>
      <c r="E808" s="1" t="n">
        <v>46270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30025-2026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46206</v>
      </c>
      <c r="E809" s="1" t="n">
        <v>46270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5.2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30332-2026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46208</v>
      </c>
      <c r="E810" s="1" t="n">
        <v>46270</v>
      </c>
      <c r="F810" t="inlineStr">
        <is>
          <t>NORRBOTTENS LÄN</t>
        </is>
      </c>
      <c r="G810" t="inlineStr">
        <is>
          <t>BODEN</t>
        </is>
      </c>
      <c r="I810" t="n">
        <v>9.800000000000001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33671-2026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46248</v>
      </c>
      <c r="E811" s="1" t="n">
        <v>46270</v>
      </c>
      <c r="F811" t="inlineStr">
        <is>
          <t>NORRBOTTENS LÄN</t>
        </is>
      </c>
      <c r="G811" t="inlineStr">
        <is>
          <t>BODEN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30023-2026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46206</v>
      </c>
      <c r="E812" s="1" t="n">
        <v>46270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15.2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49113-2023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45204</v>
      </c>
      <c r="E813" s="1" t="n">
        <v>46270</v>
      </c>
      <c r="F813" t="inlineStr">
        <is>
          <t>NORRBOTTENS LÄN</t>
        </is>
      </c>
      <c r="G813" t="inlineStr">
        <is>
          <t>BODEN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4630-2025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45687</v>
      </c>
      <c r="E814" s="1" t="n">
        <v>46270</v>
      </c>
      <c r="F814" t="inlineStr">
        <is>
          <t>NORRBOTTENS LÄN</t>
        </is>
      </c>
      <c r="G814" t="inlineStr">
        <is>
          <t>BODEN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30745-2026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46211</v>
      </c>
      <c r="E815" s="1" t="n">
        <v>46270</v>
      </c>
      <c r="F815" t="inlineStr">
        <is>
          <t>NORRBOTTENS LÄN</t>
        </is>
      </c>
      <c r="G815" t="inlineStr">
        <is>
          <t>BODEN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34022-2026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46252</v>
      </c>
      <c r="E816" s="1" t="n">
        <v>46270</v>
      </c>
      <c r="F816" t="inlineStr">
        <is>
          <t>NORRBOTTENS LÄN</t>
        </is>
      </c>
      <c r="G816" t="inlineStr">
        <is>
          <t>BODEN</t>
        </is>
      </c>
      <c r="H816" t="inlineStr">
        <is>
          <t>Sveaskog</t>
        </is>
      </c>
      <c r="I816" t="n">
        <v>19.5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30426-2026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46209</v>
      </c>
      <c r="E817" s="1" t="n">
        <v>46270</v>
      </c>
      <c r="F817" t="inlineStr">
        <is>
          <t>NORRBOTTENS LÄN</t>
        </is>
      </c>
      <c r="G817" t="inlineStr">
        <is>
          <t>BODEN</t>
        </is>
      </c>
      <c r="H817" t="inlineStr">
        <is>
          <t>Kommuner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30430-2026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46209</v>
      </c>
      <c r="E818" s="1" t="n">
        <v>46270</v>
      </c>
      <c r="F818" t="inlineStr">
        <is>
          <t>NORRBOTTENS LÄN</t>
        </is>
      </c>
      <c r="G818" t="inlineStr">
        <is>
          <t>BODEN</t>
        </is>
      </c>
      <c r="H818" t="inlineStr">
        <is>
          <t>Kommuner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34158-2026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46253</v>
      </c>
      <c r="E819" s="1" t="n">
        <v>46270</v>
      </c>
      <c r="F819" t="inlineStr">
        <is>
          <t>NORRBOTTENS LÄN</t>
        </is>
      </c>
      <c r="G819" t="inlineStr">
        <is>
          <t>BODEN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1023-2023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44935</v>
      </c>
      <c r="E820" s="1" t="n">
        <v>46270</v>
      </c>
      <c r="F820" t="inlineStr">
        <is>
          <t>NORRBOTTENS LÄN</t>
        </is>
      </c>
      <c r="G820" t="inlineStr">
        <is>
          <t>BODEN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30432-2026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46209</v>
      </c>
      <c r="E821" s="1" t="n">
        <v>46270</v>
      </c>
      <c r="F821" t="inlineStr">
        <is>
          <t>NORRBOTTENS LÄN</t>
        </is>
      </c>
      <c r="G821" t="inlineStr">
        <is>
          <t>BODEN</t>
        </is>
      </c>
      <c r="H821" t="inlineStr">
        <is>
          <t>Kommuner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23232-2024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45453</v>
      </c>
      <c r="E822" s="1" t="n">
        <v>46270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61588-2024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45646</v>
      </c>
      <c r="E823" s="1" t="n">
        <v>46270</v>
      </c>
      <c r="F823" t="inlineStr">
        <is>
          <t>NORRBOTTENS LÄN</t>
        </is>
      </c>
      <c r="G823" t="inlineStr">
        <is>
          <t>BODEN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28758-2024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45478</v>
      </c>
      <c r="E824" s="1" t="n">
        <v>46270</v>
      </c>
      <c r="F824" t="inlineStr">
        <is>
          <t>NORRBOTTENS LÄN</t>
        </is>
      </c>
      <c r="G824" t="inlineStr">
        <is>
          <t>BODEN</t>
        </is>
      </c>
      <c r="I824" t="n">
        <v>7.5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34333-2026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46254</v>
      </c>
      <c r="E825" s="1" t="n">
        <v>46270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18.5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13925-2024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45391</v>
      </c>
      <c r="E826" s="1" t="n">
        <v>46270</v>
      </c>
      <c r="F826" t="inlineStr">
        <is>
          <t>NORRBOTTENS LÄN</t>
        </is>
      </c>
      <c r="G826" t="inlineStr">
        <is>
          <t>BODEN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45778</v>
      </c>
      <c r="E827" s="1" t="n">
        <v>46270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34463-2026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46254</v>
      </c>
      <c r="E828" s="1" t="n">
        <v>46270</v>
      </c>
      <c r="F828" t="inlineStr">
        <is>
          <t>NORRBOTTENS LÄN</t>
        </is>
      </c>
      <c r="G828" t="inlineStr">
        <is>
          <t>BODEN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34462-2026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46254</v>
      </c>
      <c r="E829" s="1" t="n">
        <v>46270</v>
      </c>
      <c r="F829" t="inlineStr">
        <is>
          <t>NORRBOTTENS LÄN</t>
        </is>
      </c>
      <c r="G829" t="inlineStr">
        <is>
          <t>BODEN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21349-2025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45782</v>
      </c>
      <c r="E830" s="1" t="n">
        <v>46270</v>
      </c>
      <c r="F830" t="inlineStr">
        <is>
          <t>NORRBOTTENS LÄN</t>
        </is>
      </c>
      <c r="G830" t="inlineStr">
        <is>
          <t>BODEN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34517-2026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46255</v>
      </c>
      <c r="E831" s="1" t="n">
        <v>46270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5.1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34898-2026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46259</v>
      </c>
      <c r="E832" s="1" t="n">
        <v>46270</v>
      </c>
      <c r="F832" t="inlineStr">
        <is>
          <t>NORRBOTTENS LÄN</t>
        </is>
      </c>
      <c r="G832" t="inlineStr">
        <is>
          <t>BODEN</t>
        </is>
      </c>
      <c r="H832" t="inlineStr">
        <is>
          <t>Naturvårdsverket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34897-2026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46259</v>
      </c>
      <c r="E833" s="1" t="n">
        <v>46270</v>
      </c>
      <c r="F833" t="inlineStr">
        <is>
          <t>NORRBOTTENS LÄN</t>
        </is>
      </c>
      <c r="G833" t="inlineStr">
        <is>
          <t>BODEN</t>
        </is>
      </c>
      <c r="H833" t="inlineStr">
        <is>
          <t>Naturvårdsverket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36115-2023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45149</v>
      </c>
      <c r="E834" s="1" t="n">
        <v>46270</v>
      </c>
      <c r="F834" t="inlineStr">
        <is>
          <t>NORRBOTTENS LÄN</t>
        </is>
      </c>
      <c r="G834" t="inlineStr">
        <is>
          <t>BODEN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35060-2026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46259</v>
      </c>
      <c r="E835" s="1" t="n">
        <v>46270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44.8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22372-2025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45786</v>
      </c>
      <c r="E836" s="1" t="n">
        <v>46270</v>
      </c>
      <c r="F836" t="inlineStr">
        <is>
          <t>NORRBOTTENS LÄN</t>
        </is>
      </c>
      <c r="G836" t="inlineStr">
        <is>
          <t>BODEN</t>
        </is>
      </c>
      <c r="H836" t="inlineStr">
        <is>
          <t>Kommuner</t>
        </is>
      </c>
      <c r="I836" t="n">
        <v>16.3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46029</v>
      </c>
      <c r="E837" s="1" t="n">
        <v>46270</v>
      </c>
      <c r="F837" t="inlineStr">
        <is>
          <t>NORRBOTTENS LÄN</t>
        </is>
      </c>
      <c r="G837" t="inlineStr">
        <is>
          <t>BODEN</t>
        </is>
      </c>
      <c r="H837" t="inlineStr">
        <is>
          <t>Naturvårdsverket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23321-2025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45791</v>
      </c>
      <c r="E838" s="1" t="n">
        <v>46270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35407-2026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46270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12558-2024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45379</v>
      </c>
      <c r="E840" s="1" t="n">
        <v>46270</v>
      </c>
      <c r="F840" t="inlineStr">
        <is>
          <t>NORRBOTTENS LÄN</t>
        </is>
      </c>
      <c r="G840" t="inlineStr">
        <is>
          <t>BODEN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46052-2025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45924</v>
      </c>
      <c r="E841" s="1" t="n">
        <v>46270</v>
      </c>
      <c r="F841" t="inlineStr">
        <is>
          <t>NORRBOTTENS LÄN</t>
        </is>
      </c>
      <c r="G841" t="inlineStr">
        <is>
          <t>BODEN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35381-2026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46270</v>
      </c>
      <c r="F842" t="inlineStr">
        <is>
          <t>NORRBOTTENS LÄN</t>
        </is>
      </c>
      <c r="G842" t="inlineStr">
        <is>
          <t>BODEN</t>
        </is>
      </c>
      <c r="I842" t="n">
        <v>10.9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46270</v>
      </c>
      <c r="F843" t="inlineStr">
        <is>
          <t>NORRBOTTENS LÄN</t>
        </is>
      </c>
      <c r="G843" t="inlineStr">
        <is>
          <t>BODEN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35373-2026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46270</v>
      </c>
      <c r="F844" t="inlineStr">
        <is>
          <t>NORRBOTTENS LÄN</t>
        </is>
      </c>
      <c r="G844" t="inlineStr">
        <is>
          <t>BODEN</t>
        </is>
      </c>
      <c r="I844" t="n">
        <v>2.6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31226-2026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46217</v>
      </c>
      <c r="E845" s="1" t="n">
        <v>46270</v>
      </c>
      <c r="F845" t="inlineStr">
        <is>
          <t>NORRBOTTENS LÄN</t>
        </is>
      </c>
      <c r="G845" t="inlineStr">
        <is>
          <t>BODEN</t>
        </is>
      </c>
      <c r="H845" t="inlineStr">
        <is>
          <t>Sveaskog</t>
        </is>
      </c>
      <c r="I845" t="n">
        <v>2.6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23761-2025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46270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40117-2025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45894</v>
      </c>
      <c r="E847" s="1" t="n">
        <v>46270</v>
      </c>
      <c r="F847" t="inlineStr">
        <is>
          <t>NORRBOTTENS LÄN</t>
        </is>
      </c>
      <c r="G847" t="inlineStr">
        <is>
          <t>BODEN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23763-2025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45793</v>
      </c>
      <c r="E848" s="1" t="n">
        <v>46270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23724-2025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45793</v>
      </c>
      <c r="E849" s="1" t="n">
        <v>46270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35295-2026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46270</v>
      </c>
      <c r="F850" t="inlineStr">
        <is>
          <t>NORRBOTTENS LÄN</t>
        </is>
      </c>
      <c r="G850" t="inlineStr">
        <is>
          <t>BODEN</t>
        </is>
      </c>
      <c r="I850" t="n">
        <v>5.3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  <c r="Z850">
        <f>HYPERLINK("https://klasma.github.io/Logging_2582/knärot/A 35295-2026 karta knärot.png", "A 35295-2026")</f>
        <v/>
      </c>
      <c r="AA850">
        <f>HYPERLINK("https://klasma.github.io/Logging_2582/klagomål/A 35295-2026 FSC-klagomål.docx", "A 35295-2026")</f>
        <v/>
      </c>
      <c r="AB850">
        <f>HYPERLINK("https://klasma.github.io/Logging_2582/klagomålsmail/A 35295-2026 FSC-klagomål mail.docx", "A 35295-2026")</f>
        <v/>
      </c>
      <c r="AC850">
        <f>HYPERLINK("https://klasma.github.io/Logging_2582/tillsyn/A 35295-2026 tillsynsbegäran.docx", "A 35295-2026")</f>
        <v/>
      </c>
      <c r="AD850">
        <f>HYPERLINK("https://klasma.github.io/Logging_2582/tillsynsmail/A 35295-2026 tillsynsbegäran mail.docx", "A 35295-2026")</f>
        <v/>
      </c>
    </row>
    <row r="851" ht="15" customHeight="1">
      <c r="A851" t="inlineStr">
        <is>
          <t>A 31209-2026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46217</v>
      </c>
      <c r="E851" s="1" t="n">
        <v>46270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8.800000000000001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31211-2026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46217</v>
      </c>
      <c r="E852" s="1" t="n">
        <v>46270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31217-2026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46217</v>
      </c>
      <c r="E853" s="1" t="n">
        <v>46270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48420-2024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45590</v>
      </c>
      <c r="E854" s="1" t="n">
        <v>46270</v>
      </c>
      <c r="F854" t="inlineStr">
        <is>
          <t>NORRBOTTENS LÄN</t>
        </is>
      </c>
      <c r="G854" t="inlineStr">
        <is>
          <t>BODEN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48427-2024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45590</v>
      </c>
      <c r="E855" s="1" t="n">
        <v>46270</v>
      </c>
      <c r="F855" t="inlineStr">
        <is>
          <t>NORRBOTTENS LÄN</t>
        </is>
      </c>
      <c r="G855" t="inlineStr">
        <is>
          <t>BODEN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24225-2026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46168</v>
      </c>
      <c r="E856" s="1" t="n">
        <v>46270</v>
      </c>
      <c r="F856" t="inlineStr">
        <is>
          <t>NORRBOTTENS LÄN</t>
        </is>
      </c>
      <c r="G856" t="inlineStr">
        <is>
          <t>BODEN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35902-2026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46266</v>
      </c>
      <c r="E857" s="1" t="n">
        <v>46270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36187-2026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46267</v>
      </c>
      <c r="E858" s="1" t="n">
        <v>46270</v>
      </c>
      <c r="F858" t="inlineStr">
        <is>
          <t>NORRBOTTENS LÄN</t>
        </is>
      </c>
      <c r="G858" t="inlineStr">
        <is>
          <t>BODEN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36162-2026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46267</v>
      </c>
      <c r="E859" s="1" t="n">
        <v>46270</v>
      </c>
      <c r="F859" t="inlineStr">
        <is>
          <t>NORRBOTTENS LÄN</t>
        </is>
      </c>
      <c r="G859" t="inlineStr">
        <is>
          <t>BODEN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36163-2026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46267</v>
      </c>
      <c r="E860" s="1" t="n">
        <v>46270</v>
      </c>
      <c r="F860" t="inlineStr">
        <is>
          <t>NORRBOTTENS LÄN</t>
        </is>
      </c>
      <c r="G860" t="inlineStr">
        <is>
          <t>BODEN</t>
        </is>
      </c>
      <c r="I860" t="n">
        <v>7.2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36430-2026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46269</v>
      </c>
      <c r="E861" s="1" t="n">
        <v>46270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36241-2026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46268</v>
      </c>
      <c r="E862" s="1" t="n">
        <v>46270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36406-2026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46268</v>
      </c>
      <c r="E863" s="1" t="n">
        <v>46270</v>
      </c>
      <c r="F863" t="inlineStr">
        <is>
          <t>NORRBOTTENS LÄN</t>
        </is>
      </c>
      <c r="G863" t="inlineStr">
        <is>
          <t>BODEN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31652-2026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46225</v>
      </c>
      <c r="E864" s="1" t="n">
        <v>46270</v>
      </c>
      <c r="F864" t="inlineStr">
        <is>
          <t>NORRBOTTENS LÄN</t>
        </is>
      </c>
      <c r="G864" t="inlineStr">
        <is>
          <t>BODEN</t>
        </is>
      </c>
      <c r="H864" t="inlineStr">
        <is>
          <t>SCA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36398-2026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46268</v>
      </c>
      <c r="E865" s="1" t="n">
        <v>46270</v>
      </c>
      <c r="F865" t="inlineStr">
        <is>
          <t>NORRBOTTENS LÄN</t>
        </is>
      </c>
      <c r="G865" t="inlineStr">
        <is>
          <t>BODEN</t>
        </is>
      </c>
      <c r="H865" t="inlineStr">
        <is>
          <t>Kommuner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46029</v>
      </c>
      <c r="E866" s="1" t="n">
        <v>46270</v>
      </c>
      <c r="F866" t="inlineStr">
        <is>
          <t>NORRBOTTENS LÄN</t>
        </is>
      </c>
      <c r="G866" t="inlineStr">
        <is>
          <t>BODEN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885-2024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45376</v>
      </c>
      <c r="E867" s="1" t="n">
        <v>46270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5.7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1063-2023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45013</v>
      </c>
      <c r="E868" s="1" t="n">
        <v>46270</v>
      </c>
      <c r="F868" t="inlineStr">
        <is>
          <t>NORRBOTTENS LÄN</t>
        </is>
      </c>
      <c r="G868" t="inlineStr">
        <is>
          <t>BODEN</t>
        </is>
      </c>
      <c r="I868" t="n">
        <v>4.8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883-2024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45376</v>
      </c>
      <c r="E869" s="1" t="n">
        <v>46270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52-2025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45667</v>
      </c>
      <c r="E870" s="1" t="n">
        <v>46270</v>
      </c>
      <c r="F870" t="inlineStr">
        <is>
          <t>NORRBOTTENS LÄN</t>
        </is>
      </c>
      <c r="G870" t="inlineStr">
        <is>
          <t>BODEN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190-2023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44945</v>
      </c>
      <c r="E871" s="1" t="n">
        <v>46270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6.8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977-2025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45743</v>
      </c>
      <c r="E872" s="1" t="n">
        <v>46270</v>
      </c>
      <c r="F872" t="inlineStr">
        <is>
          <t>NORRBOTTENS LÄN</t>
        </is>
      </c>
      <c r="G872" t="inlineStr">
        <is>
          <t>BODEN</t>
        </is>
      </c>
      <c r="I872" t="n">
        <v>11.1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978-2025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45743</v>
      </c>
      <c r="E873" s="1" t="n">
        <v>46270</v>
      </c>
      <c r="F873" t="inlineStr">
        <is>
          <t>NORRBOTTENS LÄN</t>
        </is>
      </c>
      <c r="G873" t="inlineStr">
        <is>
          <t>BODEN</t>
        </is>
      </c>
      <c r="I873" t="n">
        <v>19.5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1498-2025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45789</v>
      </c>
      <c r="E874" s="1" t="n">
        <v>46270</v>
      </c>
      <c r="F874" t="inlineStr">
        <is>
          <t>NORRBOTTENS LÄN</t>
        </is>
      </c>
      <c r="G874" t="inlineStr">
        <is>
          <t>BODEN</t>
        </is>
      </c>
      <c r="H874" t="inlineStr">
        <is>
          <t>Övriga Aktiebolag</t>
        </is>
      </c>
      <c r="I874" t="n">
        <v>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1572-2025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45792</v>
      </c>
      <c r="E875" s="1" t="n">
        <v>46270</v>
      </c>
      <c r="F875" t="inlineStr">
        <is>
          <t>NORRBOTTENS LÄN</t>
        </is>
      </c>
      <c r="G875" t="inlineStr">
        <is>
          <t>BODEN</t>
        </is>
      </c>
      <c r="I875" t="n">
        <v>8.6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1631-2025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45799</v>
      </c>
      <c r="E876" s="1" t="n">
        <v>46270</v>
      </c>
      <c r="F876" t="inlineStr">
        <is>
          <t>NORRBOTTENS LÄN</t>
        </is>
      </c>
      <c r="G876" t="inlineStr">
        <is>
          <t>BODEN</t>
        </is>
      </c>
      <c r="H876" t="inlineStr">
        <is>
          <t>Sveaskog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1633-2025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45799</v>
      </c>
      <c r="E877" s="1" t="n">
        <v>46270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0.2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1632-2025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45799</v>
      </c>
      <c r="E878" s="1" t="n">
        <v>46270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1734-2025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45810</v>
      </c>
      <c r="E879" s="1" t="n">
        <v>46270</v>
      </c>
      <c r="F879" t="inlineStr">
        <is>
          <t>NORRBOTTENS LÄN</t>
        </is>
      </c>
      <c r="G879" t="inlineStr">
        <is>
          <t>BODEN</t>
        </is>
      </c>
      <c r="H879" t="inlineStr">
        <is>
          <t>Sveaskog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1811-2025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45818</v>
      </c>
      <c r="E880" s="1" t="n">
        <v>46270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2072-2025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45840</v>
      </c>
      <c r="E881" s="1" t="n">
        <v>46270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3580-2025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46018</v>
      </c>
      <c r="E882" s="1" t="n">
        <v>46270</v>
      </c>
      <c r="F882" t="inlineStr">
        <is>
          <t>NORRBOTTENS LÄN</t>
        </is>
      </c>
      <c r="G882" t="inlineStr">
        <is>
          <t>BODEN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1267-2026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46147</v>
      </c>
      <c r="E883" s="1" t="n">
        <v>46270</v>
      </c>
      <c r="F883" t="inlineStr">
        <is>
          <t>NORRBOTTENS LÄN</t>
        </is>
      </c>
      <c r="G883" t="inlineStr">
        <is>
          <t>BODEN</t>
        </is>
      </c>
      <c r="I883" t="n">
        <v>57.4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1261-2026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46147</v>
      </c>
      <c r="E884" s="1" t="n">
        <v>46270</v>
      </c>
      <c r="F884" t="inlineStr">
        <is>
          <t>NORRBOTTENS LÄN</t>
        </is>
      </c>
      <c r="G884" t="inlineStr">
        <is>
          <t>BODEN</t>
        </is>
      </c>
      <c r="I884" t="n">
        <v>16.9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1262-2026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46147</v>
      </c>
      <c r="E885" s="1" t="n">
        <v>46270</v>
      </c>
      <c r="F885" t="inlineStr">
        <is>
          <t>NORRBOTTENS LÄN</t>
        </is>
      </c>
      <c r="G885" t="inlineStr">
        <is>
          <t>BODEN</t>
        </is>
      </c>
      <c r="H885" t="inlineStr">
        <is>
          <t>Kommuner</t>
        </is>
      </c>
      <c r="I885" t="n">
        <v>16.2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1356-2026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46152</v>
      </c>
      <c r="E886" s="1" t="n">
        <v>46270</v>
      </c>
      <c r="F886" t="inlineStr">
        <is>
          <t>NORRBOTTENS LÄN</t>
        </is>
      </c>
      <c r="G886" t="inlineStr">
        <is>
          <t>BODEN</t>
        </is>
      </c>
      <c r="I886" t="n">
        <v>124.7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1357-2026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46152</v>
      </c>
      <c r="E887" s="1" t="n">
        <v>46270</v>
      </c>
      <c r="F887" t="inlineStr">
        <is>
          <t>NORRBOTTENS LÄN</t>
        </is>
      </c>
      <c r="G887" t="inlineStr">
        <is>
          <t>BODEN</t>
        </is>
      </c>
      <c r="I887" t="n">
        <v>38.2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>
      <c r="A888" t="inlineStr">
        <is>
          <t>S 1297-2026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46148</v>
      </c>
      <c r="E888" s="1" t="n">
        <v>46270</v>
      </c>
      <c r="F888" t="inlineStr">
        <is>
          <t>NORRBOTTENS LÄN</t>
        </is>
      </c>
      <c r="G888" t="inlineStr">
        <is>
          <t>BODEN</t>
        </is>
      </c>
      <c r="I888" t="n">
        <v>20.5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2026-09-05T02:05:29Z</dcterms:created>
  <dcterms:modified xmlns:dcterms="http://purl.org/dc/terms/" xmlns:xsi="http://www.w3.org/2001/XMLSchema-instance" xsi:type="dcterms:W3CDTF">2026-09-05T02:05:30Z</dcterms:modified>
</cp:coreProperties>
</file>