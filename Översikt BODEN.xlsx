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45844</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45844</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45844</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45844</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45844</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45844</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45844</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45844</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45844</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45844</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45844</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45844</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45844</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45844</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45844</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45844</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45844</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45844</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45844</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45844</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45844</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45844</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45844</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45844</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45844</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45844</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45844</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45844</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45844</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45844</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45844</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45844</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45844</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45844</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45844</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45844</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45844</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45844</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45844</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45844</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45844</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45844</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45844</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45844</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45844</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45844</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45844</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45844</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45844</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45844</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45844</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45844</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45844</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45844</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45844</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45844</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45844</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45844</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45844</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45844</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45844</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45844</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45844</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45844</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45844</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45844</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45844</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45844</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45844</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45844</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45844</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45844</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45844</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45844</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45844</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45844</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45844</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45844</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45844</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45844</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58196-2021</t>
        </is>
      </c>
      <c r="B83" s="1" t="n">
        <v>44487</v>
      </c>
      <c r="C83" s="1" t="n">
        <v>45844</v>
      </c>
      <c r="D83" t="inlineStr">
        <is>
          <t>NORRBOTTENS LÄN</t>
        </is>
      </c>
      <c r="E83" t="inlineStr">
        <is>
          <t>BODEN</t>
        </is>
      </c>
      <c r="F83" t="inlineStr">
        <is>
          <t>Sveaskog</t>
        </is>
      </c>
      <c r="G83" t="n">
        <v>3.6</v>
      </c>
      <c r="H83" t="n">
        <v>0</v>
      </c>
      <c r="I83" t="n">
        <v>0</v>
      </c>
      <c r="J83" t="n">
        <v>2</v>
      </c>
      <c r="K83" t="n">
        <v>0</v>
      </c>
      <c r="L83" t="n">
        <v>0</v>
      </c>
      <c r="M83" t="n">
        <v>0</v>
      </c>
      <c r="N83" t="n">
        <v>0</v>
      </c>
      <c r="O83" t="n">
        <v>2</v>
      </c>
      <c r="P83" t="n">
        <v>0</v>
      </c>
      <c r="Q83" t="n">
        <v>2</v>
      </c>
      <c r="R83" s="2" t="inlineStr">
        <is>
          <t>Gammelgransskål
Lunglav</t>
        </is>
      </c>
      <c r="S83">
        <f>HYPERLINK("https://klasma.github.io/Logging_2582/artfynd/A 58196-2021 artfynd.xlsx", "A 58196-2021")</f>
        <v/>
      </c>
      <c r="T83">
        <f>HYPERLINK("https://klasma.github.io/Logging_2582/kartor/A 58196-2021 karta.png", "A 58196-2021")</f>
        <v/>
      </c>
      <c r="V83">
        <f>HYPERLINK("https://klasma.github.io/Logging_2582/klagomål/A 58196-2021 FSC-klagomål.docx", "A 58196-2021")</f>
        <v/>
      </c>
      <c r="W83">
        <f>HYPERLINK("https://klasma.github.io/Logging_2582/klagomålsmail/A 58196-2021 FSC-klagomål mail.docx", "A 58196-2021")</f>
        <v/>
      </c>
      <c r="X83">
        <f>HYPERLINK("https://klasma.github.io/Logging_2582/tillsyn/A 58196-2021 tillsynsbegäran.docx", "A 58196-2021")</f>
        <v/>
      </c>
      <c r="Y83">
        <f>HYPERLINK("https://klasma.github.io/Logging_2582/tillsynsmail/A 58196-2021 tillsynsbegäran mail.docx", "A 58196-2021")</f>
        <v/>
      </c>
    </row>
    <row r="84" ht="15" customHeight="1">
      <c r="A84" t="inlineStr">
        <is>
          <t>A 58902-2021</t>
        </is>
      </c>
      <c r="B84" s="1" t="n">
        <v>44489</v>
      </c>
      <c r="C84" s="1" t="n">
        <v>45844</v>
      </c>
      <c r="D84" t="inlineStr">
        <is>
          <t>NORRBOTTENS LÄN</t>
        </is>
      </c>
      <c r="E84" t="inlineStr">
        <is>
          <t>BODEN</t>
        </is>
      </c>
      <c r="G84" t="n">
        <v>4.5</v>
      </c>
      <c r="H84" t="n">
        <v>0</v>
      </c>
      <c r="I84" t="n">
        <v>0</v>
      </c>
      <c r="J84" t="n">
        <v>2</v>
      </c>
      <c r="K84" t="n">
        <v>0</v>
      </c>
      <c r="L84" t="n">
        <v>0</v>
      </c>
      <c r="M84" t="n">
        <v>0</v>
      </c>
      <c r="N84" t="n">
        <v>0</v>
      </c>
      <c r="O84" t="n">
        <v>2</v>
      </c>
      <c r="P84" t="n">
        <v>0</v>
      </c>
      <c r="Q84" t="n">
        <v>2</v>
      </c>
      <c r="R84" s="2" t="inlineStr">
        <is>
          <t>Brunpudrad nållav
Gammelgransskål</t>
        </is>
      </c>
      <c r="S84">
        <f>HYPERLINK("https://klasma.github.io/Logging_2582/artfynd/A 58902-2021 artfynd.xlsx", "A 58902-2021")</f>
        <v/>
      </c>
      <c r="T84">
        <f>HYPERLINK("https://klasma.github.io/Logging_2582/kartor/A 58902-2021 karta.png", "A 58902-2021")</f>
        <v/>
      </c>
      <c r="V84">
        <f>HYPERLINK("https://klasma.github.io/Logging_2582/klagomål/A 58902-2021 FSC-klagomål.docx", "A 58902-2021")</f>
        <v/>
      </c>
      <c r="W84">
        <f>HYPERLINK("https://klasma.github.io/Logging_2582/klagomålsmail/A 58902-2021 FSC-klagomål mail.docx", "A 58902-2021")</f>
        <v/>
      </c>
      <c r="X84">
        <f>HYPERLINK("https://klasma.github.io/Logging_2582/tillsyn/A 58902-2021 tillsynsbegäran.docx", "A 58902-2021")</f>
        <v/>
      </c>
      <c r="Y84">
        <f>HYPERLINK("https://klasma.github.io/Logging_2582/tillsynsmail/A 58902-2021 tillsynsbegäran mail.docx", "A 58902-2021")</f>
        <v/>
      </c>
    </row>
    <row r="85" ht="15" customHeight="1">
      <c r="A85" t="inlineStr">
        <is>
          <t>A 63854-2021</t>
        </is>
      </c>
      <c r="B85" s="1" t="n">
        <v>44505</v>
      </c>
      <c r="C85" s="1" t="n">
        <v>45844</v>
      </c>
      <c r="D85" t="inlineStr">
        <is>
          <t>NORRBOTTENS LÄN</t>
        </is>
      </c>
      <c r="E85" t="inlineStr">
        <is>
          <t>BODEN</t>
        </is>
      </c>
      <c r="G85" t="n">
        <v>5</v>
      </c>
      <c r="H85" t="n">
        <v>0</v>
      </c>
      <c r="I85" t="n">
        <v>1</v>
      </c>
      <c r="J85" t="n">
        <v>1</v>
      </c>
      <c r="K85" t="n">
        <v>0</v>
      </c>
      <c r="L85" t="n">
        <v>0</v>
      </c>
      <c r="M85" t="n">
        <v>0</v>
      </c>
      <c r="N85" t="n">
        <v>0</v>
      </c>
      <c r="O85" t="n">
        <v>1</v>
      </c>
      <c r="P85" t="n">
        <v>0</v>
      </c>
      <c r="Q85" t="n">
        <v>2</v>
      </c>
      <c r="R85" s="2" t="inlineStr">
        <is>
          <t>Gammelgransskål
Bollvitmossa</t>
        </is>
      </c>
      <c r="S85">
        <f>HYPERLINK("https://klasma.github.io/Logging_2582/artfynd/A 63854-2021 artfynd.xlsx", "A 63854-2021")</f>
        <v/>
      </c>
      <c r="T85">
        <f>HYPERLINK("https://klasma.github.io/Logging_2582/kartor/A 63854-2021 karta.png", "A 63854-2021")</f>
        <v/>
      </c>
      <c r="V85">
        <f>HYPERLINK("https://klasma.github.io/Logging_2582/klagomål/A 63854-2021 FSC-klagomål.docx", "A 63854-2021")</f>
        <v/>
      </c>
      <c r="W85">
        <f>HYPERLINK("https://klasma.github.io/Logging_2582/klagomålsmail/A 63854-2021 FSC-klagomål mail.docx", "A 63854-2021")</f>
        <v/>
      </c>
      <c r="X85">
        <f>HYPERLINK("https://klasma.github.io/Logging_2582/tillsyn/A 63854-2021 tillsynsbegäran.docx", "A 63854-2021")</f>
        <v/>
      </c>
      <c r="Y85">
        <f>HYPERLINK("https://klasma.github.io/Logging_2582/tillsynsmail/A 63854-2021 tillsynsbegäran mail.docx", "A 63854-2021")</f>
        <v/>
      </c>
    </row>
    <row r="86" ht="15" customHeight="1">
      <c r="A86" t="inlineStr">
        <is>
          <t>A 70382-2021</t>
        </is>
      </c>
      <c r="B86" s="1" t="n">
        <v>44536</v>
      </c>
      <c r="C86" s="1" t="n">
        <v>45844</v>
      </c>
      <c r="D86" t="inlineStr">
        <is>
          <t>NORRBOTTENS LÄN</t>
        </is>
      </c>
      <c r="E86" t="inlineStr">
        <is>
          <t>BODEN</t>
        </is>
      </c>
      <c r="F86" t="inlineStr">
        <is>
          <t>Sveaskog</t>
        </is>
      </c>
      <c r="G86" t="n">
        <v>37.8</v>
      </c>
      <c r="H86" t="n">
        <v>0</v>
      </c>
      <c r="I86" t="n">
        <v>0</v>
      </c>
      <c r="J86" t="n">
        <v>2</v>
      </c>
      <c r="K86" t="n">
        <v>0</v>
      </c>
      <c r="L86" t="n">
        <v>0</v>
      </c>
      <c r="M86" t="n">
        <v>0</v>
      </c>
      <c r="N86" t="n">
        <v>0</v>
      </c>
      <c r="O86" t="n">
        <v>2</v>
      </c>
      <c r="P86" t="n">
        <v>0</v>
      </c>
      <c r="Q86" t="n">
        <v>2</v>
      </c>
      <c r="R86" s="2" t="inlineStr">
        <is>
          <t>Lunglav
Nordtagging</t>
        </is>
      </c>
      <c r="S86">
        <f>HYPERLINK("https://klasma.github.io/Logging_2582/artfynd/A 70382-2021 artfynd.xlsx", "A 70382-2021")</f>
        <v/>
      </c>
      <c r="T86">
        <f>HYPERLINK("https://klasma.github.io/Logging_2582/kartor/A 70382-2021 karta.png", "A 70382-2021")</f>
        <v/>
      </c>
      <c r="V86">
        <f>HYPERLINK("https://klasma.github.io/Logging_2582/klagomål/A 70382-2021 FSC-klagomål.docx", "A 70382-2021")</f>
        <v/>
      </c>
      <c r="W86">
        <f>HYPERLINK("https://klasma.github.io/Logging_2582/klagomålsmail/A 70382-2021 FSC-klagomål mail.docx", "A 70382-2021")</f>
        <v/>
      </c>
      <c r="X86">
        <f>HYPERLINK("https://klasma.github.io/Logging_2582/tillsyn/A 70382-2021 tillsynsbegäran.docx", "A 70382-2021")</f>
        <v/>
      </c>
      <c r="Y86">
        <f>HYPERLINK("https://klasma.github.io/Logging_2582/tillsynsmail/A 70382-2021 tillsynsbegäran mail.docx", "A 70382-2021")</f>
        <v/>
      </c>
    </row>
    <row r="87" ht="15" customHeight="1">
      <c r="A87" t="inlineStr">
        <is>
          <t>A 8137-2022</t>
        </is>
      </c>
      <c r="B87" s="1" t="n">
        <v>44609</v>
      </c>
      <c r="C87" s="1" t="n">
        <v>45844</v>
      </c>
      <c r="D87" t="inlineStr">
        <is>
          <t>NORRBOTTENS LÄN</t>
        </is>
      </c>
      <c r="E87" t="inlineStr">
        <is>
          <t>BODEN</t>
        </is>
      </c>
      <c r="G87" t="n">
        <v>8.300000000000001</v>
      </c>
      <c r="H87" t="n">
        <v>0</v>
      </c>
      <c r="I87" t="n">
        <v>0</v>
      </c>
      <c r="J87" t="n">
        <v>1</v>
      </c>
      <c r="K87" t="n">
        <v>1</v>
      </c>
      <c r="L87" t="n">
        <v>0</v>
      </c>
      <c r="M87" t="n">
        <v>0</v>
      </c>
      <c r="N87" t="n">
        <v>0</v>
      </c>
      <c r="O87" t="n">
        <v>2</v>
      </c>
      <c r="P87" t="n">
        <v>1</v>
      </c>
      <c r="Q87" t="n">
        <v>2</v>
      </c>
      <c r="R87" s="2" t="inlineStr">
        <is>
          <t>Lappticka
Rosenticka</t>
        </is>
      </c>
      <c r="S87">
        <f>HYPERLINK("https://klasma.github.io/Logging_2582/artfynd/A 8137-2022 artfynd.xlsx", "A 8137-2022")</f>
        <v/>
      </c>
      <c r="T87">
        <f>HYPERLINK("https://klasma.github.io/Logging_2582/kartor/A 8137-2022 karta.png", "A 8137-2022")</f>
        <v/>
      </c>
      <c r="V87">
        <f>HYPERLINK("https://klasma.github.io/Logging_2582/klagomål/A 8137-2022 FSC-klagomål.docx", "A 8137-2022")</f>
        <v/>
      </c>
      <c r="W87">
        <f>HYPERLINK("https://klasma.github.io/Logging_2582/klagomålsmail/A 8137-2022 FSC-klagomål mail.docx", "A 8137-2022")</f>
        <v/>
      </c>
      <c r="X87">
        <f>HYPERLINK("https://klasma.github.io/Logging_2582/tillsyn/A 8137-2022 tillsynsbegäran.docx", "A 8137-2022")</f>
        <v/>
      </c>
      <c r="Y87">
        <f>HYPERLINK("https://klasma.github.io/Logging_2582/tillsynsmail/A 8137-2022 tillsynsbegäran mail.docx", "A 8137-2022")</f>
        <v/>
      </c>
    </row>
    <row r="88" ht="15" customHeight="1">
      <c r="A88" t="inlineStr">
        <is>
          <t>A 17292-2022</t>
        </is>
      </c>
      <c r="B88" s="1" t="n">
        <v>44678</v>
      </c>
      <c r="C88" s="1" t="n">
        <v>45844</v>
      </c>
      <c r="D88" t="inlineStr">
        <is>
          <t>NORRBOTTENS LÄN</t>
        </is>
      </c>
      <c r="E88" t="inlineStr">
        <is>
          <t>BODEN</t>
        </is>
      </c>
      <c r="F88" t="inlineStr">
        <is>
          <t>Kyrkan</t>
        </is>
      </c>
      <c r="G88" t="n">
        <v>0.8</v>
      </c>
      <c r="H88" t="n">
        <v>1</v>
      </c>
      <c r="I88" t="n">
        <v>0</v>
      </c>
      <c r="J88" t="n">
        <v>1</v>
      </c>
      <c r="K88" t="n">
        <v>0</v>
      </c>
      <c r="L88" t="n">
        <v>0</v>
      </c>
      <c r="M88" t="n">
        <v>0</v>
      </c>
      <c r="N88" t="n">
        <v>0</v>
      </c>
      <c r="O88" t="n">
        <v>1</v>
      </c>
      <c r="P88" t="n">
        <v>0</v>
      </c>
      <c r="Q88" t="n">
        <v>2</v>
      </c>
      <c r="R88" s="2" t="inlineStr">
        <is>
          <t>Garnlav
Revlummer</t>
        </is>
      </c>
      <c r="S88">
        <f>HYPERLINK("https://klasma.github.io/Logging_2582/artfynd/A 17292-2022 artfynd.xlsx", "A 17292-2022")</f>
        <v/>
      </c>
      <c r="T88">
        <f>HYPERLINK("https://klasma.github.io/Logging_2582/kartor/A 17292-2022 karta.png", "A 17292-2022")</f>
        <v/>
      </c>
      <c r="V88">
        <f>HYPERLINK("https://klasma.github.io/Logging_2582/klagomål/A 17292-2022 FSC-klagomål.docx", "A 17292-2022")</f>
        <v/>
      </c>
      <c r="W88">
        <f>HYPERLINK("https://klasma.github.io/Logging_2582/klagomålsmail/A 17292-2022 FSC-klagomål mail.docx", "A 17292-2022")</f>
        <v/>
      </c>
      <c r="X88">
        <f>HYPERLINK("https://klasma.github.io/Logging_2582/tillsyn/A 17292-2022 tillsynsbegäran.docx", "A 17292-2022")</f>
        <v/>
      </c>
      <c r="Y88">
        <f>HYPERLINK("https://klasma.github.io/Logging_2582/tillsynsmail/A 17292-2022 tillsynsbegäran mail.docx", "A 17292-2022")</f>
        <v/>
      </c>
    </row>
    <row r="89" ht="15" customHeight="1">
      <c r="A89" t="inlineStr">
        <is>
          <t>A 26346-2022</t>
        </is>
      </c>
      <c r="B89" s="1" t="n">
        <v>44735</v>
      </c>
      <c r="C89" s="1" t="n">
        <v>45844</v>
      </c>
      <c r="D89" t="inlineStr">
        <is>
          <t>NORRBOTTENS LÄN</t>
        </is>
      </c>
      <c r="E89" t="inlineStr">
        <is>
          <t>BODEN</t>
        </is>
      </c>
      <c r="F89" t="inlineStr">
        <is>
          <t>Sveaskog</t>
        </is>
      </c>
      <c r="G89" t="n">
        <v>5.6</v>
      </c>
      <c r="H89" t="n">
        <v>0</v>
      </c>
      <c r="I89" t="n">
        <v>0</v>
      </c>
      <c r="J89" t="n">
        <v>2</v>
      </c>
      <c r="K89" t="n">
        <v>0</v>
      </c>
      <c r="L89" t="n">
        <v>0</v>
      </c>
      <c r="M89" t="n">
        <v>0</v>
      </c>
      <c r="N89" t="n">
        <v>0</v>
      </c>
      <c r="O89" t="n">
        <v>2</v>
      </c>
      <c r="P89" t="n">
        <v>0</v>
      </c>
      <c r="Q89" t="n">
        <v>2</v>
      </c>
      <c r="R89" s="2" t="inlineStr">
        <is>
          <t>Blå taggsvamp
Ullticka</t>
        </is>
      </c>
      <c r="S89">
        <f>HYPERLINK("https://klasma.github.io/Logging_2582/artfynd/A 26346-2022 artfynd.xlsx", "A 26346-2022")</f>
        <v/>
      </c>
      <c r="T89">
        <f>HYPERLINK("https://klasma.github.io/Logging_2582/kartor/A 26346-2022 karta.png", "A 26346-2022")</f>
        <v/>
      </c>
      <c r="V89">
        <f>HYPERLINK("https://klasma.github.io/Logging_2582/klagomål/A 26346-2022 FSC-klagomål.docx", "A 26346-2022")</f>
        <v/>
      </c>
      <c r="W89">
        <f>HYPERLINK("https://klasma.github.io/Logging_2582/klagomålsmail/A 26346-2022 FSC-klagomål mail.docx", "A 26346-2022")</f>
        <v/>
      </c>
      <c r="X89">
        <f>HYPERLINK("https://klasma.github.io/Logging_2582/tillsyn/A 26346-2022 tillsynsbegäran.docx", "A 26346-2022")</f>
        <v/>
      </c>
      <c r="Y89">
        <f>HYPERLINK("https://klasma.github.io/Logging_2582/tillsynsmail/A 26346-2022 tillsynsbegäran mail.docx", "A 26346-2022")</f>
        <v/>
      </c>
    </row>
    <row r="90" ht="15" customHeight="1">
      <c r="A90" t="inlineStr">
        <is>
          <t>A 36629-2022</t>
        </is>
      </c>
      <c r="B90" s="1" t="n">
        <v>44804</v>
      </c>
      <c r="C90" s="1" t="n">
        <v>45844</v>
      </c>
      <c r="D90" t="inlineStr">
        <is>
          <t>NORRBOTTENS LÄN</t>
        </is>
      </c>
      <c r="E90" t="inlineStr">
        <is>
          <t>BODEN</t>
        </is>
      </c>
      <c r="F90" t="inlineStr">
        <is>
          <t>Sveaskog</t>
        </is>
      </c>
      <c r="G90" t="n">
        <v>3</v>
      </c>
      <c r="H90" t="n">
        <v>0</v>
      </c>
      <c r="I90" t="n">
        <v>2</v>
      </c>
      <c r="J90" t="n">
        <v>0</v>
      </c>
      <c r="K90" t="n">
        <v>0</v>
      </c>
      <c r="L90" t="n">
        <v>0</v>
      </c>
      <c r="M90" t="n">
        <v>0</v>
      </c>
      <c r="N90" t="n">
        <v>0</v>
      </c>
      <c r="O90" t="n">
        <v>0</v>
      </c>
      <c r="P90" t="n">
        <v>0</v>
      </c>
      <c r="Q90" t="n">
        <v>2</v>
      </c>
      <c r="R90" s="2" t="inlineStr">
        <is>
          <t>Dropptaggsvamp
Skarp dropptaggsvamp</t>
        </is>
      </c>
      <c r="S90">
        <f>HYPERLINK("https://klasma.github.io/Logging_2582/artfynd/A 36629-2022 artfynd.xlsx", "A 36629-2022")</f>
        <v/>
      </c>
      <c r="T90">
        <f>HYPERLINK("https://klasma.github.io/Logging_2582/kartor/A 36629-2022 karta.png", "A 36629-2022")</f>
        <v/>
      </c>
      <c r="V90">
        <f>HYPERLINK("https://klasma.github.io/Logging_2582/klagomål/A 36629-2022 FSC-klagomål.docx", "A 36629-2022")</f>
        <v/>
      </c>
      <c r="W90">
        <f>HYPERLINK("https://klasma.github.io/Logging_2582/klagomålsmail/A 36629-2022 FSC-klagomål mail.docx", "A 36629-2022")</f>
        <v/>
      </c>
      <c r="X90">
        <f>HYPERLINK("https://klasma.github.io/Logging_2582/tillsyn/A 36629-2022 tillsynsbegäran.docx", "A 36629-2022")</f>
        <v/>
      </c>
      <c r="Y90">
        <f>HYPERLINK("https://klasma.github.io/Logging_2582/tillsynsmail/A 36629-2022 tillsynsbegäran mail.docx", "A 36629-2022")</f>
        <v/>
      </c>
    </row>
    <row r="91" ht="15" customHeight="1">
      <c r="A91" t="inlineStr">
        <is>
          <t>A 42233-2022</t>
        </is>
      </c>
      <c r="B91" s="1" t="n">
        <v>44830</v>
      </c>
      <c r="C91" s="1" t="n">
        <v>45844</v>
      </c>
      <c r="D91" t="inlineStr">
        <is>
          <t>NORRBOTTENS LÄN</t>
        </is>
      </c>
      <c r="E91" t="inlineStr">
        <is>
          <t>BODEN</t>
        </is>
      </c>
      <c r="G91" t="n">
        <v>3.6</v>
      </c>
      <c r="H91" t="n">
        <v>2</v>
      </c>
      <c r="I91" t="n">
        <v>0</v>
      </c>
      <c r="J91" t="n">
        <v>1</v>
      </c>
      <c r="K91" t="n">
        <v>0</v>
      </c>
      <c r="L91" t="n">
        <v>0</v>
      </c>
      <c r="M91" t="n">
        <v>0</v>
      </c>
      <c r="N91" t="n">
        <v>0</v>
      </c>
      <c r="O91" t="n">
        <v>1</v>
      </c>
      <c r="P91" t="n">
        <v>0</v>
      </c>
      <c r="Q91" t="n">
        <v>2</v>
      </c>
      <c r="R91" s="2" t="inlineStr">
        <is>
          <t>Svartvit flugsnappare
Enkelbeckasin</t>
        </is>
      </c>
      <c r="S91">
        <f>HYPERLINK("https://klasma.github.io/Logging_2582/artfynd/A 42233-2022 artfynd.xlsx", "A 42233-2022")</f>
        <v/>
      </c>
      <c r="T91">
        <f>HYPERLINK("https://klasma.github.io/Logging_2582/kartor/A 42233-2022 karta.png", "A 42233-2022")</f>
        <v/>
      </c>
      <c r="V91">
        <f>HYPERLINK("https://klasma.github.io/Logging_2582/klagomål/A 42233-2022 FSC-klagomål.docx", "A 42233-2022")</f>
        <v/>
      </c>
      <c r="W91">
        <f>HYPERLINK("https://klasma.github.io/Logging_2582/klagomålsmail/A 42233-2022 FSC-klagomål mail.docx", "A 42233-2022")</f>
        <v/>
      </c>
      <c r="X91">
        <f>HYPERLINK("https://klasma.github.io/Logging_2582/tillsyn/A 42233-2022 tillsynsbegäran.docx", "A 42233-2022")</f>
        <v/>
      </c>
      <c r="Y91">
        <f>HYPERLINK("https://klasma.github.io/Logging_2582/tillsynsmail/A 42233-2022 tillsynsbegäran mail.docx", "A 42233-2022")</f>
        <v/>
      </c>
      <c r="Z91">
        <f>HYPERLINK("https://klasma.github.io/Logging_2582/fåglar/A 42233-2022 prioriterade fågelarter.docx", "A 42233-2022")</f>
        <v/>
      </c>
    </row>
    <row r="92" ht="15" customHeight="1">
      <c r="A92" t="inlineStr">
        <is>
          <t>A 54178-2022</t>
        </is>
      </c>
      <c r="B92" s="1" t="n">
        <v>44881</v>
      </c>
      <c r="C92" s="1" t="n">
        <v>45844</v>
      </c>
      <c r="D92" t="inlineStr">
        <is>
          <t>NORRBOTTENS LÄN</t>
        </is>
      </c>
      <c r="E92" t="inlineStr">
        <is>
          <t>BODEN</t>
        </is>
      </c>
      <c r="F92" t="inlineStr">
        <is>
          <t>Sveaskog</t>
        </is>
      </c>
      <c r="G92" t="n">
        <v>3.1</v>
      </c>
      <c r="H92" t="n">
        <v>1</v>
      </c>
      <c r="I92" t="n">
        <v>0</v>
      </c>
      <c r="J92" t="n">
        <v>1</v>
      </c>
      <c r="K92" t="n">
        <v>0</v>
      </c>
      <c r="L92" t="n">
        <v>0</v>
      </c>
      <c r="M92" t="n">
        <v>0</v>
      </c>
      <c r="N92" t="n">
        <v>0</v>
      </c>
      <c r="O92" t="n">
        <v>1</v>
      </c>
      <c r="P92" t="n">
        <v>0</v>
      </c>
      <c r="Q92" t="n">
        <v>2</v>
      </c>
      <c r="R92" s="2" t="inlineStr">
        <is>
          <t>Granticka
Blåsippa</t>
        </is>
      </c>
      <c r="S92">
        <f>HYPERLINK("https://klasma.github.io/Logging_2582/artfynd/A 54178-2022 artfynd.xlsx", "A 54178-2022")</f>
        <v/>
      </c>
      <c r="T92">
        <f>HYPERLINK("https://klasma.github.io/Logging_2582/kartor/A 54178-2022 karta.png", "A 54178-2022")</f>
        <v/>
      </c>
      <c r="V92">
        <f>HYPERLINK("https://klasma.github.io/Logging_2582/klagomål/A 54178-2022 FSC-klagomål.docx", "A 54178-2022")</f>
        <v/>
      </c>
      <c r="W92">
        <f>HYPERLINK("https://klasma.github.io/Logging_2582/klagomålsmail/A 54178-2022 FSC-klagomål mail.docx", "A 54178-2022")</f>
        <v/>
      </c>
      <c r="X92">
        <f>HYPERLINK("https://klasma.github.io/Logging_2582/tillsyn/A 54178-2022 tillsynsbegäran.docx", "A 54178-2022")</f>
        <v/>
      </c>
      <c r="Y92">
        <f>HYPERLINK("https://klasma.github.io/Logging_2582/tillsynsmail/A 54178-2022 tillsynsbegäran mail.docx", "A 54178-2022")</f>
        <v/>
      </c>
    </row>
    <row r="93" ht="15" customHeight="1">
      <c r="A93" t="inlineStr">
        <is>
          <t>A 22906-2023</t>
        </is>
      </c>
      <c r="B93" s="1" t="n">
        <v>45072</v>
      </c>
      <c r="C93" s="1" t="n">
        <v>45844</v>
      </c>
      <c r="D93" t="inlineStr">
        <is>
          <t>NORRBOTTENS LÄN</t>
        </is>
      </c>
      <c r="E93" t="inlineStr">
        <is>
          <t>BODEN</t>
        </is>
      </c>
      <c r="F93" t="inlineStr">
        <is>
          <t>Sveaskog</t>
        </is>
      </c>
      <c r="G93" t="n">
        <v>3.5</v>
      </c>
      <c r="H93" t="n">
        <v>2</v>
      </c>
      <c r="I93" t="n">
        <v>0</v>
      </c>
      <c r="J93" t="n">
        <v>2</v>
      </c>
      <c r="K93" t="n">
        <v>0</v>
      </c>
      <c r="L93" t="n">
        <v>0</v>
      </c>
      <c r="M93" t="n">
        <v>0</v>
      </c>
      <c r="N93" t="n">
        <v>0</v>
      </c>
      <c r="O93" t="n">
        <v>2</v>
      </c>
      <c r="P93" t="n">
        <v>0</v>
      </c>
      <c r="Q93" t="n">
        <v>2</v>
      </c>
      <c r="R93" s="2" t="inlineStr">
        <is>
          <t>Talltita
Utter</t>
        </is>
      </c>
      <c r="S93">
        <f>HYPERLINK("https://klasma.github.io/Logging_2582/artfynd/A 22906-2023 artfynd.xlsx", "A 22906-2023")</f>
        <v/>
      </c>
      <c r="T93">
        <f>HYPERLINK("https://klasma.github.io/Logging_2582/kartor/A 22906-2023 karta.png", "A 22906-2023")</f>
        <v/>
      </c>
      <c r="V93">
        <f>HYPERLINK("https://klasma.github.io/Logging_2582/klagomål/A 22906-2023 FSC-klagomål.docx", "A 22906-2023")</f>
        <v/>
      </c>
      <c r="W93">
        <f>HYPERLINK("https://klasma.github.io/Logging_2582/klagomålsmail/A 22906-2023 FSC-klagomål mail.docx", "A 22906-2023")</f>
        <v/>
      </c>
      <c r="X93">
        <f>HYPERLINK("https://klasma.github.io/Logging_2582/tillsyn/A 22906-2023 tillsynsbegäran.docx", "A 22906-2023")</f>
        <v/>
      </c>
      <c r="Y93">
        <f>HYPERLINK("https://klasma.github.io/Logging_2582/tillsynsmail/A 22906-2023 tillsynsbegäran mail.docx", "A 22906-2023")</f>
        <v/>
      </c>
      <c r="Z93">
        <f>HYPERLINK("https://klasma.github.io/Logging_2582/fåglar/A 22906-2023 prioriterade fågelarter.docx", "A 22906-2023")</f>
        <v/>
      </c>
    </row>
    <row r="94" ht="15" customHeight="1">
      <c r="A94" t="inlineStr">
        <is>
          <t>A 34164-2023</t>
        </is>
      </c>
      <c r="B94" s="1" t="n">
        <v>45137</v>
      </c>
      <c r="C94" s="1" t="n">
        <v>45844</v>
      </c>
      <c r="D94" t="inlineStr">
        <is>
          <t>NORRBOTTENS LÄN</t>
        </is>
      </c>
      <c r="E94" t="inlineStr">
        <is>
          <t>BODEN</t>
        </is>
      </c>
      <c r="F94" t="inlineStr">
        <is>
          <t>SCA</t>
        </is>
      </c>
      <c r="G94" t="n">
        <v>2.2</v>
      </c>
      <c r="H94" t="n">
        <v>1</v>
      </c>
      <c r="I94" t="n">
        <v>0</v>
      </c>
      <c r="J94" t="n">
        <v>2</v>
      </c>
      <c r="K94" t="n">
        <v>0</v>
      </c>
      <c r="L94" t="n">
        <v>0</v>
      </c>
      <c r="M94" t="n">
        <v>0</v>
      </c>
      <c r="N94" t="n">
        <v>0</v>
      </c>
      <c r="O94" t="n">
        <v>2</v>
      </c>
      <c r="P94" t="n">
        <v>0</v>
      </c>
      <c r="Q94" t="n">
        <v>2</v>
      </c>
      <c r="R94" s="2" t="inlineStr">
        <is>
          <t>Garnlav
Tretåig hackspett</t>
        </is>
      </c>
      <c r="S94">
        <f>HYPERLINK("https://klasma.github.io/Logging_2582/artfynd/A 34164-2023 artfynd.xlsx", "A 34164-2023")</f>
        <v/>
      </c>
      <c r="T94">
        <f>HYPERLINK("https://klasma.github.io/Logging_2582/kartor/A 34164-2023 karta.png", "A 34164-2023")</f>
        <v/>
      </c>
      <c r="V94">
        <f>HYPERLINK("https://klasma.github.io/Logging_2582/klagomål/A 34164-2023 FSC-klagomål.docx", "A 34164-2023")</f>
        <v/>
      </c>
      <c r="W94">
        <f>HYPERLINK("https://klasma.github.io/Logging_2582/klagomålsmail/A 34164-2023 FSC-klagomål mail.docx", "A 34164-2023")</f>
        <v/>
      </c>
      <c r="X94">
        <f>HYPERLINK("https://klasma.github.io/Logging_2582/tillsyn/A 34164-2023 tillsynsbegäran.docx", "A 34164-2023")</f>
        <v/>
      </c>
      <c r="Y94">
        <f>HYPERLINK("https://klasma.github.io/Logging_2582/tillsynsmail/A 34164-2023 tillsynsbegäran mail.docx", "A 34164-2023")</f>
        <v/>
      </c>
      <c r="Z94">
        <f>HYPERLINK("https://klasma.github.io/Logging_2582/fåglar/A 34164-2023 prioriterade fågelarter.docx", "A 34164-2023")</f>
        <v/>
      </c>
    </row>
    <row r="95" ht="15" customHeight="1">
      <c r="A95" t="inlineStr">
        <is>
          <t>A 39974-2023</t>
        </is>
      </c>
      <c r="B95" s="1" t="n">
        <v>45168</v>
      </c>
      <c r="C95" s="1" t="n">
        <v>45844</v>
      </c>
      <c r="D95" t="inlineStr">
        <is>
          <t>NORRBOTTENS LÄN</t>
        </is>
      </c>
      <c r="E95" t="inlineStr">
        <is>
          <t>BODEN</t>
        </is>
      </c>
      <c r="F95" t="inlineStr">
        <is>
          <t>Sveaskog</t>
        </is>
      </c>
      <c r="G95" t="n">
        <v>12.9</v>
      </c>
      <c r="H95" t="n">
        <v>0</v>
      </c>
      <c r="I95" t="n">
        <v>1</v>
      </c>
      <c r="J95" t="n">
        <v>1</v>
      </c>
      <c r="K95" t="n">
        <v>0</v>
      </c>
      <c r="L95" t="n">
        <v>0</v>
      </c>
      <c r="M95" t="n">
        <v>0</v>
      </c>
      <c r="N95" t="n">
        <v>0</v>
      </c>
      <c r="O95" t="n">
        <v>1</v>
      </c>
      <c r="P95" t="n">
        <v>0</v>
      </c>
      <c r="Q95" t="n">
        <v>2</v>
      </c>
      <c r="R95" s="2" t="inlineStr">
        <is>
          <t>Garnlav
Bronshjon</t>
        </is>
      </c>
      <c r="S95">
        <f>HYPERLINK("https://klasma.github.io/Logging_2582/artfynd/A 39974-2023 artfynd.xlsx", "A 39974-2023")</f>
        <v/>
      </c>
      <c r="T95">
        <f>HYPERLINK("https://klasma.github.io/Logging_2582/kartor/A 39974-2023 karta.png", "A 39974-2023")</f>
        <v/>
      </c>
      <c r="V95">
        <f>HYPERLINK("https://klasma.github.io/Logging_2582/klagomål/A 39974-2023 FSC-klagomål.docx", "A 39974-2023")</f>
        <v/>
      </c>
      <c r="W95">
        <f>HYPERLINK("https://klasma.github.io/Logging_2582/klagomålsmail/A 39974-2023 FSC-klagomål mail.docx", "A 39974-2023")</f>
        <v/>
      </c>
      <c r="X95">
        <f>HYPERLINK("https://klasma.github.io/Logging_2582/tillsyn/A 39974-2023 tillsynsbegäran.docx", "A 39974-2023")</f>
        <v/>
      </c>
      <c r="Y95">
        <f>HYPERLINK("https://klasma.github.io/Logging_2582/tillsynsmail/A 39974-2023 tillsynsbegäran mail.docx", "A 39974-2023")</f>
        <v/>
      </c>
    </row>
    <row r="96" ht="15" customHeight="1">
      <c r="A96" t="inlineStr">
        <is>
          <t>A 40467-2023</t>
        </is>
      </c>
      <c r="B96" s="1" t="n">
        <v>45170</v>
      </c>
      <c r="C96" s="1" t="n">
        <v>45844</v>
      </c>
      <c r="D96" t="inlineStr">
        <is>
          <t>NORRBOTTENS LÄN</t>
        </is>
      </c>
      <c r="E96" t="inlineStr">
        <is>
          <t>BODEN</t>
        </is>
      </c>
      <c r="F96" t="inlineStr">
        <is>
          <t>Sveaskog</t>
        </is>
      </c>
      <c r="G96" t="n">
        <v>22.7</v>
      </c>
      <c r="H96" t="n">
        <v>1</v>
      </c>
      <c r="I96" t="n">
        <v>0</v>
      </c>
      <c r="J96" t="n">
        <v>1</v>
      </c>
      <c r="K96" t="n">
        <v>1</v>
      </c>
      <c r="L96" t="n">
        <v>0</v>
      </c>
      <c r="M96" t="n">
        <v>0</v>
      </c>
      <c r="N96" t="n">
        <v>0</v>
      </c>
      <c r="O96" t="n">
        <v>2</v>
      </c>
      <c r="P96" t="n">
        <v>1</v>
      </c>
      <c r="Q96" t="n">
        <v>2</v>
      </c>
      <c r="R96" s="2" t="inlineStr">
        <is>
          <t>Knärot
Mörk kolflarnlav</t>
        </is>
      </c>
      <c r="S96">
        <f>HYPERLINK("https://klasma.github.io/Logging_2582/artfynd/A 40467-2023 artfynd.xlsx", "A 40467-2023")</f>
        <v/>
      </c>
      <c r="T96">
        <f>HYPERLINK("https://klasma.github.io/Logging_2582/kartor/A 40467-2023 karta.png", "A 40467-2023")</f>
        <v/>
      </c>
      <c r="U96">
        <f>HYPERLINK("https://klasma.github.io/Logging_2582/knärot/A 40467-2023 karta knärot.png", "A 40467-2023")</f>
        <v/>
      </c>
      <c r="V96">
        <f>HYPERLINK("https://klasma.github.io/Logging_2582/klagomål/A 40467-2023 FSC-klagomål.docx", "A 40467-2023")</f>
        <v/>
      </c>
      <c r="W96">
        <f>HYPERLINK("https://klasma.github.io/Logging_2582/klagomålsmail/A 40467-2023 FSC-klagomål mail.docx", "A 40467-2023")</f>
        <v/>
      </c>
      <c r="X96">
        <f>HYPERLINK("https://klasma.github.io/Logging_2582/tillsyn/A 40467-2023 tillsynsbegäran.docx", "A 40467-2023")</f>
        <v/>
      </c>
      <c r="Y96">
        <f>HYPERLINK("https://klasma.github.io/Logging_2582/tillsynsmail/A 40467-2023 tillsynsbegäran mail.docx", "A 40467-2023")</f>
        <v/>
      </c>
    </row>
    <row r="97" ht="15" customHeight="1">
      <c r="A97" t="inlineStr">
        <is>
          <t>A 44185-2023</t>
        </is>
      </c>
      <c r="B97" s="1" t="n">
        <v>45188</v>
      </c>
      <c r="C97" s="1" t="n">
        <v>45844</v>
      </c>
      <c r="D97" t="inlineStr">
        <is>
          <t>NORRBOTTENS LÄN</t>
        </is>
      </c>
      <c r="E97" t="inlineStr">
        <is>
          <t>BODEN</t>
        </is>
      </c>
      <c r="F97" t="inlineStr">
        <is>
          <t>Sveaskog</t>
        </is>
      </c>
      <c r="G97" t="n">
        <v>22</v>
      </c>
      <c r="H97" t="n">
        <v>1</v>
      </c>
      <c r="I97" t="n">
        <v>1</v>
      </c>
      <c r="J97" t="n">
        <v>0</v>
      </c>
      <c r="K97" t="n">
        <v>1</v>
      </c>
      <c r="L97" t="n">
        <v>0</v>
      </c>
      <c r="M97" t="n">
        <v>0</v>
      </c>
      <c r="N97" t="n">
        <v>0</v>
      </c>
      <c r="O97" t="n">
        <v>1</v>
      </c>
      <c r="P97" t="n">
        <v>1</v>
      </c>
      <c r="Q97" t="n">
        <v>2</v>
      </c>
      <c r="R97" s="2" t="inlineStr">
        <is>
          <t>Doftticka
Stuplav</t>
        </is>
      </c>
      <c r="S97">
        <f>HYPERLINK("https://klasma.github.io/Logging_2582/artfynd/A 44185-2023 artfynd.xlsx", "A 44185-2023")</f>
        <v/>
      </c>
      <c r="T97">
        <f>HYPERLINK("https://klasma.github.io/Logging_2582/kartor/A 44185-2023 karta.png", "A 44185-2023")</f>
        <v/>
      </c>
      <c r="V97">
        <f>HYPERLINK("https://klasma.github.io/Logging_2582/klagomål/A 44185-2023 FSC-klagomål.docx", "A 44185-2023")</f>
        <v/>
      </c>
      <c r="W97">
        <f>HYPERLINK("https://klasma.github.io/Logging_2582/klagomålsmail/A 44185-2023 FSC-klagomål mail.docx", "A 44185-2023")</f>
        <v/>
      </c>
      <c r="X97">
        <f>HYPERLINK("https://klasma.github.io/Logging_2582/tillsyn/A 44185-2023 tillsynsbegäran.docx", "A 44185-2023")</f>
        <v/>
      </c>
      <c r="Y97">
        <f>HYPERLINK("https://klasma.github.io/Logging_2582/tillsynsmail/A 44185-2023 tillsynsbegäran mail.docx", "A 44185-2023")</f>
        <v/>
      </c>
    </row>
    <row r="98" ht="15" customHeight="1">
      <c r="A98" t="inlineStr">
        <is>
          <t>A 900-2024</t>
        </is>
      </c>
      <c r="B98" s="1" t="n">
        <v>45301</v>
      </c>
      <c r="C98" s="1" t="n">
        <v>45844</v>
      </c>
      <c r="D98" t="inlineStr">
        <is>
          <t>NORRBOTTENS LÄN</t>
        </is>
      </c>
      <c r="E98" t="inlineStr">
        <is>
          <t>BODEN</t>
        </is>
      </c>
      <c r="G98" t="n">
        <v>5.2</v>
      </c>
      <c r="H98" t="n">
        <v>2</v>
      </c>
      <c r="I98" t="n">
        <v>0</v>
      </c>
      <c r="J98" t="n">
        <v>0</v>
      </c>
      <c r="K98" t="n">
        <v>1</v>
      </c>
      <c r="L98" t="n">
        <v>0</v>
      </c>
      <c r="M98" t="n">
        <v>0</v>
      </c>
      <c r="N98" t="n">
        <v>0</v>
      </c>
      <c r="O98" t="n">
        <v>1</v>
      </c>
      <c r="P98" t="n">
        <v>1</v>
      </c>
      <c r="Q98" t="n">
        <v>2</v>
      </c>
      <c r="R98" s="2" t="inlineStr">
        <is>
          <t>Knärot
Revlummer</t>
        </is>
      </c>
      <c r="S98">
        <f>HYPERLINK("https://klasma.github.io/Logging_2582/artfynd/A 900-2024 artfynd.xlsx", "A 900-2024")</f>
        <v/>
      </c>
      <c r="T98">
        <f>HYPERLINK("https://klasma.github.io/Logging_2582/kartor/A 900-2024 karta.png", "A 900-2024")</f>
        <v/>
      </c>
      <c r="U98">
        <f>HYPERLINK("https://klasma.github.io/Logging_2582/knärot/A 900-2024 karta knärot.png", "A 900-2024")</f>
        <v/>
      </c>
      <c r="V98">
        <f>HYPERLINK("https://klasma.github.io/Logging_2582/klagomål/A 900-2024 FSC-klagomål.docx", "A 900-2024")</f>
        <v/>
      </c>
      <c r="W98">
        <f>HYPERLINK("https://klasma.github.io/Logging_2582/klagomålsmail/A 900-2024 FSC-klagomål mail.docx", "A 900-2024")</f>
        <v/>
      </c>
      <c r="X98">
        <f>HYPERLINK("https://klasma.github.io/Logging_2582/tillsyn/A 900-2024 tillsynsbegäran.docx", "A 900-2024")</f>
        <v/>
      </c>
      <c r="Y98">
        <f>HYPERLINK("https://klasma.github.io/Logging_2582/tillsynsmail/A 900-2024 tillsynsbegäran mail.docx", "A 900-2024")</f>
        <v/>
      </c>
    </row>
    <row r="99" ht="15" customHeight="1">
      <c r="A99" t="inlineStr">
        <is>
          <t>A 6639-2024</t>
        </is>
      </c>
      <c r="B99" s="1" t="n">
        <v>45341</v>
      </c>
      <c r="C99" s="1" t="n">
        <v>45844</v>
      </c>
      <c r="D99" t="inlineStr">
        <is>
          <t>NORRBOTTENS LÄN</t>
        </is>
      </c>
      <c r="E99" t="inlineStr">
        <is>
          <t>BODEN</t>
        </is>
      </c>
      <c r="F99" t="inlineStr">
        <is>
          <t>Övriga statliga verk och myndigheter</t>
        </is>
      </c>
      <c r="G99" t="n">
        <v>23.8</v>
      </c>
      <c r="H99" t="n">
        <v>0</v>
      </c>
      <c r="I99" t="n">
        <v>0</v>
      </c>
      <c r="J99" t="n">
        <v>2</v>
      </c>
      <c r="K99" t="n">
        <v>0</v>
      </c>
      <c r="L99" t="n">
        <v>0</v>
      </c>
      <c r="M99" t="n">
        <v>0</v>
      </c>
      <c r="N99" t="n">
        <v>0</v>
      </c>
      <c r="O99" t="n">
        <v>2</v>
      </c>
      <c r="P99" t="n">
        <v>0</v>
      </c>
      <c r="Q99" t="n">
        <v>2</v>
      </c>
      <c r="R99" s="2" t="inlineStr">
        <is>
          <t>Granticka
Lunglav</t>
        </is>
      </c>
      <c r="S99">
        <f>HYPERLINK("https://klasma.github.io/Logging_2582/artfynd/A 6639-2024 artfynd.xlsx", "A 6639-2024")</f>
        <v/>
      </c>
      <c r="T99">
        <f>HYPERLINK("https://klasma.github.io/Logging_2582/kartor/A 6639-2024 karta.png", "A 6639-2024")</f>
        <v/>
      </c>
      <c r="V99">
        <f>HYPERLINK("https://klasma.github.io/Logging_2582/klagomål/A 6639-2024 FSC-klagomål.docx", "A 6639-2024")</f>
        <v/>
      </c>
      <c r="W99">
        <f>HYPERLINK("https://klasma.github.io/Logging_2582/klagomålsmail/A 6639-2024 FSC-klagomål mail.docx", "A 6639-2024")</f>
        <v/>
      </c>
      <c r="X99">
        <f>HYPERLINK("https://klasma.github.io/Logging_2582/tillsyn/A 6639-2024 tillsynsbegäran.docx", "A 6639-2024")</f>
        <v/>
      </c>
      <c r="Y99">
        <f>HYPERLINK("https://klasma.github.io/Logging_2582/tillsynsmail/A 6639-2024 tillsynsbegäran mail.docx", "A 6639-2024")</f>
        <v/>
      </c>
    </row>
    <row r="100" ht="15" customHeight="1">
      <c r="A100" t="inlineStr">
        <is>
          <t>A 15605-2024</t>
        </is>
      </c>
      <c r="B100" s="1" t="n">
        <v>45402</v>
      </c>
      <c r="C100" s="1" t="n">
        <v>45844</v>
      </c>
      <c r="D100" t="inlineStr">
        <is>
          <t>NORRBOTTENS LÄN</t>
        </is>
      </c>
      <c r="E100" t="inlineStr">
        <is>
          <t>BODEN</t>
        </is>
      </c>
      <c r="G100" t="n">
        <v>6</v>
      </c>
      <c r="H100" t="n">
        <v>0</v>
      </c>
      <c r="I100" t="n">
        <v>1</v>
      </c>
      <c r="J100" t="n">
        <v>1</v>
      </c>
      <c r="K100" t="n">
        <v>0</v>
      </c>
      <c r="L100" t="n">
        <v>0</v>
      </c>
      <c r="M100" t="n">
        <v>0</v>
      </c>
      <c r="N100" t="n">
        <v>0</v>
      </c>
      <c r="O100" t="n">
        <v>1</v>
      </c>
      <c r="P100" t="n">
        <v>0</v>
      </c>
      <c r="Q100" t="n">
        <v>2</v>
      </c>
      <c r="R100" s="2" t="inlineStr">
        <is>
          <t>Gammelgransskål
Bollvitmossa</t>
        </is>
      </c>
      <c r="S100">
        <f>HYPERLINK("https://klasma.github.io/Logging_2582/artfynd/A 15605-2024 artfynd.xlsx", "A 15605-2024")</f>
        <v/>
      </c>
      <c r="T100">
        <f>HYPERLINK("https://klasma.github.io/Logging_2582/kartor/A 15605-2024 karta.png", "A 15605-2024")</f>
        <v/>
      </c>
      <c r="V100">
        <f>HYPERLINK("https://klasma.github.io/Logging_2582/klagomål/A 15605-2024 FSC-klagomål.docx", "A 15605-2024")</f>
        <v/>
      </c>
      <c r="W100">
        <f>HYPERLINK("https://klasma.github.io/Logging_2582/klagomålsmail/A 15605-2024 FSC-klagomål mail.docx", "A 15605-2024")</f>
        <v/>
      </c>
      <c r="X100">
        <f>HYPERLINK("https://klasma.github.io/Logging_2582/tillsyn/A 15605-2024 tillsynsbegäran.docx", "A 15605-2024")</f>
        <v/>
      </c>
      <c r="Y100">
        <f>HYPERLINK("https://klasma.github.io/Logging_2582/tillsynsmail/A 15605-2024 tillsynsbegäran mail.docx", "A 15605-2024")</f>
        <v/>
      </c>
    </row>
    <row r="101" ht="15" customHeight="1">
      <c r="A101" t="inlineStr">
        <is>
          <t>A 26822-2024</t>
        </is>
      </c>
      <c r="B101" s="1" t="n">
        <v>45470</v>
      </c>
      <c r="C101" s="1" t="n">
        <v>45844</v>
      </c>
      <c r="D101" t="inlineStr">
        <is>
          <t>NORRBOTTENS LÄN</t>
        </is>
      </c>
      <c r="E101" t="inlineStr">
        <is>
          <t>BODEN</t>
        </is>
      </c>
      <c r="F101" t="inlineStr">
        <is>
          <t>Sveaskog</t>
        </is>
      </c>
      <c r="G101" t="n">
        <v>10.9</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26822-2024 artfynd.xlsx", "A 26822-2024")</f>
        <v/>
      </c>
      <c r="T101">
        <f>HYPERLINK("https://klasma.github.io/Logging_2582/kartor/A 26822-2024 karta.png", "A 26822-2024")</f>
        <v/>
      </c>
      <c r="V101">
        <f>HYPERLINK("https://klasma.github.io/Logging_2582/klagomål/A 26822-2024 FSC-klagomål.docx", "A 26822-2024")</f>
        <v/>
      </c>
      <c r="W101">
        <f>HYPERLINK("https://klasma.github.io/Logging_2582/klagomålsmail/A 26822-2024 FSC-klagomål mail.docx", "A 26822-2024")</f>
        <v/>
      </c>
      <c r="X101">
        <f>HYPERLINK("https://klasma.github.io/Logging_2582/tillsyn/A 26822-2024 tillsynsbegäran.docx", "A 26822-2024")</f>
        <v/>
      </c>
      <c r="Y101">
        <f>HYPERLINK("https://klasma.github.io/Logging_2582/tillsynsmail/A 26822-2024 tillsynsbegäran mail.docx", "A 26822-2024")</f>
        <v/>
      </c>
    </row>
    <row r="102" ht="15" customHeight="1">
      <c r="A102" t="inlineStr">
        <is>
          <t>A 32971-2024</t>
        </is>
      </c>
      <c r="B102" s="1" t="n">
        <v>45517</v>
      </c>
      <c r="C102" s="1" t="n">
        <v>45844</v>
      </c>
      <c r="D102" t="inlineStr">
        <is>
          <t>NORRBOTTENS LÄN</t>
        </is>
      </c>
      <c r="E102" t="inlineStr">
        <is>
          <t>BODEN</t>
        </is>
      </c>
      <c r="F102" t="inlineStr">
        <is>
          <t>Sveaskog</t>
        </is>
      </c>
      <c r="G102" t="n">
        <v>10</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32971-2024 artfynd.xlsx", "A 32971-2024")</f>
        <v/>
      </c>
      <c r="T102">
        <f>HYPERLINK("https://klasma.github.io/Logging_2582/kartor/A 32971-2024 karta.png", "A 32971-2024")</f>
        <v/>
      </c>
      <c r="V102">
        <f>HYPERLINK("https://klasma.github.io/Logging_2582/klagomål/A 32971-2024 FSC-klagomål.docx", "A 32971-2024")</f>
        <v/>
      </c>
      <c r="W102">
        <f>HYPERLINK("https://klasma.github.io/Logging_2582/klagomålsmail/A 32971-2024 FSC-klagomål mail.docx", "A 32971-2024")</f>
        <v/>
      </c>
      <c r="X102">
        <f>HYPERLINK("https://klasma.github.io/Logging_2582/tillsyn/A 32971-2024 tillsynsbegäran.docx", "A 32971-2024")</f>
        <v/>
      </c>
      <c r="Y102">
        <f>HYPERLINK("https://klasma.github.io/Logging_2582/tillsynsmail/A 32971-2024 tillsynsbegäran mail.docx", "A 32971-2024")</f>
        <v/>
      </c>
    </row>
    <row r="103" ht="15" customHeight="1">
      <c r="A103" t="inlineStr">
        <is>
          <t>A 34737-2024</t>
        </is>
      </c>
      <c r="B103" s="1" t="n">
        <v>45526</v>
      </c>
      <c r="C103" s="1" t="n">
        <v>45844</v>
      </c>
      <c r="D103" t="inlineStr">
        <is>
          <t>NORRBOTTENS LÄN</t>
        </is>
      </c>
      <c r="E103" t="inlineStr">
        <is>
          <t>BODEN</t>
        </is>
      </c>
      <c r="F103" t="inlineStr">
        <is>
          <t>Sveaskog</t>
        </is>
      </c>
      <c r="G103" t="n">
        <v>6</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34737-2024 artfynd.xlsx", "A 34737-2024")</f>
        <v/>
      </c>
      <c r="T103">
        <f>HYPERLINK("https://klasma.github.io/Logging_2582/kartor/A 34737-2024 karta.png", "A 34737-2024")</f>
        <v/>
      </c>
      <c r="V103">
        <f>HYPERLINK("https://klasma.github.io/Logging_2582/klagomål/A 34737-2024 FSC-klagomål.docx", "A 34737-2024")</f>
        <v/>
      </c>
      <c r="W103">
        <f>HYPERLINK("https://klasma.github.io/Logging_2582/klagomålsmail/A 34737-2024 FSC-klagomål mail.docx", "A 34737-2024")</f>
        <v/>
      </c>
      <c r="X103">
        <f>HYPERLINK("https://klasma.github.io/Logging_2582/tillsyn/A 34737-2024 tillsynsbegäran.docx", "A 34737-2024")</f>
        <v/>
      </c>
      <c r="Y103">
        <f>HYPERLINK("https://klasma.github.io/Logging_2582/tillsynsmail/A 34737-2024 tillsynsbegäran mail.docx", "A 34737-2024")</f>
        <v/>
      </c>
    </row>
    <row r="104" ht="15" customHeight="1">
      <c r="A104" t="inlineStr">
        <is>
          <t>A 41087-2024</t>
        </is>
      </c>
      <c r="B104" s="1" t="n">
        <v>45559</v>
      </c>
      <c r="C104" s="1" t="n">
        <v>45844</v>
      </c>
      <c r="D104" t="inlineStr">
        <is>
          <t>NORRBOTTENS LÄN</t>
        </is>
      </c>
      <c r="E104" t="inlineStr">
        <is>
          <t>BODEN</t>
        </is>
      </c>
      <c r="F104" t="inlineStr">
        <is>
          <t>Sveaskog</t>
        </is>
      </c>
      <c r="G104" t="n">
        <v>7.5</v>
      </c>
      <c r="H104" t="n">
        <v>1</v>
      </c>
      <c r="I104" t="n">
        <v>1</v>
      </c>
      <c r="J104" t="n">
        <v>1</v>
      </c>
      <c r="K104" t="n">
        <v>0</v>
      </c>
      <c r="L104" t="n">
        <v>0</v>
      </c>
      <c r="M104" t="n">
        <v>0</v>
      </c>
      <c r="N104" t="n">
        <v>0</v>
      </c>
      <c r="O104" t="n">
        <v>1</v>
      </c>
      <c r="P104" t="n">
        <v>0</v>
      </c>
      <c r="Q104" t="n">
        <v>2</v>
      </c>
      <c r="R104" s="2" t="inlineStr">
        <is>
          <t>Garnlav
Spindelblomster</t>
        </is>
      </c>
      <c r="S104">
        <f>HYPERLINK("https://klasma.github.io/Logging_2582/artfynd/A 41087-2024 artfynd.xlsx", "A 41087-2024")</f>
        <v/>
      </c>
      <c r="T104">
        <f>HYPERLINK("https://klasma.github.io/Logging_2582/kartor/A 41087-2024 karta.png", "A 41087-2024")</f>
        <v/>
      </c>
      <c r="V104">
        <f>HYPERLINK("https://klasma.github.io/Logging_2582/klagomål/A 41087-2024 FSC-klagomål.docx", "A 41087-2024")</f>
        <v/>
      </c>
      <c r="W104">
        <f>HYPERLINK("https://klasma.github.io/Logging_2582/klagomålsmail/A 41087-2024 FSC-klagomål mail.docx", "A 41087-2024")</f>
        <v/>
      </c>
      <c r="X104">
        <f>HYPERLINK("https://klasma.github.io/Logging_2582/tillsyn/A 41087-2024 tillsynsbegäran.docx", "A 41087-2024")</f>
        <v/>
      </c>
      <c r="Y104">
        <f>HYPERLINK("https://klasma.github.io/Logging_2582/tillsynsmail/A 41087-2024 tillsynsbegäran mail.docx", "A 41087-2024")</f>
        <v/>
      </c>
    </row>
    <row r="105" ht="15" customHeight="1">
      <c r="A105" t="inlineStr">
        <is>
          <t>A 59435-2024</t>
        </is>
      </c>
      <c r="B105" s="1" t="n">
        <v>45638</v>
      </c>
      <c r="C105" s="1" t="n">
        <v>45844</v>
      </c>
      <c r="D105" t="inlineStr">
        <is>
          <t>NORRBOTTENS LÄN</t>
        </is>
      </c>
      <c r="E105" t="inlineStr">
        <is>
          <t>BODEN</t>
        </is>
      </c>
      <c r="G105" t="n">
        <v>2.1</v>
      </c>
      <c r="H105" t="n">
        <v>1</v>
      </c>
      <c r="I105" t="n">
        <v>2</v>
      </c>
      <c r="J105" t="n">
        <v>0</v>
      </c>
      <c r="K105" t="n">
        <v>0</v>
      </c>
      <c r="L105" t="n">
        <v>0</v>
      </c>
      <c r="M105" t="n">
        <v>0</v>
      </c>
      <c r="N105" t="n">
        <v>0</v>
      </c>
      <c r="O105" t="n">
        <v>0</v>
      </c>
      <c r="P105" t="n">
        <v>0</v>
      </c>
      <c r="Q105" t="n">
        <v>2</v>
      </c>
      <c r="R105" s="2" t="inlineStr">
        <is>
          <t>Lappranunkel
Ögonpyrola</t>
        </is>
      </c>
      <c r="S105">
        <f>HYPERLINK("https://klasma.github.io/Logging_2582/artfynd/A 59435-2024 artfynd.xlsx", "A 59435-2024")</f>
        <v/>
      </c>
      <c r="T105">
        <f>HYPERLINK("https://klasma.github.io/Logging_2582/kartor/A 59435-2024 karta.png", "A 59435-2024")</f>
        <v/>
      </c>
      <c r="V105">
        <f>HYPERLINK("https://klasma.github.io/Logging_2582/klagomål/A 59435-2024 FSC-klagomål.docx", "A 59435-2024")</f>
        <v/>
      </c>
      <c r="W105">
        <f>HYPERLINK("https://klasma.github.io/Logging_2582/klagomålsmail/A 59435-2024 FSC-klagomål mail.docx", "A 59435-2024")</f>
        <v/>
      </c>
      <c r="X105">
        <f>HYPERLINK("https://klasma.github.io/Logging_2582/tillsyn/A 59435-2024 tillsynsbegäran.docx", "A 59435-2024")</f>
        <v/>
      </c>
      <c r="Y105">
        <f>HYPERLINK("https://klasma.github.io/Logging_2582/tillsynsmail/A 59435-2024 tillsynsbegäran mail.docx", "A 59435-2024")</f>
        <v/>
      </c>
    </row>
    <row r="106" ht="15" customHeight="1">
      <c r="A106" t="inlineStr">
        <is>
          <t>A 6895-2025</t>
        </is>
      </c>
      <c r="B106" s="1" t="n">
        <v>45701</v>
      </c>
      <c r="C106" s="1" t="n">
        <v>45844</v>
      </c>
      <c r="D106" t="inlineStr">
        <is>
          <t>NORRBOTTENS LÄN</t>
        </is>
      </c>
      <c r="E106" t="inlineStr">
        <is>
          <t>BODEN</t>
        </is>
      </c>
      <c r="G106" t="n">
        <v>1.5</v>
      </c>
      <c r="H106" t="n">
        <v>1</v>
      </c>
      <c r="I106" t="n">
        <v>1</v>
      </c>
      <c r="J106" t="n">
        <v>1</v>
      </c>
      <c r="K106" t="n">
        <v>0</v>
      </c>
      <c r="L106" t="n">
        <v>0</v>
      </c>
      <c r="M106" t="n">
        <v>0</v>
      </c>
      <c r="N106" t="n">
        <v>0</v>
      </c>
      <c r="O106" t="n">
        <v>1</v>
      </c>
      <c r="P106" t="n">
        <v>0</v>
      </c>
      <c r="Q106" t="n">
        <v>2</v>
      </c>
      <c r="R106" s="2" t="inlineStr">
        <is>
          <t>Kolflarnlav
Plattlummer</t>
        </is>
      </c>
      <c r="S106">
        <f>HYPERLINK("https://klasma.github.io/Logging_2582/artfynd/A 6895-2025 artfynd.xlsx", "A 6895-2025")</f>
        <v/>
      </c>
      <c r="T106">
        <f>HYPERLINK("https://klasma.github.io/Logging_2582/kartor/A 6895-2025 karta.png", "A 6895-2025")</f>
        <v/>
      </c>
      <c r="V106">
        <f>HYPERLINK("https://klasma.github.io/Logging_2582/klagomål/A 6895-2025 FSC-klagomål.docx", "A 6895-2025")</f>
        <v/>
      </c>
      <c r="W106">
        <f>HYPERLINK("https://klasma.github.io/Logging_2582/klagomålsmail/A 6895-2025 FSC-klagomål mail.docx", "A 6895-2025")</f>
        <v/>
      </c>
      <c r="X106">
        <f>HYPERLINK("https://klasma.github.io/Logging_2582/tillsyn/A 6895-2025 tillsynsbegäran.docx", "A 6895-2025")</f>
        <v/>
      </c>
      <c r="Y106">
        <f>HYPERLINK("https://klasma.github.io/Logging_2582/tillsynsmail/A 6895-2025 tillsynsbegäran mail.docx", "A 6895-2025")</f>
        <v/>
      </c>
    </row>
    <row r="107" ht="15" customHeight="1">
      <c r="A107" t="inlineStr">
        <is>
          <t>A 9306-2025</t>
        </is>
      </c>
      <c r="B107" s="1" t="n">
        <v>45714</v>
      </c>
      <c r="C107" s="1" t="n">
        <v>45844</v>
      </c>
      <c r="D107" t="inlineStr">
        <is>
          <t>NORRBOTTENS LÄN</t>
        </is>
      </c>
      <c r="E107" t="inlineStr">
        <is>
          <t>BODEN</t>
        </is>
      </c>
      <c r="F107" t="inlineStr">
        <is>
          <t>SCA</t>
        </is>
      </c>
      <c r="G107" t="n">
        <v>11.7</v>
      </c>
      <c r="H107" t="n">
        <v>0</v>
      </c>
      <c r="I107" t="n">
        <v>0</v>
      </c>
      <c r="J107" t="n">
        <v>1</v>
      </c>
      <c r="K107" t="n">
        <v>1</v>
      </c>
      <c r="L107" t="n">
        <v>0</v>
      </c>
      <c r="M107" t="n">
        <v>0</v>
      </c>
      <c r="N107" t="n">
        <v>0</v>
      </c>
      <c r="O107" t="n">
        <v>2</v>
      </c>
      <c r="P107" t="n">
        <v>1</v>
      </c>
      <c r="Q107" t="n">
        <v>2</v>
      </c>
      <c r="R107" s="2" t="inlineStr">
        <is>
          <t>Rynkskinn
Lunglav</t>
        </is>
      </c>
      <c r="S107">
        <f>HYPERLINK("https://klasma.github.io/Logging_2582/artfynd/A 9306-2025 artfynd.xlsx", "A 9306-2025")</f>
        <v/>
      </c>
      <c r="T107">
        <f>HYPERLINK("https://klasma.github.io/Logging_2582/kartor/A 9306-2025 karta.png", "A 9306-2025")</f>
        <v/>
      </c>
      <c r="V107">
        <f>HYPERLINK("https://klasma.github.io/Logging_2582/klagomål/A 9306-2025 FSC-klagomål.docx", "A 9306-2025")</f>
        <v/>
      </c>
      <c r="W107">
        <f>HYPERLINK("https://klasma.github.io/Logging_2582/klagomålsmail/A 9306-2025 FSC-klagomål mail.docx", "A 9306-2025")</f>
        <v/>
      </c>
      <c r="X107">
        <f>HYPERLINK("https://klasma.github.io/Logging_2582/tillsyn/A 9306-2025 tillsynsbegäran.docx", "A 9306-2025")</f>
        <v/>
      </c>
      <c r="Y107">
        <f>HYPERLINK("https://klasma.github.io/Logging_2582/tillsynsmail/A 9306-2025 tillsynsbegäran mail.docx", "A 9306-2025")</f>
        <v/>
      </c>
    </row>
    <row r="108" ht="15" customHeight="1">
      <c r="A108" t="inlineStr">
        <is>
          <t>A 28267-2025</t>
        </is>
      </c>
      <c r="B108" s="1" t="n">
        <v>45818</v>
      </c>
      <c r="C108" s="1" t="n">
        <v>45844</v>
      </c>
      <c r="D108" t="inlineStr">
        <is>
          <t>NORRBOTTENS LÄN</t>
        </is>
      </c>
      <c r="E108" t="inlineStr">
        <is>
          <t>BODEN</t>
        </is>
      </c>
      <c r="F108" t="inlineStr">
        <is>
          <t>Sveaskog</t>
        </is>
      </c>
      <c r="G108" t="n">
        <v>2.6</v>
      </c>
      <c r="H108" t="n">
        <v>1</v>
      </c>
      <c r="I108" t="n">
        <v>0</v>
      </c>
      <c r="J108" t="n">
        <v>1</v>
      </c>
      <c r="K108" t="n">
        <v>1</v>
      </c>
      <c r="L108" t="n">
        <v>0</v>
      </c>
      <c r="M108" t="n">
        <v>0</v>
      </c>
      <c r="N108" t="n">
        <v>0</v>
      </c>
      <c r="O108" t="n">
        <v>2</v>
      </c>
      <c r="P108" t="n">
        <v>1</v>
      </c>
      <c r="Q108" t="n">
        <v>2</v>
      </c>
      <c r="R108" s="2" t="inlineStr">
        <is>
          <t>Doftticka
Lunglav</t>
        </is>
      </c>
      <c r="S108">
        <f>HYPERLINK("https://klasma.github.io/Logging_252582/artfynd/A 28267-2025 artfynd.xlsx", "A 28267-2025")</f>
        <v/>
      </c>
      <c r="T108">
        <f>HYPERLINK("https://klasma.github.io/Logging_252582/kartor/A 28267-2025 karta.png", "A 28267-2025")</f>
        <v/>
      </c>
      <c r="U108">
        <f>HYPERLINK("https://klasma.github.io/Logging_252582/knärot/A 28267-2025 karta knärot.png", "A 28267-2025")</f>
        <v/>
      </c>
      <c r="V108">
        <f>HYPERLINK("https://klasma.github.io/Logging_252582/klagomål/A 28267-2025 FSC-klagomål.docx", "A 28267-2025")</f>
        <v/>
      </c>
      <c r="W108">
        <f>HYPERLINK("https://klasma.github.io/Logging_252582/klagomålsmail/A 28267-2025 FSC-klagomål mail.docx", "A 28267-2025")</f>
        <v/>
      </c>
      <c r="X108">
        <f>HYPERLINK("https://klasma.github.io/Logging_252582/tillsyn/A 28267-2025 tillsynsbegäran.docx", "A 28267-2025")</f>
        <v/>
      </c>
      <c r="Y108">
        <f>HYPERLINK("https://klasma.github.io/Logging_252582/tillsynsmail/A 28267-2025 tillsynsbegäran mail.docx", "A 28267-2025")</f>
        <v/>
      </c>
    </row>
    <row r="109" ht="15" customHeight="1">
      <c r="A109" t="inlineStr">
        <is>
          <t>A 28867-2025</t>
        </is>
      </c>
      <c r="B109" s="1" t="n">
        <v>45820</v>
      </c>
      <c r="C109" s="1" t="n">
        <v>45844</v>
      </c>
      <c r="D109" t="inlineStr">
        <is>
          <t>NORRBOTTENS LÄN</t>
        </is>
      </c>
      <c r="E109" t="inlineStr">
        <is>
          <t>BODEN</t>
        </is>
      </c>
      <c r="F109" t="inlineStr">
        <is>
          <t>Sveaskog</t>
        </is>
      </c>
      <c r="G109" t="n">
        <v>8.199999999999999</v>
      </c>
      <c r="H109" t="n">
        <v>2</v>
      </c>
      <c r="I109" t="n">
        <v>0</v>
      </c>
      <c r="J109" t="n">
        <v>0</v>
      </c>
      <c r="K109" t="n">
        <v>1</v>
      </c>
      <c r="L109" t="n">
        <v>0</v>
      </c>
      <c r="M109" t="n">
        <v>0</v>
      </c>
      <c r="N109" t="n">
        <v>0</v>
      </c>
      <c r="O109" t="n">
        <v>1</v>
      </c>
      <c r="P109" t="n">
        <v>1</v>
      </c>
      <c r="Q109" t="n">
        <v>2</v>
      </c>
      <c r="R109" s="2" t="inlineStr">
        <is>
          <t>Knärot
Fläcknycklar</t>
        </is>
      </c>
      <c r="S109">
        <f>HYPERLINK("https://klasma.github.io/Logging_252582/artfynd/A 28867-2025 artfynd.xlsx", "A 28867-2025")</f>
        <v/>
      </c>
      <c r="T109">
        <f>HYPERLINK("https://klasma.github.io/Logging_252582/kartor/A 28867-2025 karta.png", "A 28867-2025")</f>
        <v/>
      </c>
      <c r="U109">
        <f>HYPERLINK("https://klasma.github.io/Logging_252582/knärot/A 28867-2025 karta knärot.png", "A 28867-2025")</f>
        <v/>
      </c>
      <c r="V109">
        <f>HYPERLINK("https://klasma.github.io/Logging_252582/klagomål/A 28867-2025 FSC-klagomål.docx", "A 28867-2025")</f>
        <v/>
      </c>
      <c r="W109">
        <f>HYPERLINK("https://klasma.github.io/Logging_252582/klagomålsmail/A 28867-2025 FSC-klagomål mail.docx", "A 28867-2025")</f>
        <v/>
      </c>
      <c r="X109">
        <f>HYPERLINK("https://klasma.github.io/Logging_252582/tillsyn/A 28867-2025 tillsynsbegäran.docx", "A 28867-2025")</f>
        <v/>
      </c>
      <c r="Y109">
        <f>HYPERLINK("https://klasma.github.io/Logging_252582/tillsynsmail/A 28867-2025 tillsynsbegäran mail.docx", "A 28867-2025")</f>
        <v/>
      </c>
    </row>
    <row r="110" ht="15" customHeight="1">
      <c r="A110" t="inlineStr">
        <is>
          <t>A 31358-2025</t>
        </is>
      </c>
      <c r="B110" s="1" t="n">
        <v>45833</v>
      </c>
      <c r="C110" s="1" t="n">
        <v>45844</v>
      </c>
      <c r="D110" t="inlineStr">
        <is>
          <t>NORRBOTTENS LÄN</t>
        </is>
      </c>
      <c r="E110" t="inlineStr">
        <is>
          <t>BODEN</t>
        </is>
      </c>
      <c r="F110" t="inlineStr">
        <is>
          <t>Sveaskog</t>
        </is>
      </c>
      <c r="G110" t="n">
        <v>9.300000000000001</v>
      </c>
      <c r="H110" t="n">
        <v>0</v>
      </c>
      <c r="I110" t="n">
        <v>0</v>
      </c>
      <c r="J110" t="n">
        <v>2</v>
      </c>
      <c r="K110" t="n">
        <v>0</v>
      </c>
      <c r="L110" t="n">
        <v>0</v>
      </c>
      <c r="M110" t="n">
        <v>0</v>
      </c>
      <c r="N110" t="n">
        <v>0</v>
      </c>
      <c r="O110" t="n">
        <v>2</v>
      </c>
      <c r="P110" t="n">
        <v>0</v>
      </c>
      <c r="Q110" t="n">
        <v>2</v>
      </c>
      <c r="R110" s="2" t="inlineStr">
        <is>
          <t>Gränsticka
Tallticka</t>
        </is>
      </c>
      <c r="S110">
        <f>HYPERLINK("https://klasma.github.io/Logging_252582/artfynd/A 31358-2025 artfynd.xlsx", "A 31358-2025")</f>
        <v/>
      </c>
      <c r="T110">
        <f>HYPERLINK("https://klasma.github.io/Logging_252582/kartor/A 31358-2025 karta.png", "A 31358-2025")</f>
        <v/>
      </c>
      <c r="V110">
        <f>HYPERLINK("https://klasma.github.io/Logging_252582/klagomål/A 31358-2025 FSC-klagomål.docx", "A 31358-2025")</f>
        <v/>
      </c>
      <c r="W110">
        <f>HYPERLINK("https://klasma.github.io/Logging_252582/klagomålsmail/A 31358-2025 FSC-klagomål mail.docx", "A 31358-2025")</f>
        <v/>
      </c>
      <c r="X110">
        <f>HYPERLINK("https://klasma.github.io/Logging_252582/tillsyn/A 31358-2025 tillsynsbegäran.docx", "A 31358-2025")</f>
        <v/>
      </c>
      <c r="Y110">
        <f>HYPERLINK("https://klasma.github.io/Logging_252582/tillsynsmail/A 31358-2025 tillsynsbegäran mail.docx", "A 31358-2025")</f>
        <v/>
      </c>
    </row>
    <row r="111" ht="15" customHeight="1">
      <c r="A111" t="inlineStr">
        <is>
          <t>A 31704-2025</t>
        </is>
      </c>
      <c r="B111" s="1" t="n">
        <v>45834</v>
      </c>
      <c r="C111" s="1" t="n">
        <v>45844</v>
      </c>
      <c r="D111" t="inlineStr">
        <is>
          <t>NORRBOTTENS LÄN</t>
        </is>
      </c>
      <c r="E111" t="inlineStr">
        <is>
          <t>BODEN</t>
        </is>
      </c>
      <c r="F111" t="inlineStr">
        <is>
          <t>Sveaskog</t>
        </is>
      </c>
      <c r="G111" t="n">
        <v>5.2</v>
      </c>
      <c r="H111" t="n">
        <v>2</v>
      </c>
      <c r="I111" t="n">
        <v>0</v>
      </c>
      <c r="J111" t="n">
        <v>1</v>
      </c>
      <c r="K111" t="n">
        <v>0</v>
      </c>
      <c r="L111" t="n">
        <v>0</v>
      </c>
      <c r="M111" t="n">
        <v>0</v>
      </c>
      <c r="N111" t="n">
        <v>0</v>
      </c>
      <c r="O111" t="n">
        <v>1</v>
      </c>
      <c r="P111" t="n">
        <v>0</v>
      </c>
      <c r="Q111" t="n">
        <v>2</v>
      </c>
      <c r="R111" s="2" t="inlineStr">
        <is>
          <t>Talltita
Grönsiska</t>
        </is>
      </c>
      <c r="S111">
        <f>HYPERLINK("https://klasma.github.io/Logging_252582/artfynd/A 31704-2025 artfynd.xlsx", "A 31704-2025")</f>
        <v/>
      </c>
      <c r="T111">
        <f>HYPERLINK("https://klasma.github.io/Logging_252582/kartor/A 31704-2025 karta.png", "A 31704-2025")</f>
        <v/>
      </c>
      <c r="V111">
        <f>HYPERLINK("https://klasma.github.io/Logging_252582/klagomål/A 31704-2025 FSC-klagomål.docx", "A 31704-2025")</f>
        <v/>
      </c>
      <c r="W111">
        <f>HYPERLINK("https://klasma.github.io/Logging_252582/klagomålsmail/A 31704-2025 FSC-klagomål mail.docx", "A 31704-2025")</f>
        <v/>
      </c>
      <c r="X111">
        <f>HYPERLINK("https://klasma.github.io/Logging_252582/tillsyn/A 31704-2025 tillsynsbegäran.docx", "A 31704-2025")</f>
        <v/>
      </c>
      <c r="Y111">
        <f>HYPERLINK("https://klasma.github.io/Logging_252582/tillsynsmail/A 31704-2025 tillsynsbegäran mail.docx", "A 31704-2025")</f>
        <v/>
      </c>
      <c r="Z111">
        <f>HYPERLINK("https://klasma.github.io/Logging_252582/fåglar/A 31704-2025 prioriterade fågelarter.docx", "A 31704-2025")</f>
        <v/>
      </c>
    </row>
    <row r="112" ht="15" customHeight="1">
      <c r="A112" t="inlineStr">
        <is>
          <t>A 33895-2025</t>
        </is>
      </c>
      <c r="B112" s="1" t="n">
        <v>45842</v>
      </c>
      <c r="C112" s="1" t="n">
        <v>45844</v>
      </c>
      <c r="D112" t="inlineStr">
        <is>
          <t>NORRBOTTENS LÄN</t>
        </is>
      </c>
      <c r="E112" t="inlineStr">
        <is>
          <t>BODEN</t>
        </is>
      </c>
      <c r="F112" t="inlineStr">
        <is>
          <t>Sveaskog</t>
        </is>
      </c>
      <c r="G112" t="n">
        <v>16.7</v>
      </c>
      <c r="H112" t="n">
        <v>2</v>
      </c>
      <c r="I112" t="n">
        <v>1</v>
      </c>
      <c r="J112" t="n">
        <v>0</v>
      </c>
      <c r="K112" t="n">
        <v>0</v>
      </c>
      <c r="L112" t="n">
        <v>0</v>
      </c>
      <c r="M112" t="n">
        <v>0</v>
      </c>
      <c r="N112" t="n">
        <v>0</v>
      </c>
      <c r="O112" t="n">
        <v>0</v>
      </c>
      <c r="P112" t="n">
        <v>0</v>
      </c>
      <c r="Q112" t="n">
        <v>2</v>
      </c>
      <c r="R112" s="2" t="inlineStr">
        <is>
          <t>Plattlummer
Fläcknycklar</t>
        </is>
      </c>
      <c r="S112">
        <f>HYPERLINK("https://klasma.github.io/Logging_252582/artfynd/A 33895-2025 artfynd.xlsx", "A 33895-2025")</f>
        <v/>
      </c>
      <c r="T112">
        <f>HYPERLINK("https://klasma.github.io/Logging_252582/kartor/A 33895-2025 karta.png", "A 33895-2025")</f>
        <v/>
      </c>
      <c r="V112">
        <f>HYPERLINK("https://klasma.github.io/Logging_252582/klagomål/A 33895-2025 FSC-klagomål.docx", "A 33895-2025")</f>
        <v/>
      </c>
      <c r="W112">
        <f>HYPERLINK("https://klasma.github.io/Logging_252582/klagomålsmail/A 33895-2025 FSC-klagomål mail.docx", "A 33895-2025")</f>
        <v/>
      </c>
      <c r="X112">
        <f>HYPERLINK("https://klasma.github.io/Logging_252582/tillsyn/A 33895-2025 tillsynsbegäran.docx", "A 33895-2025")</f>
        <v/>
      </c>
      <c r="Y112">
        <f>HYPERLINK("https://klasma.github.io/Logging_252582/tillsynsmail/A 33895-2025 tillsynsbegäran mail.docx", "A 33895-2025")</f>
        <v/>
      </c>
    </row>
    <row r="113" ht="15" customHeight="1">
      <c r="A113" t="inlineStr">
        <is>
          <t>A 35824-2019</t>
        </is>
      </c>
      <c r="B113" s="1" t="n">
        <v>43665</v>
      </c>
      <c r="C113" s="1" t="n">
        <v>45844</v>
      </c>
      <c r="D113" t="inlineStr">
        <is>
          <t>NORRBOTTENS LÄN</t>
        </is>
      </c>
      <c r="E113" t="inlineStr">
        <is>
          <t>BODEN</t>
        </is>
      </c>
      <c r="F113" t="inlineStr">
        <is>
          <t>Sveaskog</t>
        </is>
      </c>
      <c r="G113" t="n">
        <v>1.7</v>
      </c>
      <c r="H113" t="n">
        <v>0</v>
      </c>
      <c r="I113" t="n">
        <v>0</v>
      </c>
      <c r="J113" t="n">
        <v>1</v>
      </c>
      <c r="K113" t="n">
        <v>0</v>
      </c>
      <c r="L113" t="n">
        <v>0</v>
      </c>
      <c r="M113" t="n">
        <v>0</v>
      </c>
      <c r="N113" t="n">
        <v>0</v>
      </c>
      <c r="O113" t="n">
        <v>1</v>
      </c>
      <c r="P113" t="n">
        <v>0</v>
      </c>
      <c r="Q113" t="n">
        <v>1</v>
      </c>
      <c r="R113" s="2" t="inlineStr">
        <is>
          <t>Gammelgransskål</t>
        </is>
      </c>
      <c r="S113">
        <f>HYPERLINK("https://klasma.github.io/Logging_2582/artfynd/A 35824-2019 artfynd.xlsx", "A 35824-2019")</f>
        <v/>
      </c>
      <c r="T113">
        <f>HYPERLINK("https://klasma.github.io/Logging_2582/kartor/A 35824-2019 karta.png", "A 35824-2019")</f>
        <v/>
      </c>
      <c r="V113">
        <f>HYPERLINK("https://klasma.github.io/Logging_2582/klagomål/A 35824-2019 FSC-klagomål.docx", "A 35824-2019")</f>
        <v/>
      </c>
      <c r="W113">
        <f>HYPERLINK("https://klasma.github.io/Logging_2582/klagomålsmail/A 35824-2019 FSC-klagomål mail.docx", "A 35824-2019")</f>
        <v/>
      </c>
      <c r="X113">
        <f>HYPERLINK("https://klasma.github.io/Logging_2582/tillsyn/A 35824-2019 tillsynsbegäran.docx", "A 35824-2019")</f>
        <v/>
      </c>
      <c r="Y113">
        <f>HYPERLINK("https://klasma.github.io/Logging_2582/tillsynsmail/A 35824-2019 tillsynsbegäran mail.docx", "A 35824-2019")</f>
        <v/>
      </c>
    </row>
    <row r="114" ht="15" customHeight="1">
      <c r="A114" t="inlineStr">
        <is>
          <t>A 54126-2019</t>
        </is>
      </c>
      <c r="B114" s="1" t="n">
        <v>43752</v>
      </c>
      <c r="C114" s="1" t="n">
        <v>45844</v>
      </c>
      <c r="D114" t="inlineStr">
        <is>
          <t>NORRBOTTENS LÄN</t>
        </is>
      </c>
      <c r="E114" t="inlineStr">
        <is>
          <t>BODEN</t>
        </is>
      </c>
      <c r="F114" t="inlineStr">
        <is>
          <t>SCA</t>
        </is>
      </c>
      <c r="G114" t="n">
        <v>7.6</v>
      </c>
      <c r="H114" t="n">
        <v>1</v>
      </c>
      <c r="I114" t="n">
        <v>0</v>
      </c>
      <c r="J114" t="n">
        <v>0</v>
      </c>
      <c r="K114" t="n">
        <v>1</v>
      </c>
      <c r="L114" t="n">
        <v>0</v>
      </c>
      <c r="M114" t="n">
        <v>0</v>
      </c>
      <c r="N114" t="n">
        <v>0</v>
      </c>
      <c r="O114" t="n">
        <v>1</v>
      </c>
      <c r="P114" t="n">
        <v>1</v>
      </c>
      <c r="Q114" t="n">
        <v>1</v>
      </c>
      <c r="R114" s="2" t="inlineStr">
        <is>
          <t>Knärot</t>
        </is>
      </c>
      <c r="S114">
        <f>HYPERLINK("https://klasma.github.io/Logging_2582/artfynd/A 54126-2019 artfynd.xlsx", "A 54126-2019")</f>
        <v/>
      </c>
      <c r="T114">
        <f>HYPERLINK("https://klasma.github.io/Logging_2582/kartor/A 54126-2019 karta.png", "A 54126-2019")</f>
        <v/>
      </c>
      <c r="U114">
        <f>HYPERLINK("https://klasma.github.io/Logging_2582/knärot/A 54126-2019 karta knärot.png", "A 54126-2019")</f>
        <v/>
      </c>
      <c r="V114">
        <f>HYPERLINK("https://klasma.github.io/Logging_2582/klagomål/A 54126-2019 FSC-klagomål.docx", "A 54126-2019")</f>
        <v/>
      </c>
      <c r="W114">
        <f>HYPERLINK("https://klasma.github.io/Logging_2582/klagomålsmail/A 54126-2019 FSC-klagomål mail.docx", "A 54126-2019")</f>
        <v/>
      </c>
      <c r="X114">
        <f>HYPERLINK("https://klasma.github.io/Logging_2582/tillsyn/A 54126-2019 tillsynsbegäran.docx", "A 54126-2019")</f>
        <v/>
      </c>
      <c r="Y114">
        <f>HYPERLINK("https://klasma.github.io/Logging_2582/tillsynsmail/A 54126-2019 tillsynsbegäran mail.docx", "A 54126-2019")</f>
        <v/>
      </c>
    </row>
    <row r="115" ht="15" customHeight="1">
      <c r="A115" t="inlineStr">
        <is>
          <t>A 56937-2019</t>
        </is>
      </c>
      <c r="B115" s="1" t="n">
        <v>43759</v>
      </c>
      <c r="C115" s="1" t="n">
        <v>45844</v>
      </c>
      <c r="D115" t="inlineStr">
        <is>
          <t>NORRBOTTENS LÄN</t>
        </is>
      </c>
      <c r="E115" t="inlineStr">
        <is>
          <t>BODEN</t>
        </is>
      </c>
      <c r="G115" t="n">
        <v>11.2</v>
      </c>
      <c r="H115" t="n">
        <v>1</v>
      </c>
      <c r="I115" t="n">
        <v>0</v>
      </c>
      <c r="J115" t="n">
        <v>1</v>
      </c>
      <c r="K115" t="n">
        <v>0</v>
      </c>
      <c r="L115" t="n">
        <v>0</v>
      </c>
      <c r="M115" t="n">
        <v>0</v>
      </c>
      <c r="N115" t="n">
        <v>0</v>
      </c>
      <c r="O115" t="n">
        <v>1</v>
      </c>
      <c r="P115" t="n">
        <v>0</v>
      </c>
      <c r="Q115" t="n">
        <v>1</v>
      </c>
      <c r="R115" s="2" t="inlineStr">
        <is>
          <t>Rödvingetrast</t>
        </is>
      </c>
      <c r="S115">
        <f>HYPERLINK("https://klasma.github.io/Logging_2582/artfynd/A 56937-2019 artfynd.xlsx", "A 56937-2019")</f>
        <v/>
      </c>
      <c r="T115">
        <f>HYPERLINK("https://klasma.github.io/Logging_2582/kartor/A 56937-2019 karta.png", "A 56937-2019")</f>
        <v/>
      </c>
      <c r="V115">
        <f>HYPERLINK("https://klasma.github.io/Logging_2582/klagomål/A 56937-2019 FSC-klagomål.docx", "A 56937-2019")</f>
        <v/>
      </c>
      <c r="W115">
        <f>HYPERLINK("https://klasma.github.io/Logging_2582/klagomålsmail/A 56937-2019 FSC-klagomål mail.docx", "A 56937-2019")</f>
        <v/>
      </c>
      <c r="X115">
        <f>HYPERLINK("https://klasma.github.io/Logging_2582/tillsyn/A 56937-2019 tillsynsbegäran.docx", "A 56937-2019")</f>
        <v/>
      </c>
      <c r="Y115">
        <f>HYPERLINK("https://klasma.github.io/Logging_2582/tillsynsmail/A 56937-2019 tillsynsbegäran mail.docx", "A 56937-2019")</f>
        <v/>
      </c>
      <c r="Z115">
        <f>HYPERLINK("https://klasma.github.io/Logging_2582/fåglar/A 56937-2019 prioriterade fågelarter.docx", "A 56937-2019")</f>
        <v/>
      </c>
    </row>
    <row r="116" ht="15" customHeight="1">
      <c r="A116" t="inlineStr">
        <is>
          <t>A 62168-2019</t>
        </is>
      </c>
      <c r="B116" s="1" t="n">
        <v>43787</v>
      </c>
      <c r="C116" s="1" t="n">
        <v>45844</v>
      </c>
      <c r="D116" t="inlineStr">
        <is>
          <t>NORRBOTTENS LÄN</t>
        </is>
      </c>
      <c r="E116" t="inlineStr">
        <is>
          <t>BODEN</t>
        </is>
      </c>
      <c r="F116" t="inlineStr">
        <is>
          <t>SCA</t>
        </is>
      </c>
      <c r="G116" t="n">
        <v>1.3</v>
      </c>
      <c r="H116" t="n">
        <v>1</v>
      </c>
      <c r="I116" t="n">
        <v>0</v>
      </c>
      <c r="J116" t="n">
        <v>0</v>
      </c>
      <c r="K116" t="n">
        <v>1</v>
      </c>
      <c r="L116" t="n">
        <v>0</v>
      </c>
      <c r="M116" t="n">
        <v>0</v>
      </c>
      <c r="N116" t="n">
        <v>0</v>
      </c>
      <c r="O116" t="n">
        <v>1</v>
      </c>
      <c r="P116" t="n">
        <v>1</v>
      </c>
      <c r="Q116" t="n">
        <v>1</v>
      </c>
      <c r="R116" s="2" t="inlineStr">
        <is>
          <t>Knärot</t>
        </is>
      </c>
      <c r="S116">
        <f>HYPERLINK("https://klasma.github.io/Logging_2582/artfynd/A 62168-2019 artfynd.xlsx", "A 62168-2019")</f>
        <v/>
      </c>
      <c r="T116">
        <f>HYPERLINK("https://klasma.github.io/Logging_2582/kartor/A 62168-2019 karta.png", "A 62168-2019")</f>
        <v/>
      </c>
      <c r="U116">
        <f>HYPERLINK("https://klasma.github.io/Logging_2582/knärot/A 62168-2019 karta knärot.png", "A 62168-2019")</f>
        <v/>
      </c>
      <c r="V116">
        <f>HYPERLINK("https://klasma.github.io/Logging_2582/klagomål/A 62168-2019 FSC-klagomål.docx", "A 62168-2019")</f>
        <v/>
      </c>
      <c r="W116">
        <f>HYPERLINK("https://klasma.github.io/Logging_2582/klagomålsmail/A 62168-2019 FSC-klagomål mail.docx", "A 62168-2019")</f>
        <v/>
      </c>
      <c r="X116">
        <f>HYPERLINK("https://klasma.github.io/Logging_2582/tillsyn/A 62168-2019 tillsynsbegäran.docx", "A 62168-2019")</f>
        <v/>
      </c>
      <c r="Y116">
        <f>HYPERLINK("https://klasma.github.io/Logging_2582/tillsynsmail/A 62168-2019 tillsynsbegäran mail.docx", "A 62168-2019")</f>
        <v/>
      </c>
    </row>
    <row r="117" ht="15" customHeight="1">
      <c r="A117" t="inlineStr">
        <is>
          <t>A 64251-2019</t>
        </is>
      </c>
      <c r="B117" s="1" t="n">
        <v>43797</v>
      </c>
      <c r="C117" s="1" t="n">
        <v>45844</v>
      </c>
      <c r="D117" t="inlineStr">
        <is>
          <t>NORRBOTTENS LÄN</t>
        </is>
      </c>
      <c r="E117" t="inlineStr">
        <is>
          <t>BODEN</t>
        </is>
      </c>
      <c r="F117" t="inlineStr">
        <is>
          <t>Övriga Aktiebolag</t>
        </is>
      </c>
      <c r="G117" t="n">
        <v>10.7</v>
      </c>
      <c r="H117" t="n">
        <v>0</v>
      </c>
      <c r="I117" t="n">
        <v>0</v>
      </c>
      <c r="J117" t="n">
        <v>1</v>
      </c>
      <c r="K117" t="n">
        <v>0</v>
      </c>
      <c r="L117" t="n">
        <v>0</v>
      </c>
      <c r="M117" t="n">
        <v>0</v>
      </c>
      <c r="N117" t="n">
        <v>0</v>
      </c>
      <c r="O117" t="n">
        <v>1</v>
      </c>
      <c r="P117" t="n">
        <v>0</v>
      </c>
      <c r="Q117" t="n">
        <v>1</v>
      </c>
      <c r="R117" s="2" t="inlineStr">
        <is>
          <t>Garnlav</t>
        </is>
      </c>
      <c r="S117">
        <f>HYPERLINK("https://klasma.github.io/Logging_2582/artfynd/A 64251-2019 artfynd.xlsx", "A 64251-2019")</f>
        <v/>
      </c>
      <c r="T117">
        <f>HYPERLINK("https://klasma.github.io/Logging_2582/kartor/A 64251-2019 karta.png", "A 64251-2019")</f>
        <v/>
      </c>
      <c r="V117">
        <f>HYPERLINK("https://klasma.github.io/Logging_2582/klagomål/A 64251-2019 FSC-klagomål.docx", "A 64251-2019")</f>
        <v/>
      </c>
      <c r="W117">
        <f>HYPERLINK("https://klasma.github.io/Logging_2582/klagomålsmail/A 64251-2019 FSC-klagomål mail.docx", "A 64251-2019")</f>
        <v/>
      </c>
      <c r="X117">
        <f>HYPERLINK("https://klasma.github.io/Logging_2582/tillsyn/A 64251-2019 tillsynsbegäran.docx", "A 64251-2019")</f>
        <v/>
      </c>
      <c r="Y117">
        <f>HYPERLINK("https://klasma.github.io/Logging_2582/tillsynsmail/A 64251-2019 tillsynsbegäran mail.docx", "A 64251-2019")</f>
        <v/>
      </c>
    </row>
    <row r="118" ht="15" customHeight="1">
      <c r="A118" t="inlineStr">
        <is>
          <t>A 23473-2020</t>
        </is>
      </c>
      <c r="B118" s="1" t="n">
        <v>43966</v>
      </c>
      <c r="C118" s="1" t="n">
        <v>45844</v>
      </c>
      <c r="D118" t="inlineStr">
        <is>
          <t>NORRBOTTENS LÄN</t>
        </is>
      </c>
      <c r="E118" t="inlineStr">
        <is>
          <t>BODEN</t>
        </is>
      </c>
      <c r="G118" t="n">
        <v>24.7</v>
      </c>
      <c r="H118" t="n">
        <v>0</v>
      </c>
      <c r="I118" t="n">
        <v>0</v>
      </c>
      <c r="J118" t="n">
        <v>1</v>
      </c>
      <c r="K118" t="n">
        <v>0</v>
      </c>
      <c r="L118" t="n">
        <v>0</v>
      </c>
      <c r="M118" t="n">
        <v>0</v>
      </c>
      <c r="N118" t="n">
        <v>0</v>
      </c>
      <c r="O118" t="n">
        <v>1</v>
      </c>
      <c r="P118" t="n">
        <v>0</v>
      </c>
      <c r="Q118" t="n">
        <v>1</v>
      </c>
      <c r="R118" s="2" t="inlineStr">
        <is>
          <t>Lunglav</t>
        </is>
      </c>
      <c r="S118">
        <f>HYPERLINK("https://klasma.github.io/Logging_2582/artfynd/A 23473-2020 artfynd.xlsx", "A 23473-2020")</f>
        <v/>
      </c>
      <c r="T118">
        <f>HYPERLINK("https://klasma.github.io/Logging_2582/kartor/A 23473-2020 karta.png", "A 23473-2020")</f>
        <v/>
      </c>
      <c r="V118">
        <f>HYPERLINK("https://klasma.github.io/Logging_2582/klagomål/A 23473-2020 FSC-klagomål.docx", "A 23473-2020")</f>
        <v/>
      </c>
      <c r="W118">
        <f>HYPERLINK("https://klasma.github.io/Logging_2582/klagomålsmail/A 23473-2020 FSC-klagomål mail.docx", "A 23473-2020")</f>
        <v/>
      </c>
      <c r="X118">
        <f>HYPERLINK("https://klasma.github.io/Logging_2582/tillsyn/A 23473-2020 tillsynsbegäran.docx", "A 23473-2020")</f>
        <v/>
      </c>
      <c r="Y118">
        <f>HYPERLINK("https://klasma.github.io/Logging_2582/tillsynsmail/A 23473-2020 tillsynsbegäran mail.docx", "A 23473-2020")</f>
        <v/>
      </c>
    </row>
    <row r="119" ht="15" customHeight="1">
      <c r="A119" t="inlineStr">
        <is>
          <t>A 39034-2020</t>
        </is>
      </c>
      <c r="B119" s="1" t="n">
        <v>44062</v>
      </c>
      <c r="C119" s="1" t="n">
        <v>45844</v>
      </c>
      <c r="D119" t="inlineStr">
        <is>
          <t>NORRBOTTENS LÄN</t>
        </is>
      </c>
      <c r="E119" t="inlineStr">
        <is>
          <t>BODEN</t>
        </is>
      </c>
      <c r="F119" t="inlineStr">
        <is>
          <t>Sveaskog</t>
        </is>
      </c>
      <c r="G119" t="n">
        <v>17.7</v>
      </c>
      <c r="H119" t="n">
        <v>0</v>
      </c>
      <c r="I119" t="n">
        <v>0</v>
      </c>
      <c r="J119" t="n">
        <v>1</v>
      </c>
      <c r="K119" t="n">
        <v>0</v>
      </c>
      <c r="L119" t="n">
        <v>0</v>
      </c>
      <c r="M119" t="n">
        <v>0</v>
      </c>
      <c r="N119" t="n">
        <v>0</v>
      </c>
      <c r="O119" t="n">
        <v>1</v>
      </c>
      <c r="P119" t="n">
        <v>0</v>
      </c>
      <c r="Q119" t="n">
        <v>1</v>
      </c>
      <c r="R119" s="2" t="inlineStr">
        <is>
          <t>Kolflarnlav</t>
        </is>
      </c>
      <c r="S119">
        <f>HYPERLINK("https://klasma.github.io/Logging_2582/artfynd/A 39034-2020 artfynd.xlsx", "A 39034-2020")</f>
        <v/>
      </c>
      <c r="T119">
        <f>HYPERLINK("https://klasma.github.io/Logging_2582/kartor/A 39034-2020 karta.png", "A 39034-2020")</f>
        <v/>
      </c>
      <c r="V119">
        <f>HYPERLINK("https://klasma.github.io/Logging_2582/klagomål/A 39034-2020 FSC-klagomål.docx", "A 39034-2020")</f>
        <v/>
      </c>
      <c r="W119">
        <f>HYPERLINK("https://klasma.github.io/Logging_2582/klagomålsmail/A 39034-2020 FSC-klagomål mail.docx", "A 39034-2020")</f>
        <v/>
      </c>
      <c r="X119">
        <f>HYPERLINK("https://klasma.github.io/Logging_2582/tillsyn/A 39034-2020 tillsynsbegäran.docx", "A 39034-2020")</f>
        <v/>
      </c>
      <c r="Y119">
        <f>HYPERLINK("https://klasma.github.io/Logging_2582/tillsynsmail/A 39034-2020 tillsynsbegäran mail.docx", "A 39034-2020")</f>
        <v/>
      </c>
    </row>
    <row r="120" ht="15" customHeight="1">
      <c r="A120" t="inlineStr">
        <is>
          <t>A 39599-2020</t>
        </is>
      </c>
      <c r="B120" s="1" t="n">
        <v>44064</v>
      </c>
      <c r="C120" s="1" t="n">
        <v>45844</v>
      </c>
      <c r="D120" t="inlineStr">
        <is>
          <t>NORRBOTTENS LÄN</t>
        </is>
      </c>
      <c r="E120" t="inlineStr">
        <is>
          <t>BODEN</t>
        </is>
      </c>
      <c r="F120" t="inlineStr">
        <is>
          <t>Sveaskog</t>
        </is>
      </c>
      <c r="G120" t="n">
        <v>12.6</v>
      </c>
      <c r="H120" t="n">
        <v>1</v>
      </c>
      <c r="I120" t="n">
        <v>0</v>
      </c>
      <c r="J120" t="n">
        <v>0</v>
      </c>
      <c r="K120" t="n">
        <v>1</v>
      </c>
      <c r="L120" t="n">
        <v>0</v>
      </c>
      <c r="M120" t="n">
        <v>0</v>
      </c>
      <c r="N120" t="n">
        <v>0</v>
      </c>
      <c r="O120" t="n">
        <v>1</v>
      </c>
      <c r="P120" t="n">
        <v>1</v>
      </c>
      <c r="Q120" t="n">
        <v>1</v>
      </c>
      <c r="R120" s="2" t="inlineStr">
        <is>
          <t>Knärot</t>
        </is>
      </c>
      <c r="S120">
        <f>HYPERLINK("https://klasma.github.io/Logging_2582/artfynd/A 39599-2020 artfynd.xlsx", "A 39599-2020")</f>
        <v/>
      </c>
      <c r="T120">
        <f>HYPERLINK("https://klasma.github.io/Logging_2582/kartor/A 39599-2020 karta.png", "A 39599-2020")</f>
        <v/>
      </c>
      <c r="U120">
        <f>HYPERLINK("https://klasma.github.io/Logging_2582/knärot/A 39599-2020 karta knärot.png", "A 39599-2020")</f>
        <v/>
      </c>
      <c r="V120">
        <f>HYPERLINK("https://klasma.github.io/Logging_2582/klagomål/A 39599-2020 FSC-klagomål.docx", "A 39599-2020")</f>
        <v/>
      </c>
      <c r="W120">
        <f>HYPERLINK("https://klasma.github.io/Logging_2582/klagomålsmail/A 39599-2020 FSC-klagomål mail.docx", "A 39599-2020")</f>
        <v/>
      </c>
      <c r="X120">
        <f>HYPERLINK("https://klasma.github.io/Logging_2582/tillsyn/A 39599-2020 tillsynsbegäran.docx", "A 39599-2020")</f>
        <v/>
      </c>
      <c r="Y120">
        <f>HYPERLINK("https://klasma.github.io/Logging_2582/tillsynsmail/A 39599-2020 tillsynsbegäran mail.docx", "A 39599-2020")</f>
        <v/>
      </c>
    </row>
    <row r="121" ht="15" customHeight="1">
      <c r="A121" t="inlineStr">
        <is>
          <t>A 43643-2020</t>
        </is>
      </c>
      <c r="B121" s="1" t="n">
        <v>44082</v>
      </c>
      <c r="C121" s="1" t="n">
        <v>45844</v>
      </c>
      <c r="D121" t="inlineStr">
        <is>
          <t>NORRBOTTENS LÄN</t>
        </is>
      </c>
      <c r="E121" t="inlineStr">
        <is>
          <t>BODEN</t>
        </is>
      </c>
      <c r="F121" t="inlineStr">
        <is>
          <t>Sveaskog</t>
        </is>
      </c>
      <c r="G121" t="n">
        <v>3.2</v>
      </c>
      <c r="H121" t="n">
        <v>0</v>
      </c>
      <c r="I121" t="n">
        <v>0</v>
      </c>
      <c r="J121" t="n">
        <v>1</v>
      </c>
      <c r="K121" t="n">
        <v>0</v>
      </c>
      <c r="L121" t="n">
        <v>0</v>
      </c>
      <c r="M121" t="n">
        <v>0</v>
      </c>
      <c r="N121" t="n">
        <v>0</v>
      </c>
      <c r="O121" t="n">
        <v>1</v>
      </c>
      <c r="P121" t="n">
        <v>0</v>
      </c>
      <c r="Q121" t="n">
        <v>1</v>
      </c>
      <c r="R121" s="2" t="inlineStr">
        <is>
          <t>Blå taggsvamp</t>
        </is>
      </c>
      <c r="S121">
        <f>HYPERLINK("https://klasma.github.io/Logging_2582/artfynd/A 43643-2020 artfynd.xlsx", "A 43643-2020")</f>
        <v/>
      </c>
      <c r="T121">
        <f>HYPERLINK("https://klasma.github.io/Logging_2582/kartor/A 43643-2020 karta.png", "A 43643-2020")</f>
        <v/>
      </c>
      <c r="V121">
        <f>HYPERLINK("https://klasma.github.io/Logging_2582/klagomål/A 43643-2020 FSC-klagomål.docx", "A 43643-2020")</f>
        <v/>
      </c>
      <c r="W121">
        <f>HYPERLINK("https://klasma.github.io/Logging_2582/klagomålsmail/A 43643-2020 FSC-klagomål mail.docx", "A 43643-2020")</f>
        <v/>
      </c>
      <c r="X121">
        <f>HYPERLINK("https://klasma.github.io/Logging_2582/tillsyn/A 43643-2020 tillsynsbegäran.docx", "A 43643-2020")</f>
        <v/>
      </c>
      <c r="Y121">
        <f>HYPERLINK("https://klasma.github.io/Logging_2582/tillsynsmail/A 43643-2020 tillsynsbegäran mail.docx", "A 43643-2020")</f>
        <v/>
      </c>
    </row>
    <row r="122" ht="15" customHeight="1">
      <c r="A122" t="inlineStr">
        <is>
          <t>A 45184-2020</t>
        </is>
      </c>
      <c r="B122" s="1" t="n">
        <v>44088</v>
      </c>
      <c r="C122" s="1" t="n">
        <v>45844</v>
      </c>
      <c r="D122" t="inlineStr">
        <is>
          <t>NORRBOTTENS LÄN</t>
        </is>
      </c>
      <c r="E122" t="inlineStr">
        <is>
          <t>BODEN</t>
        </is>
      </c>
      <c r="F122" t="inlineStr">
        <is>
          <t>Sveaskog</t>
        </is>
      </c>
      <c r="G122" t="n">
        <v>4.6</v>
      </c>
      <c r="H122" t="n">
        <v>0</v>
      </c>
      <c r="I122" t="n">
        <v>0</v>
      </c>
      <c r="J122" t="n">
        <v>1</v>
      </c>
      <c r="K122" t="n">
        <v>0</v>
      </c>
      <c r="L122" t="n">
        <v>0</v>
      </c>
      <c r="M122" t="n">
        <v>0</v>
      </c>
      <c r="N122" t="n">
        <v>0</v>
      </c>
      <c r="O122" t="n">
        <v>1</v>
      </c>
      <c r="P122" t="n">
        <v>0</v>
      </c>
      <c r="Q122" t="n">
        <v>1</v>
      </c>
      <c r="R122" s="2" t="inlineStr">
        <is>
          <t>Gammelgransskål</t>
        </is>
      </c>
      <c r="S122">
        <f>HYPERLINK("https://klasma.github.io/Logging_2582/artfynd/A 45184-2020 artfynd.xlsx", "A 45184-2020")</f>
        <v/>
      </c>
      <c r="T122">
        <f>HYPERLINK("https://klasma.github.io/Logging_2582/kartor/A 45184-2020 karta.png", "A 45184-2020")</f>
        <v/>
      </c>
      <c r="V122">
        <f>HYPERLINK("https://klasma.github.io/Logging_2582/klagomål/A 45184-2020 FSC-klagomål.docx", "A 45184-2020")</f>
        <v/>
      </c>
      <c r="W122">
        <f>HYPERLINK("https://klasma.github.io/Logging_2582/klagomålsmail/A 45184-2020 FSC-klagomål mail.docx", "A 45184-2020")</f>
        <v/>
      </c>
      <c r="X122">
        <f>HYPERLINK("https://klasma.github.io/Logging_2582/tillsyn/A 45184-2020 tillsynsbegäran.docx", "A 45184-2020")</f>
        <v/>
      </c>
      <c r="Y122">
        <f>HYPERLINK("https://klasma.github.io/Logging_2582/tillsynsmail/A 45184-2020 tillsynsbegäran mail.docx", "A 45184-2020")</f>
        <v/>
      </c>
    </row>
    <row r="123" ht="15" customHeight="1">
      <c r="A123" t="inlineStr">
        <is>
          <t>A 30881-2021</t>
        </is>
      </c>
      <c r="B123" s="1" t="n">
        <v>44365</v>
      </c>
      <c r="C123" s="1" t="n">
        <v>45844</v>
      </c>
      <c r="D123" t="inlineStr">
        <is>
          <t>NORRBOTTENS LÄN</t>
        </is>
      </c>
      <c r="E123" t="inlineStr">
        <is>
          <t>BODEN</t>
        </is>
      </c>
      <c r="F123" t="inlineStr">
        <is>
          <t>Sveaskog</t>
        </is>
      </c>
      <c r="G123" t="n">
        <v>1</v>
      </c>
      <c r="H123" t="n">
        <v>0</v>
      </c>
      <c r="I123" t="n">
        <v>0</v>
      </c>
      <c r="J123" t="n">
        <v>0</v>
      </c>
      <c r="K123" t="n">
        <v>1</v>
      </c>
      <c r="L123" t="n">
        <v>0</v>
      </c>
      <c r="M123" t="n">
        <v>0</v>
      </c>
      <c r="N123" t="n">
        <v>0</v>
      </c>
      <c r="O123" t="n">
        <v>1</v>
      </c>
      <c r="P123" t="n">
        <v>1</v>
      </c>
      <c r="Q123" t="n">
        <v>1</v>
      </c>
      <c r="R123" s="2" t="inlineStr">
        <is>
          <t>Tallgråticka</t>
        </is>
      </c>
      <c r="S123">
        <f>HYPERLINK("https://klasma.github.io/Logging_2582/artfynd/A 30881-2021 artfynd.xlsx", "A 30881-2021")</f>
        <v/>
      </c>
      <c r="T123">
        <f>HYPERLINK("https://klasma.github.io/Logging_2582/kartor/A 30881-2021 karta.png", "A 30881-2021")</f>
        <v/>
      </c>
      <c r="V123">
        <f>HYPERLINK("https://klasma.github.io/Logging_2582/klagomål/A 30881-2021 FSC-klagomål.docx", "A 30881-2021")</f>
        <v/>
      </c>
      <c r="W123">
        <f>HYPERLINK("https://klasma.github.io/Logging_2582/klagomålsmail/A 30881-2021 FSC-klagomål mail.docx", "A 30881-2021")</f>
        <v/>
      </c>
      <c r="X123">
        <f>HYPERLINK("https://klasma.github.io/Logging_2582/tillsyn/A 30881-2021 tillsynsbegäran.docx", "A 30881-2021")</f>
        <v/>
      </c>
      <c r="Y123">
        <f>HYPERLINK("https://klasma.github.io/Logging_2582/tillsynsmail/A 30881-2021 tillsynsbegäran mail.docx", "A 30881-2021")</f>
        <v/>
      </c>
    </row>
    <row r="124" ht="15" customHeight="1">
      <c r="A124" t="inlineStr">
        <is>
          <t>A 30850-2021</t>
        </is>
      </c>
      <c r="B124" s="1" t="n">
        <v>44365</v>
      </c>
      <c r="C124" s="1" t="n">
        <v>45844</v>
      </c>
      <c r="D124" t="inlineStr">
        <is>
          <t>NORRBOTTENS LÄN</t>
        </is>
      </c>
      <c r="E124" t="inlineStr">
        <is>
          <t>BODEN</t>
        </is>
      </c>
      <c r="F124" t="inlineStr">
        <is>
          <t>Sveaskog</t>
        </is>
      </c>
      <c r="G124" t="n">
        <v>6.6</v>
      </c>
      <c r="H124" t="n">
        <v>0</v>
      </c>
      <c r="I124" t="n">
        <v>0</v>
      </c>
      <c r="J124" t="n">
        <v>1</v>
      </c>
      <c r="K124" t="n">
        <v>0</v>
      </c>
      <c r="L124" t="n">
        <v>0</v>
      </c>
      <c r="M124" t="n">
        <v>0</v>
      </c>
      <c r="N124" t="n">
        <v>0</v>
      </c>
      <c r="O124" t="n">
        <v>1</v>
      </c>
      <c r="P124" t="n">
        <v>0</v>
      </c>
      <c r="Q124" t="n">
        <v>1</v>
      </c>
      <c r="R124" s="2" t="inlineStr">
        <is>
          <t>Tallticka</t>
        </is>
      </c>
      <c r="S124">
        <f>HYPERLINK("https://klasma.github.io/Logging_2582/artfynd/A 30850-2021 artfynd.xlsx", "A 30850-2021")</f>
        <v/>
      </c>
      <c r="T124">
        <f>HYPERLINK("https://klasma.github.io/Logging_2582/kartor/A 30850-2021 karta.png", "A 30850-2021")</f>
        <v/>
      </c>
      <c r="V124">
        <f>HYPERLINK("https://klasma.github.io/Logging_2582/klagomål/A 30850-2021 FSC-klagomål.docx", "A 30850-2021")</f>
        <v/>
      </c>
      <c r="W124">
        <f>HYPERLINK("https://klasma.github.io/Logging_2582/klagomålsmail/A 30850-2021 FSC-klagomål mail.docx", "A 30850-2021")</f>
        <v/>
      </c>
      <c r="X124">
        <f>HYPERLINK("https://klasma.github.io/Logging_2582/tillsyn/A 30850-2021 tillsynsbegäran.docx", "A 30850-2021")</f>
        <v/>
      </c>
      <c r="Y124">
        <f>HYPERLINK("https://klasma.github.io/Logging_2582/tillsynsmail/A 30850-2021 tillsynsbegäran mail.docx", "A 30850-2021")</f>
        <v/>
      </c>
    </row>
    <row r="125" ht="15" customHeight="1">
      <c r="A125" t="inlineStr">
        <is>
          <t>A 40779-2021</t>
        </is>
      </c>
      <c r="B125" s="1" t="n">
        <v>44421</v>
      </c>
      <c r="C125" s="1" t="n">
        <v>45844</v>
      </c>
      <c r="D125" t="inlineStr">
        <is>
          <t>NORRBOTTENS LÄN</t>
        </is>
      </c>
      <c r="E125" t="inlineStr">
        <is>
          <t>BODEN</t>
        </is>
      </c>
      <c r="F125" t="inlineStr">
        <is>
          <t>Sveaskog</t>
        </is>
      </c>
      <c r="G125" t="n">
        <v>4.8</v>
      </c>
      <c r="H125" t="n">
        <v>0</v>
      </c>
      <c r="I125" t="n">
        <v>0</v>
      </c>
      <c r="J125" t="n">
        <v>1</v>
      </c>
      <c r="K125" t="n">
        <v>0</v>
      </c>
      <c r="L125" t="n">
        <v>0</v>
      </c>
      <c r="M125" t="n">
        <v>0</v>
      </c>
      <c r="N125" t="n">
        <v>0</v>
      </c>
      <c r="O125" t="n">
        <v>1</v>
      </c>
      <c r="P125" t="n">
        <v>0</v>
      </c>
      <c r="Q125" t="n">
        <v>1</v>
      </c>
      <c r="R125" s="2" t="inlineStr">
        <is>
          <t>Garnlav</t>
        </is>
      </c>
      <c r="S125">
        <f>HYPERLINK("https://klasma.github.io/Logging_2582/artfynd/A 40779-2021 artfynd.xlsx", "A 40779-2021")</f>
        <v/>
      </c>
      <c r="T125">
        <f>HYPERLINK("https://klasma.github.io/Logging_2582/kartor/A 40779-2021 karta.png", "A 40779-2021")</f>
        <v/>
      </c>
      <c r="V125">
        <f>HYPERLINK("https://klasma.github.io/Logging_2582/klagomål/A 40779-2021 FSC-klagomål.docx", "A 40779-2021")</f>
        <v/>
      </c>
      <c r="W125">
        <f>HYPERLINK("https://klasma.github.io/Logging_2582/klagomålsmail/A 40779-2021 FSC-klagomål mail.docx", "A 40779-2021")</f>
        <v/>
      </c>
      <c r="X125">
        <f>HYPERLINK("https://klasma.github.io/Logging_2582/tillsyn/A 40779-2021 tillsynsbegäran.docx", "A 40779-2021")</f>
        <v/>
      </c>
      <c r="Y125">
        <f>HYPERLINK("https://klasma.github.io/Logging_2582/tillsynsmail/A 40779-2021 tillsynsbegäran mail.docx", "A 40779-2021")</f>
        <v/>
      </c>
    </row>
    <row r="126" ht="15" customHeight="1">
      <c r="A126" t="inlineStr">
        <is>
          <t>A 46425-2021</t>
        </is>
      </c>
      <c r="B126" s="1" t="n">
        <v>44445</v>
      </c>
      <c r="C126" s="1" t="n">
        <v>45844</v>
      </c>
      <c r="D126" t="inlineStr">
        <is>
          <t>NORRBOTTENS LÄN</t>
        </is>
      </c>
      <c r="E126" t="inlineStr">
        <is>
          <t>BODEN</t>
        </is>
      </c>
      <c r="F126" t="inlineStr">
        <is>
          <t>Sveaskog</t>
        </is>
      </c>
      <c r="G126" t="n">
        <v>4.1</v>
      </c>
      <c r="H126" t="n">
        <v>1</v>
      </c>
      <c r="I126" t="n">
        <v>0</v>
      </c>
      <c r="J126" t="n">
        <v>1</v>
      </c>
      <c r="K126" t="n">
        <v>0</v>
      </c>
      <c r="L126" t="n">
        <v>0</v>
      </c>
      <c r="M126" t="n">
        <v>0</v>
      </c>
      <c r="N126" t="n">
        <v>0</v>
      </c>
      <c r="O126" t="n">
        <v>1</v>
      </c>
      <c r="P126" t="n">
        <v>0</v>
      </c>
      <c r="Q126" t="n">
        <v>1</v>
      </c>
      <c r="R126" s="2" t="inlineStr">
        <is>
          <t>Rödvingetrast</t>
        </is>
      </c>
      <c r="S126">
        <f>HYPERLINK("https://klasma.github.io/Logging_2582/artfynd/A 46425-2021 artfynd.xlsx", "A 46425-2021")</f>
        <v/>
      </c>
      <c r="T126">
        <f>HYPERLINK("https://klasma.github.io/Logging_2582/kartor/A 46425-2021 karta.png", "A 46425-2021")</f>
        <v/>
      </c>
      <c r="V126">
        <f>HYPERLINK("https://klasma.github.io/Logging_2582/klagomål/A 46425-2021 FSC-klagomål.docx", "A 46425-2021")</f>
        <v/>
      </c>
      <c r="W126">
        <f>HYPERLINK("https://klasma.github.io/Logging_2582/klagomålsmail/A 46425-2021 FSC-klagomål mail.docx", "A 46425-2021")</f>
        <v/>
      </c>
      <c r="X126">
        <f>HYPERLINK("https://klasma.github.io/Logging_2582/tillsyn/A 46425-2021 tillsynsbegäran.docx", "A 46425-2021")</f>
        <v/>
      </c>
      <c r="Y126">
        <f>HYPERLINK("https://klasma.github.io/Logging_2582/tillsynsmail/A 46425-2021 tillsynsbegäran mail.docx", "A 46425-2021")</f>
        <v/>
      </c>
      <c r="Z126">
        <f>HYPERLINK("https://klasma.github.io/Logging_2582/fåglar/A 46425-2021 prioriterade fågelarter.docx", "A 46425-2021")</f>
        <v/>
      </c>
    </row>
    <row r="127" ht="15" customHeight="1">
      <c r="A127" t="inlineStr">
        <is>
          <t>A 47030-2021</t>
        </is>
      </c>
      <c r="B127" s="1" t="n">
        <v>44446</v>
      </c>
      <c r="C127" s="1" t="n">
        <v>45844</v>
      </c>
      <c r="D127" t="inlineStr">
        <is>
          <t>NORRBOTTENS LÄN</t>
        </is>
      </c>
      <c r="E127" t="inlineStr">
        <is>
          <t>BODEN</t>
        </is>
      </c>
      <c r="G127" t="n">
        <v>3.3</v>
      </c>
      <c r="H127" t="n">
        <v>1</v>
      </c>
      <c r="I127" t="n">
        <v>0</v>
      </c>
      <c r="J127" t="n">
        <v>1</v>
      </c>
      <c r="K127" t="n">
        <v>0</v>
      </c>
      <c r="L127" t="n">
        <v>0</v>
      </c>
      <c r="M127" t="n">
        <v>0</v>
      </c>
      <c r="N127" t="n">
        <v>0</v>
      </c>
      <c r="O127" t="n">
        <v>1</v>
      </c>
      <c r="P127" t="n">
        <v>0</v>
      </c>
      <c r="Q127" t="n">
        <v>1</v>
      </c>
      <c r="R127" s="2" t="inlineStr">
        <is>
          <t>Svartvit flugsnappare</t>
        </is>
      </c>
      <c r="S127">
        <f>HYPERLINK("https://klasma.github.io/Logging_2582/artfynd/A 47030-2021 artfynd.xlsx", "A 47030-2021")</f>
        <v/>
      </c>
      <c r="T127">
        <f>HYPERLINK("https://klasma.github.io/Logging_2582/kartor/A 47030-2021 karta.png", "A 47030-2021")</f>
        <v/>
      </c>
      <c r="V127">
        <f>HYPERLINK("https://klasma.github.io/Logging_2582/klagomål/A 47030-2021 FSC-klagomål.docx", "A 47030-2021")</f>
        <v/>
      </c>
      <c r="W127">
        <f>HYPERLINK("https://klasma.github.io/Logging_2582/klagomålsmail/A 47030-2021 FSC-klagomål mail.docx", "A 47030-2021")</f>
        <v/>
      </c>
      <c r="X127">
        <f>HYPERLINK("https://klasma.github.io/Logging_2582/tillsyn/A 47030-2021 tillsynsbegäran.docx", "A 47030-2021")</f>
        <v/>
      </c>
      <c r="Y127">
        <f>HYPERLINK("https://klasma.github.io/Logging_2582/tillsynsmail/A 47030-2021 tillsynsbegäran mail.docx", "A 47030-2021")</f>
        <v/>
      </c>
      <c r="Z127">
        <f>HYPERLINK("https://klasma.github.io/Logging_2582/fåglar/A 47030-2021 prioriterade fågelarter.docx", "A 47030-2021")</f>
        <v/>
      </c>
    </row>
    <row r="128" ht="15" customHeight="1">
      <c r="A128" t="inlineStr">
        <is>
          <t>A 13647-2022</t>
        </is>
      </c>
      <c r="B128" s="1" t="n">
        <v>44648</v>
      </c>
      <c r="C128" s="1" t="n">
        <v>45844</v>
      </c>
      <c r="D128" t="inlineStr">
        <is>
          <t>NORRBOTTENS LÄN</t>
        </is>
      </c>
      <c r="E128" t="inlineStr">
        <is>
          <t>BODEN</t>
        </is>
      </c>
      <c r="F128" t="inlineStr">
        <is>
          <t>Sveaskog</t>
        </is>
      </c>
      <c r="G128" t="n">
        <v>3.8</v>
      </c>
      <c r="H128" t="n">
        <v>0</v>
      </c>
      <c r="I128" t="n">
        <v>0</v>
      </c>
      <c r="J128" t="n">
        <v>1</v>
      </c>
      <c r="K128" t="n">
        <v>0</v>
      </c>
      <c r="L128" t="n">
        <v>0</v>
      </c>
      <c r="M128" t="n">
        <v>0</v>
      </c>
      <c r="N128" t="n">
        <v>0</v>
      </c>
      <c r="O128" t="n">
        <v>1</v>
      </c>
      <c r="P128" t="n">
        <v>0</v>
      </c>
      <c r="Q128" t="n">
        <v>1</v>
      </c>
      <c r="R128" s="2" t="inlineStr">
        <is>
          <t>Gammelgransskål</t>
        </is>
      </c>
      <c r="S128">
        <f>HYPERLINK("https://klasma.github.io/Logging_2582/artfynd/A 13647-2022 artfynd.xlsx", "A 13647-2022")</f>
        <v/>
      </c>
      <c r="T128">
        <f>HYPERLINK("https://klasma.github.io/Logging_2582/kartor/A 13647-2022 karta.png", "A 13647-2022")</f>
        <v/>
      </c>
      <c r="V128">
        <f>HYPERLINK("https://klasma.github.io/Logging_2582/klagomål/A 13647-2022 FSC-klagomål.docx", "A 13647-2022")</f>
        <v/>
      </c>
      <c r="W128">
        <f>HYPERLINK("https://klasma.github.io/Logging_2582/klagomålsmail/A 13647-2022 FSC-klagomål mail.docx", "A 13647-2022")</f>
        <v/>
      </c>
      <c r="X128">
        <f>HYPERLINK("https://klasma.github.io/Logging_2582/tillsyn/A 13647-2022 tillsynsbegäran.docx", "A 13647-2022")</f>
        <v/>
      </c>
      <c r="Y128">
        <f>HYPERLINK("https://klasma.github.io/Logging_2582/tillsynsmail/A 13647-2022 tillsynsbegäran mail.docx", "A 13647-2022")</f>
        <v/>
      </c>
    </row>
    <row r="129" ht="15" customHeight="1">
      <c r="A129" t="inlineStr">
        <is>
          <t>A 19396-2022</t>
        </is>
      </c>
      <c r="B129" s="1" t="n">
        <v>44692</v>
      </c>
      <c r="C129" s="1" t="n">
        <v>45844</v>
      </c>
      <c r="D129" t="inlineStr">
        <is>
          <t>NORRBOTTENS LÄN</t>
        </is>
      </c>
      <c r="E129" t="inlineStr">
        <is>
          <t>BODEN</t>
        </is>
      </c>
      <c r="F129" t="inlineStr">
        <is>
          <t>SCA</t>
        </is>
      </c>
      <c r="G129" t="n">
        <v>13.1</v>
      </c>
      <c r="H129" t="n">
        <v>0</v>
      </c>
      <c r="I129" t="n">
        <v>0</v>
      </c>
      <c r="J129" t="n">
        <v>1</v>
      </c>
      <c r="K129" t="n">
        <v>0</v>
      </c>
      <c r="L129" t="n">
        <v>0</v>
      </c>
      <c r="M129" t="n">
        <v>0</v>
      </c>
      <c r="N129" t="n">
        <v>0</v>
      </c>
      <c r="O129" t="n">
        <v>1</v>
      </c>
      <c r="P129" t="n">
        <v>0</v>
      </c>
      <c r="Q129" t="n">
        <v>1</v>
      </c>
      <c r="R129" s="2" t="inlineStr">
        <is>
          <t>Tallticka</t>
        </is>
      </c>
      <c r="S129">
        <f>HYPERLINK("https://klasma.github.io/Logging_2582/artfynd/A 19396-2022 artfynd.xlsx", "A 19396-2022")</f>
        <v/>
      </c>
      <c r="T129">
        <f>HYPERLINK("https://klasma.github.io/Logging_2582/kartor/A 19396-2022 karta.png", "A 19396-2022")</f>
        <v/>
      </c>
      <c r="V129">
        <f>HYPERLINK("https://klasma.github.io/Logging_2582/klagomål/A 19396-2022 FSC-klagomål.docx", "A 19396-2022")</f>
        <v/>
      </c>
      <c r="W129">
        <f>HYPERLINK("https://klasma.github.io/Logging_2582/klagomålsmail/A 19396-2022 FSC-klagomål mail.docx", "A 19396-2022")</f>
        <v/>
      </c>
      <c r="X129">
        <f>HYPERLINK("https://klasma.github.io/Logging_2582/tillsyn/A 19396-2022 tillsynsbegäran.docx", "A 19396-2022")</f>
        <v/>
      </c>
      <c r="Y129">
        <f>HYPERLINK("https://klasma.github.io/Logging_2582/tillsynsmail/A 19396-2022 tillsynsbegäran mail.docx", "A 19396-2022")</f>
        <v/>
      </c>
    </row>
    <row r="130" ht="15" customHeight="1">
      <c r="A130" t="inlineStr">
        <is>
          <t>A 33740-2022</t>
        </is>
      </c>
      <c r="B130" s="1" t="n">
        <v>44790</v>
      </c>
      <c r="C130" s="1" t="n">
        <v>45844</v>
      </c>
      <c r="D130" t="inlineStr">
        <is>
          <t>NORRBOTTENS LÄN</t>
        </is>
      </c>
      <c r="E130" t="inlineStr">
        <is>
          <t>BODEN</t>
        </is>
      </c>
      <c r="F130" t="inlineStr">
        <is>
          <t>SCA</t>
        </is>
      </c>
      <c r="G130" t="n">
        <v>4.9</v>
      </c>
      <c r="H130" t="n">
        <v>1</v>
      </c>
      <c r="I130" t="n">
        <v>0</v>
      </c>
      <c r="J130" t="n">
        <v>0</v>
      </c>
      <c r="K130" t="n">
        <v>0</v>
      </c>
      <c r="L130" t="n">
        <v>0</v>
      </c>
      <c r="M130" t="n">
        <v>0</v>
      </c>
      <c r="N130" t="n">
        <v>0</v>
      </c>
      <c r="O130" t="n">
        <v>0</v>
      </c>
      <c r="P130" t="n">
        <v>0</v>
      </c>
      <c r="Q130" t="n">
        <v>1</v>
      </c>
      <c r="R130" s="2" t="inlineStr">
        <is>
          <t>Revlummer</t>
        </is>
      </c>
      <c r="S130">
        <f>HYPERLINK("https://klasma.github.io/Logging_2582/artfynd/A 33740-2022 artfynd.xlsx", "A 33740-2022")</f>
        <v/>
      </c>
      <c r="T130">
        <f>HYPERLINK("https://klasma.github.io/Logging_2582/kartor/A 33740-2022 karta.png", "A 33740-2022")</f>
        <v/>
      </c>
      <c r="V130">
        <f>HYPERLINK("https://klasma.github.io/Logging_2582/klagomål/A 33740-2022 FSC-klagomål.docx", "A 33740-2022")</f>
        <v/>
      </c>
      <c r="W130">
        <f>HYPERLINK("https://klasma.github.io/Logging_2582/klagomålsmail/A 33740-2022 FSC-klagomål mail.docx", "A 33740-2022")</f>
        <v/>
      </c>
      <c r="X130">
        <f>HYPERLINK("https://klasma.github.io/Logging_2582/tillsyn/A 33740-2022 tillsynsbegäran.docx", "A 33740-2022")</f>
        <v/>
      </c>
      <c r="Y130">
        <f>HYPERLINK("https://klasma.github.io/Logging_2582/tillsynsmail/A 33740-2022 tillsynsbegäran mail.docx", "A 33740-2022")</f>
        <v/>
      </c>
    </row>
    <row r="131" ht="15" customHeight="1">
      <c r="A131" t="inlineStr">
        <is>
          <t>A 35037-2022</t>
        </is>
      </c>
      <c r="B131" s="1" t="n">
        <v>44796</v>
      </c>
      <c r="C131" s="1" t="n">
        <v>45844</v>
      </c>
      <c r="D131" t="inlineStr">
        <is>
          <t>NORRBOTTENS LÄN</t>
        </is>
      </c>
      <c r="E131" t="inlineStr">
        <is>
          <t>BODEN</t>
        </is>
      </c>
      <c r="G131" t="n">
        <v>0.6</v>
      </c>
      <c r="H131" t="n">
        <v>1</v>
      </c>
      <c r="I131" t="n">
        <v>0</v>
      </c>
      <c r="J131" t="n">
        <v>1</v>
      </c>
      <c r="K131" t="n">
        <v>0</v>
      </c>
      <c r="L131" t="n">
        <v>0</v>
      </c>
      <c r="M131" t="n">
        <v>0</v>
      </c>
      <c r="N131" t="n">
        <v>0</v>
      </c>
      <c r="O131" t="n">
        <v>1</v>
      </c>
      <c r="P131" t="n">
        <v>0</v>
      </c>
      <c r="Q131" t="n">
        <v>1</v>
      </c>
      <c r="R131" s="2" t="inlineStr">
        <is>
          <t>Rödvingetrast</t>
        </is>
      </c>
      <c r="S131">
        <f>HYPERLINK("https://klasma.github.io/Logging_2582/artfynd/A 35037-2022 artfynd.xlsx", "A 35037-2022")</f>
        <v/>
      </c>
      <c r="T131">
        <f>HYPERLINK("https://klasma.github.io/Logging_2582/kartor/A 35037-2022 karta.png", "A 35037-2022")</f>
        <v/>
      </c>
      <c r="V131">
        <f>HYPERLINK("https://klasma.github.io/Logging_2582/klagomål/A 35037-2022 FSC-klagomål.docx", "A 35037-2022")</f>
        <v/>
      </c>
      <c r="W131">
        <f>HYPERLINK("https://klasma.github.io/Logging_2582/klagomålsmail/A 35037-2022 FSC-klagomål mail.docx", "A 35037-2022")</f>
        <v/>
      </c>
      <c r="X131">
        <f>HYPERLINK("https://klasma.github.io/Logging_2582/tillsyn/A 35037-2022 tillsynsbegäran.docx", "A 35037-2022")</f>
        <v/>
      </c>
      <c r="Y131">
        <f>HYPERLINK("https://klasma.github.io/Logging_2582/tillsynsmail/A 35037-2022 tillsynsbegäran mail.docx", "A 35037-2022")</f>
        <v/>
      </c>
      <c r="Z131">
        <f>HYPERLINK("https://klasma.github.io/Logging_2582/fåglar/A 35037-2022 prioriterade fågelarter.docx", "A 35037-2022")</f>
        <v/>
      </c>
    </row>
    <row r="132" ht="15" customHeight="1">
      <c r="A132" t="inlineStr">
        <is>
          <t>A 44255-2022</t>
        </is>
      </c>
      <c r="B132" s="1" t="n">
        <v>44839</v>
      </c>
      <c r="C132" s="1" t="n">
        <v>45844</v>
      </c>
      <c r="D132" t="inlineStr">
        <is>
          <t>NORRBOTTENS LÄN</t>
        </is>
      </c>
      <c r="E132" t="inlineStr">
        <is>
          <t>BODEN</t>
        </is>
      </c>
      <c r="F132" t="inlineStr">
        <is>
          <t>Sveaskog</t>
        </is>
      </c>
      <c r="G132" t="n">
        <v>4.2</v>
      </c>
      <c r="H132" t="n">
        <v>1</v>
      </c>
      <c r="I132" t="n">
        <v>0</v>
      </c>
      <c r="J132" t="n">
        <v>0</v>
      </c>
      <c r="K132" t="n">
        <v>0</v>
      </c>
      <c r="L132" t="n">
        <v>0</v>
      </c>
      <c r="M132" t="n">
        <v>0</v>
      </c>
      <c r="N132" t="n">
        <v>0</v>
      </c>
      <c r="O132" t="n">
        <v>0</v>
      </c>
      <c r="P132" t="n">
        <v>0</v>
      </c>
      <c r="Q132" t="n">
        <v>1</v>
      </c>
      <c r="R132" s="2" t="inlineStr">
        <is>
          <t>Revlummer</t>
        </is>
      </c>
      <c r="S132">
        <f>HYPERLINK("https://klasma.github.io/Logging_2582/artfynd/A 44255-2022 artfynd.xlsx", "A 44255-2022")</f>
        <v/>
      </c>
      <c r="T132">
        <f>HYPERLINK("https://klasma.github.io/Logging_2582/kartor/A 44255-2022 karta.png", "A 44255-2022")</f>
        <v/>
      </c>
      <c r="V132">
        <f>HYPERLINK("https://klasma.github.io/Logging_2582/klagomål/A 44255-2022 FSC-klagomål.docx", "A 44255-2022")</f>
        <v/>
      </c>
      <c r="W132">
        <f>HYPERLINK("https://klasma.github.io/Logging_2582/klagomålsmail/A 44255-2022 FSC-klagomål mail.docx", "A 44255-2022")</f>
        <v/>
      </c>
      <c r="X132">
        <f>HYPERLINK("https://klasma.github.io/Logging_2582/tillsyn/A 44255-2022 tillsynsbegäran.docx", "A 44255-2022")</f>
        <v/>
      </c>
      <c r="Y132">
        <f>HYPERLINK("https://klasma.github.io/Logging_2582/tillsynsmail/A 44255-2022 tillsynsbegäran mail.docx", "A 44255-2022")</f>
        <v/>
      </c>
    </row>
    <row r="133" ht="15" customHeight="1">
      <c r="A133" t="inlineStr">
        <is>
          <t>A 44768-2022</t>
        </is>
      </c>
      <c r="B133" s="1" t="n">
        <v>44840</v>
      </c>
      <c r="C133" s="1" t="n">
        <v>45844</v>
      </c>
      <c r="D133" t="inlineStr">
        <is>
          <t>NORRBOTTENS LÄN</t>
        </is>
      </c>
      <c r="E133" t="inlineStr">
        <is>
          <t>BODEN</t>
        </is>
      </c>
      <c r="F133" t="inlineStr">
        <is>
          <t>SCA</t>
        </is>
      </c>
      <c r="G133" t="n">
        <v>6.1</v>
      </c>
      <c r="H133" t="n">
        <v>0</v>
      </c>
      <c r="I133" t="n">
        <v>0</v>
      </c>
      <c r="J133" t="n">
        <v>1</v>
      </c>
      <c r="K133" t="n">
        <v>0</v>
      </c>
      <c r="L133" t="n">
        <v>0</v>
      </c>
      <c r="M133" t="n">
        <v>0</v>
      </c>
      <c r="N133" t="n">
        <v>0</v>
      </c>
      <c r="O133" t="n">
        <v>1</v>
      </c>
      <c r="P133" t="n">
        <v>0</v>
      </c>
      <c r="Q133" t="n">
        <v>1</v>
      </c>
      <c r="R133" s="2" t="inlineStr">
        <is>
          <t>Motaggsvamp</t>
        </is>
      </c>
      <c r="S133">
        <f>HYPERLINK("https://klasma.github.io/Logging_2582/artfynd/A 44768-2022 artfynd.xlsx", "A 44768-2022")</f>
        <v/>
      </c>
      <c r="T133">
        <f>HYPERLINK("https://klasma.github.io/Logging_2582/kartor/A 44768-2022 karta.png", "A 44768-2022")</f>
        <v/>
      </c>
      <c r="V133">
        <f>HYPERLINK("https://klasma.github.io/Logging_2582/klagomål/A 44768-2022 FSC-klagomål.docx", "A 44768-2022")</f>
        <v/>
      </c>
      <c r="W133">
        <f>HYPERLINK("https://klasma.github.io/Logging_2582/klagomålsmail/A 44768-2022 FSC-klagomål mail.docx", "A 44768-2022")</f>
        <v/>
      </c>
      <c r="X133">
        <f>HYPERLINK("https://klasma.github.io/Logging_2582/tillsyn/A 44768-2022 tillsynsbegäran.docx", "A 44768-2022")</f>
        <v/>
      </c>
      <c r="Y133">
        <f>HYPERLINK("https://klasma.github.io/Logging_2582/tillsynsmail/A 44768-2022 tillsynsbegäran mail.docx", "A 44768-2022")</f>
        <v/>
      </c>
    </row>
    <row r="134" ht="15" customHeight="1">
      <c r="A134" t="inlineStr">
        <is>
          <t>A 45941-2022</t>
        </is>
      </c>
      <c r="B134" s="1" t="n">
        <v>44846</v>
      </c>
      <c r="C134" s="1" t="n">
        <v>45844</v>
      </c>
      <c r="D134" t="inlineStr">
        <is>
          <t>NORRBOTTENS LÄN</t>
        </is>
      </c>
      <c r="E134" t="inlineStr">
        <is>
          <t>BODEN</t>
        </is>
      </c>
      <c r="F134" t="inlineStr">
        <is>
          <t>Sveaskog</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HYPERLINK("https://klasma.github.io/Logging_2582/artfynd/A 45941-2022 artfynd.xlsx", "A 45941-2022")</f>
        <v/>
      </c>
      <c r="T134">
        <f>HYPERLINK("https://klasma.github.io/Logging_2582/kartor/A 45941-2022 karta.png", "A 45941-2022")</f>
        <v/>
      </c>
      <c r="V134">
        <f>HYPERLINK("https://klasma.github.io/Logging_2582/klagomål/A 45941-2022 FSC-klagomål.docx", "A 45941-2022")</f>
        <v/>
      </c>
      <c r="W134">
        <f>HYPERLINK("https://klasma.github.io/Logging_2582/klagomålsmail/A 45941-2022 FSC-klagomål mail.docx", "A 45941-2022")</f>
        <v/>
      </c>
      <c r="X134">
        <f>HYPERLINK("https://klasma.github.io/Logging_2582/tillsyn/A 45941-2022 tillsynsbegäran.docx", "A 45941-2022")</f>
        <v/>
      </c>
      <c r="Y134">
        <f>HYPERLINK("https://klasma.github.io/Logging_2582/tillsynsmail/A 45941-2022 tillsynsbegäran mail.docx", "A 45941-2022")</f>
        <v/>
      </c>
    </row>
    <row r="135" ht="15" customHeight="1">
      <c r="A135" t="inlineStr">
        <is>
          <t>A 47498-2022</t>
        </is>
      </c>
      <c r="B135" s="1" t="n">
        <v>44853</v>
      </c>
      <c r="C135" s="1" t="n">
        <v>45844</v>
      </c>
      <c r="D135" t="inlineStr">
        <is>
          <t>NORRBOTTENS LÄN</t>
        </is>
      </c>
      <c r="E135" t="inlineStr">
        <is>
          <t>BODEN</t>
        </is>
      </c>
      <c r="F135" t="inlineStr">
        <is>
          <t>Kommuner</t>
        </is>
      </c>
      <c r="G135" t="n">
        <v>2.6</v>
      </c>
      <c r="H135" t="n">
        <v>1</v>
      </c>
      <c r="I135" t="n">
        <v>0</v>
      </c>
      <c r="J135" t="n">
        <v>1</v>
      </c>
      <c r="K135" t="n">
        <v>0</v>
      </c>
      <c r="L135" t="n">
        <v>0</v>
      </c>
      <c r="M135" t="n">
        <v>0</v>
      </c>
      <c r="N135" t="n">
        <v>0</v>
      </c>
      <c r="O135" t="n">
        <v>1</v>
      </c>
      <c r="P135" t="n">
        <v>0</v>
      </c>
      <c r="Q135" t="n">
        <v>1</v>
      </c>
      <c r="R135" s="2" t="inlineStr">
        <is>
          <t>Spillkråka</t>
        </is>
      </c>
      <c r="S135">
        <f>HYPERLINK("https://klasma.github.io/Logging_2582/artfynd/A 47498-2022 artfynd.xlsx", "A 47498-2022")</f>
        <v/>
      </c>
      <c r="T135">
        <f>HYPERLINK("https://klasma.github.io/Logging_2582/kartor/A 47498-2022 karta.png", "A 47498-2022")</f>
        <v/>
      </c>
      <c r="V135">
        <f>HYPERLINK("https://klasma.github.io/Logging_2582/klagomål/A 47498-2022 FSC-klagomål.docx", "A 47498-2022")</f>
        <v/>
      </c>
      <c r="W135">
        <f>HYPERLINK("https://klasma.github.io/Logging_2582/klagomålsmail/A 47498-2022 FSC-klagomål mail.docx", "A 47498-2022")</f>
        <v/>
      </c>
      <c r="X135">
        <f>HYPERLINK("https://klasma.github.io/Logging_2582/tillsyn/A 47498-2022 tillsynsbegäran.docx", "A 47498-2022")</f>
        <v/>
      </c>
      <c r="Y135">
        <f>HYPERLINK("https://klasma.github.io/Logging_2582/tillsynsmail/A 47498-2022 tillsynsbegäran mail.docx", "A 47498-2022")</f>
        <v/>
      </c>
      <c r="Z135">
        <f>HYPERLINK("https://klasma.github.io/Logging_2582/fåglar/A 47498-2022 prioriterade fågelarter.docx", "A 47498-2022")</f>
        <v/>
      </c>
    </row>
    <row r="136" ht="15" customHeight="1">
      <c r="A136" t="inlineStr">
        <is>
          <t>A 54181-2022</t>
        </is>
      </c>
      <c r="B136" s="1" t="n">
        <v>44881</v>
      </c>
      <c r="C136" s="1" t="n">
        <v>45844</v>
      </c>
      <c r="D136" t="inlineStr">
        <is>
          <t>NORRBOTTENS LÄN</t>
        </is>
      </c>
      <c r="E136" t="inlineStr">
        <is>
          <t>BODEN</t>
        </is>
      </c>
      <c r="F136" t="inlineStr">
        <is>
          <t>Sveaskog</t>
        </is>
      </c>
      <c r="G136" t="n">
        <v>3.3</v>
      </c>
      <c r="H136" t="n">
        <v>0</v>
      </c>
      <c r="I136" t="n">
        <v>0</v>
      </c>
      <c r="J136" t="n">
        <v>1</v>
      </c>
      <c r="K136" t="n">
        <v>0</v>
      </c>
      <c r="L136" t="n">
        <v>0</v>
      </c>
      <c r="M136" t="n">
        <v>0</v>
      </c>
      <c r="N136" t="n">
        <v>0</v>
      </c>
      <c r="O136" t="n">
        <v>1</v>
      </c>
      <c r="P136" t="n">
        <v>0</v>
      </c>
      <c r="Q136" t="n">
        <v>1</v>
      </c>
      <c r="R136" s="2" t="inlineStr">
        <is>
          <t>Lunglav</t>
        </is>
      </c>
      <c r="S136">
        <f>HYPERLINK("https://klasma.github.io/Logging_2582/artfynd/A 54181-2022 artfynd.xlsx", "A 54181-2022")</f>
        <v/>
      </c>
      <c r="T136">
        <f>HYPERLINK("https://klasma.github.io/Logging_2582/kartor/A 54181-2022 karta.png", "A 54181-2022")</f>
        <v/>
      </c>
      <c r="V136">
        <f>HYPERLINK("https://klasma.github.io/Logging_2582/klagomål/A 54181-2022 FSC-klagomål.docx", "A 54181-2022")</f>
        <v/>
      </c>
      <c r="W136">
        <f>HYPERLINK("https://klasma.github.io/Logging_2582/klagomålsmail/A 54181-2022 FSC-klagomål mail.docx", "A 54181-2022")</f>
        <v/>
      </c>
      <c r="X136">
        <f>HYPERLINK("https://klasma.github.io/Logging_2582/tillsyn/A 54181-2022 tillsynsbegäran.docx", "A 54181-2022")</f>
        <v/>
      </c>
      <c r="Y136">
        <f>HYPERLINK("https://klasma.github.io/Logging_2582/tillsynsmail/A 54181-2022 tillsynsbegäran mail.docx", "A 54181-2022")</f>
        <v/>
      </c>
    </row>
    <row r="137" ht="15" customHeight="1">
      <c r="A137" t="inlineStr">
        <is>
          <t>A 61496-2022</t>
        </is>
      </c>
      <c r="B137" s="1" t="n">
        <v>44910</v>
      </c>
      <c r="C137" s="1" t="n">
        <v>45844</v>
      </c>
      <c r="D137" t="inlineStr">
        <is>
          <t>NORRBOTTENS LÄN</t>
        </is>
      </c>
      <c r="E137" t="inlineStr">
        <is>
          <t>BODEN</t>
        </is>
      </c>
      <c r="F137" t="inlineStr">
        <is>
          <t>Sveaskog</t>
        </is>
      </c>
      <c r="G137" t="n">
        <v>2.8</v>
      </c>
      <c r="H137" t="n">
        <v>0</v>
      </c>
      <c r="I137" t="n">
        <v>0</v>
      </c>
      <c r="J137" t="n">
        <v>1</v>
      </c>
      <c r="K137" t="n">
        <v>0</v>
      </c>
      <c r="L137" t="n">
        <v>0</v>
      </c>
      <c r="M137" t="n">
        <v>0</v>
      </c>
      <c r="N137" t="n">
        <v>0</v>
      </c>
      <c r="O137" t="n">
        <v>1</v>
      </c>
      <c r="P137" t="n">
        <v>0</v>
      </c>
      <c r="Q137" t="n">
        <v>1</v>
      </c>
      <c r="R137" s="2" t="inlineStr">
        <is>
          <t>Gammelgransskål</t>
        </is>
      </c>
      <c r="S137">
        <f>HYPERLINK("https://klasma.github.io/Logging_2582/artfynd/A 61496-2022 artfynd.xlsx", "A 61496-2022")</f>
        <v/>
      </c>
      <c r="T137">
        <f>HYPERLINK("https://klasma.github.io/Logging_2582/kartor/A 61496-2022 karta.png", "A 61496-2022")</f>
        <v/>
      </c>
      <c r="V137">
        <f>HYPERLINK("https://klasma.github.io/Logging_2582/klagomål/A 61496-2022 FSC-klagomål.docx", "A 61496-2022")</f>
        <v/>
      </c>
      <c r="W137">
        <f>HYPERLINK("https://klasma.github.io/Logging_2582/klagomålsmail/A 61496-2022 FSC-klagomål mail.docx", "A 61496-2022")</f>
        <v/>
      </c>
      <c r="X137">
        <f>HYPERLINK("https://klasma.github.io/Logging_2582/tillsyn/A 61496-2022 tillsynsbegäran.docx", "A 61496-2022")</f>
        <v/>
      </c>
      <c r="Y137">
        <f>HYPERLINK("https://klasma.github.io/Logging_2582/tillsynsmail/A 61496-2022 tillsynsbegäran mail.docx", "A 61496-2022")</f>
        <v/>
      </c>
    </row>
    <row r="138" ht="15" customHeight="1">
      <c r="A138" t="inlineStr">
        <is>
          <t>A 6239-2023</t>
        </is>
      </c>
      <c r="B138" s="1" t="n">
        <v>44964</v>
      </c>
      <c r="C138" s="1" t="n">
        <v>45844</v>
      </c>
      <c r="D138" t="inlineStr">
        <is>
          <t>NORRBOTTENS LÄN</t>
        </is>
      </c>
      <c r="E138" t="inlineStr">
        <is>
          <t>BODEN</t>
        </is>
      </c>
      <c r="F138" t="inlineStr">
        <is>
          <t>SCA</t>
        </is>
      </c>
      <c r="G138" t="n">
        <v>7.3</v>
      </c>
      <c r="H138" t="n">
        <v>0</v>
      </c>
      <c r="I138" t="n">
        <v>0</v>
      </c>
      <c r="J138" t="n">
        <v>0</v>
      </c>
      <c r="K138" t="n">
        <v>1</v>
      </c>
      <c r="L138" t="n">
        <v>0</v>
      </c>
      <c r="M138" t="n">
        <v>0</v>
      </c>
      <c r="N138" t="n">
        <v>0</v>
      </c>
      <c r="O138" t="n">
        <v>1</v>
      </c>
      <c r="P138" t="n">
        <v>1</v>
      </c>
      <c r="Q138" t="n">
        <v>1</v>
      </c>
      <c r="R138" s="2" t="inlineStr">
        <is>
          <t>Liten aspgelélav</t>
        </is>
      </c>
      <c r="S138">
        <f>HYPERLINK("https://klasma.github.io/Logging_2582/artfynd/A 6239-2023 artfynd.xlsx", "A 6239-2023")</f>
        <v/>
      </c>
      <c r="T138">
        <f>HYPERLINK("https://klasma.github.io/Logging_2582/kartor/A 6239-2023 karta.png", "A 6239-2023")</f>
        <v/>
      </c>
      <c r="V138">
        <f>HYPERLINK("https://klasma.github.io/Logging_2582/klagomål/A 6239-2023 FSC-klagomål.docx", "A 6239-2023")</f>
        <v/>
      </c>
      <c r="W138">
        <f>HYPERLINK("https://klasma.github.io/Logging_2582/klagomålsmail/A 6239-2023 FSC-klagomål mail.docx", "A 6239-2023")</f>
        <v/>
      </c>
      <c r="X138">
        <f>HYPERLINK("https://klasma.github.io/Logging_2582/tillsyn/A 6239-2023 tillsynsbegäran.docx", "A 6239-2023")</f>
        <v/>
      </c>
      <c r="Y138">
        <f>HYPERLINK("https://klasma.github.io/Logging_2582/tillsynsmail/A 6239-2023 tillsynsbegäran mail.docx", "A 6239-2023")</f>
        <v/>
      </c>
    </row>
    <row r="139" ht="15" customHeight="1">
      <c r="A139" t="inlineStr">
        <is>
          <t>A 11208-2023</t>
        </is>
      </c>
      <c r="B139" s="1" t="n">
        <v>44992</v>
      </c>
      <c r="C139" s="1" t="n">
        <v>45844</v>
      </c>
      <c r="D139" t="inlineStr">
        <is>
          <t>NORRBOTTENS LÄN</t>
        </is>
      </c>
      <c r="E139" t="inlineStr">
        <is>
          <t>BODEN</t>
        </is>
      </c>
      <c r="G139" t="n">
        <v>14.9</v>
      </c>
      <c r="H139" t="n">
        <v>0</v>
      </c>
      <c r="I139" t="n">
        <v>1</v>
      </c>
      <c r="J139" t="n">
        <v>0</v>
      </c>
      <c r="K139" t="n">
        <v>0</v>
      </c>
      <c r="L139" t="n">
        <v>0</v>
      </c>
      <c r="M139" t="n">
        <v>0</v>
      </c>
      <c r="N139" t="n">
        <v>0</v>
      </c>
      <c r="O139" t="n">
        <v>0</v>
      </c>
      <c r="P139" t="n">
        <v>0</v>
      </c>
      <c r="Q139" t="n">
        <v>1</v>
      </c>
      <c r="R139" s="2" t="inlineStr">
        <is>
          <t>Ögonpyrola</t>
        </is>
      </c>
      <c r="S139">
        <f>HYPERLINK("https://klasma.github.io/Logging_2582/artfynd/A 11208-2023 artfynd.xlsx", "A 11208-2023")</f>
        <v/>
      </c>
      <c r="T139">
        <f>HYPERLINK("https://klasma.github.io/Logging_2582/kartor/A 11208-2023 karta.png", "A 11208-2023")</f>
        <v/>
      </c>
      <c r="V139">
        <f>HYPERLINK("https://klasma.github.io/Logging_2582/klagomål/A 11208-2023 FSC-klagomål.docx", "A 11208-2023")</f>
        <v/>
      </c>
      <c r="W139">
        <f>HYPERLINK("https://klasma.github.io/Logging_2582/klagomålsmail/A 11208-2023 FSC-klagomål mail.docx", "A 11208-2023")</f>
        <v/>
      </c>
      <c r="X139">
        <f>HYPERLINK("https://klasma.github.io/Logging_2582/tillsyn/A 11208-2023 tillsynsbegäran.docx", "A 11208-2023")</f>
        <v/>
      </c>
      <c r="Y139">
        <f>HYPERLINK("https://klasma.github.io/Logging_2582/tillsynsmail/A 11208-2023 tillsynsbegäran mail.docx", "A 11208-2023")</f>
        <v/>
      </c>
    </row>
    <row r="140" ht="15" customHeight="1">
      <c r="A140" t="inlineStr">
        <is>
          <t>A 21019-2023</t>
        </is>
      </c>
      <c r="B140" s="1" t="n">
        <v>45056</v>
      </c>
      <c r="C140" s="1" t="n">
        <v>45844</v>
      </c>
      <c r="D140" t="inlineStr">
        <is>
          <t>NORRBOTTENS LÄN</t>
        </is>
      </c>
      <c r="E140" t="inlineStr">
        <is>
          <t>BODEN</t>
        </is>
      </c>
      <c r="G140" t="n">
        <v>7.5</v>
      </c>
      <c r="H140" t="n">
        <v>1</v>
      </c>
      <c r="I140" t="n">
        <v>0</v>
      </c>
      <c r="J140" t="n">
        <v>0</v>
      </c>
      <c r="K140" t="n">
        <v>0</v>
      </c>
      <c r="L140" t="n">
        <v>0</v>
      </c>
      <c r="M140" t="n">
        <v>0</v>
      </c>
      <c r="N140" t="n">
        <v>0</v>
      </c>
      <c r="O140" t="n">
        <v>0</v>
      </c>
      <c r="P140" t="n">
        <v>0</v>
      </c>
      <c r="Q140" t="n">
        <v>1</v>
      </c>
      <c r="R140" s="2" t="inlineStr">
        <is>
          <t>Sångsvan</t>
        </is>
      </c>
      <c r="S140">
        <f>HYPERLINK("https://klasma.github.io/Logging_2582/artfynd/A 21019-2023 artfynd.xlsx", "A 21019-2023")</f>
        <v/>
      </c>
      <c r="T140">
        <f>HYPERLINK("https://klasma.github.io/Logging_2582/kartor/A 21019-2023 karta.png", "A 21019-2023")</f>
        <v/>
      </c>
      <c r="V140">
        <f>HYPERLINK("https://klasma.github.io/Logging_2582/klagomål/A 21019-2023 FSC-klagomål.docx", "A 21019-2023")</f>
        <v/>
      </c>
      <c r="W140">
        <f>HYPERLINK("https://klasma.github.io/Logging_2582/klagomålsmail/A 21019-2023 FSC-klagomål mail.docx", "A 21019-2023")</f>
        <v/>
      </c>
      <c r="X140">
        <f>HYPERLINK("https://klasma.github.io/Logging_2582/tillsyn/A 21019-2023 tillsynsbegäran.docx", "A 21019-2023")</f>
        <v/>
      </c>
      <c r="Y140">
        <f>HYPERLINK("https://klasma.github.io/Logging_2582/tillsynsmail/A 21019-2023 tillsynsbegäran mail.docx", "A 21019-2023")</f>
        <v/>
      </c>
      <c r="Z140">
        <f>HYPERLINK("https://klasma.github.io/Logging_2582/fåglar/A 21019-2023 prioriterade fågelarter.docx", "A 21019-2023")</f>
        <v/>
      </c>
    </row>
    <row r="141" ht="15" customHeight="1">
      <c r="A141" t="inlineStr">
        <is>
          <t>A 26966-2023</t>
        </is>
      </c>
      <c r="B141" s="1" t="n">
        <v>45093</v>
      </c>
      <c r="C141" s="1" t="n">
        <v>45844</v>
      </c>
      <c r="D141" t="inlineStr">
        <is>
          <t>NORRBOTTENS LÄN</t>
        </is>
      </c>
      <c r="E141" t="inlineStr">
        <is>
          <t>BODEN</t>
        </is>
      </c>
      <c r="F141" t="inlineStr">
        <is>
          <t>Sveaskog</t>
        </is>
      </c>
      <c r="G141" t="n">
        <v>19.1</v>
      </c>
      <c r="H141" t="n">
        <v>1</v>
      </c>
      <c r="I141" t="n">
        <v>0</v>
      </c>
      <c r="J141" t="n">
        <v>1</v>
      </c>
      <c r="K141" t="n">
        <v>0</v>
      </c>
      <c r="L141" t="n">
        <v>0</v>
      </c>
      <c r="M141" t="n">
        <v>0</v>
      </c>
      <c r="N141" t="n">
        <v>0</v>
      </c>
      <c r="O141" t="n">
        <v>1</v>
      </c>
      <c r="P141" t="n">
        <v>0</v>
      </c>
      <c r="Q141" t="n">
        <v>1</v>
      </c>
      <c r="R141" s="2" t="inlineStr">
        <is>
          <t>Talltita</t>
        </is>
      </c>
      <c r="S141">
        <f>HYPERLINK("https://klasma.github.io/Logging_2582/artfynd/A 26966-2023 artfynd.xlsx", "A 26966-2023")</f>
        <v/>
      </c>
      <c r="T141">
        <f>HYPERLINK("https://klasma.github.io/Logging_2582/kartor/A 26966-2023 karta.png", "A 26966-2023")</f>
        <v/>
      </c>
      <c r="V141">
        <f>HYPERLINK("https://klasma.github.io/Logging_2582/klagomål/A 26966-2023 FSC-klagomål.docx", "A 26966-2023")</f>
        <v/>
      </c>
      <c r="W141">
        <f>HYPERLINK("https://klasma.github.io/Logging_2582/klagomålsmail/A 26966-2023 FSC-klagomål mail.docx", "A 26966-2023")</f>
        <v/>
      </c>
      <c r="X141">
        <f>HYPERLINK("https://klasma.github.io/Logging_2582/tillsyn/A 26966-2023 tillsynsbegäran.docx", "A 26966-2023")</f>
        <v/>
      </c>
      <c r="Y141">
        <f>HYPERLINK("https://klasma.github.io/Logging_2582/tillsynsmail/A 26966-2023 tillsynsbegäran mail.docx", "A 26966-2023")</f>
        <v/>
      </c>
      <c r="Z141">
        <f>HYPERLINK("https://klasma.github.io/Logging_2582/fåglar/A 26966-2023 prioriterade fågelarter.docx", "A 26966-2023")</f>
        <v/>
      </c>
    </row>
    <row r="142" ht="15" customHeight="1">
      <c r="A142" t="inlineStr">
        <is>
          <t>A 27804-2023</t>
        </is>
      </c>
      <c r="B142" s="1" t="n">
        <v>45098</v>
      </c>
      <c r="C142" s="1" t="n">
        <v>45844</v>
      </c>
      <c r="D142" t="inlineStr">
        <is>
          <t>NORRBOTTENS LÄN</t>
        </is>
      </c>
      <c r="E142" t="inlineStr">
        <is>
          <t>BODEN</t>
        </is>
      </c>
      <c r="F142" t="inlineStr">
        <is>
          <t>Sveaskog</t>
        </is>
      </c>
      <c r="G142" t="n">
        <v>21</v>
      </c>
      <c r="H142" t="n">
        <v>1</v>
      </c>
      <c r="I142" t="n">
        <v>0</v>
      </c>
      <c r="J142" t="n">
        <v>0</v>
      </c>
      <c r="K142" t="n">
        <v>1</v>
      </c>
      <c r="L142" t="n">
        <v>0</v>
      </c>
      <c r="M142" t="n">
        <v>0</v>
      </c>
      <c r="N142" t="n">
        <v>0</v>
      </c>
      <c r="O142" t="n">
        <v>1</v>
      </c>
      <c r="P142" t="n">
        <v>1</v>
      </c>
      <c r="Q142" t="n">
        <v>1</v>
      </c>
      <c r="R142" s="2" t="inlineStr">
        <is>
          <t>Doftticka</t>
        </is>
      </c>
      <c r="S142">
        <f>HYPERLINK("https://klasma.github.io/Logging_2582/artfynd/A 27804-2023 artfynd.xlsx", "A 27804-2023")</f>
        <v/>
      </c>
      <c r="T142">
        <f>HYPERLINK("https://klasma.github.io/Logging_2582/kartor/A 27804-2023 karta.png", "A 27804-2023")</f>
        <v/>
      </c>
      <c r="V142">
        <f>HYPERLINK("https://klasma.github.io/Logging_2582/klagomål/A 27804-2023 FSC-klagomål.docx", "A 27804-2023")</f>
        <v/>
      </c>
      <c r="W142">
        <f>HYPERLINK("https://klasma.github.io/Logging_2582/klagomålsmail/A 27804-2023 FSC-klagomål mail.docx", "A 27804-2023")</f>
        <v/>
      </c>
      <c r="X142">
        <f>HYPERLINK("https://klasma.github.io/Logging_2582/tillsyn/A 27804-2023 tillsynsbegäran.docx", "A 27804-2023")</f>
        <v/>
      </c>
      <c r="Y142">
        <f>HYPERLINK("https://klasma.github.io/Logging_2582/tillsynsmail/A 27804-2023 tillsynsbegäran mail.docx", "A 27804-2023")</f>
        <v/>
      </c>
    </row>
    <row r="143" ht="15" customHeight="1">
      <c r="A143" t="inlineStr">
        <is>
          <t>A 28772-2023</t>
        </is>
      </c>
      <c r="B143" s="1" t="n">
        <v>45104</v>
      </c>
      <c r="C143" s="1" t="n">
        <v>45844</v>
      </c>
      <c r="D143" t="inlineStr">
        <is>
          <t>NORRBOTTENS LÄN</t>
        </is>
      </c>
      <c r="E143" t="inlineStr">
        <is>
          <t>BODEN</t>
        </is>
      </c>
      <c r="F143" t="inlineStr">
        <is>
          <t>Sveaskog</t>
        </is>
      </c>
      <c r="G143" t="n">
        <v>9</v>
      </c>
      <c r="H143" t="n">
        <v>0</v>
      </c>
      <c r="I143" t="n">
        <v>1</v>
      </c>
      <c r="J143" t="n">
        <v>0</v>
      </c>
      <c r="K143" t="n">
        <v>0</v>
      </c>
      <c r="L143" t="n">
        <v>0</v>
      </c>
      <c r="M143" t="n">
        <v>0</v>
      </c>
      <c r="N143" t="n">
        <v>0</v>
      </c>
      <c r="O143" t="n">
        <v>0</v>
      </c>
      <c r="P143" t="n">
        <v>0</v>
      </c>
      <c r="Q143" t="n">
        <v>1</v>
      </c>
      <c r="R143" s="2" t="inlineStr">
        <is>
          <t>Bollvitmossa</t>
        </is>
      </c>
      <c r="S143">
        <f>HYPERLINK("https://klasma.github.io/Logging_2582/artfynd/A 28772-2023 artfynd.xlsx", "A 28772-2023")</f>
        <v/>
      </c>
      <c r="T143">
        <f>HYPERLINK("https://klasma.github.io/Logging_2582/kartor/A 28772-2023 karta.png", "A 28772-2023")</f>
        <v/>
      </c>
      <c r="V143">
        <f>HYPERLINK("https://klasma.github.io/Logging_2582/klagomål/A 28772-2023 FSC-klagomål.docx", "A 28772-2023")</f>
        <v/>
      </c>
      <c r="W143">
        <f>HYPERLINK("https://klasma.github.io/Logging_2582/klagomålsmail/A 28772-2023 FSC-klagomål mail.docx", "A 28772-2023")</f>
        <v/>
      </c>
      <c r="X143">
        <f>HYPERLINK("https://klasma.github.io/Logging_2582/tillsyn/A 28772-2023 tillsynsbegäran.docx", "A 28772-2023")</f>
        <v/>
      </c>
      <c r="Y143">
        <f>HYPERLINK("https://klasma.github.io/Logging_2582/tillsynsmail/A 28772-2023 tillsynsbegäran mail.docx", "A 28772-2023")</f>
        <v/>
      </c>
    </row>
    <row r="144" ht="15" customHeight="1">
      <c r="A144" t="inlineStr">
        <is>
          <t>A 39450-2023</t>
        </is>
      </c>
      <c r="B144" s="1" t="n">
        <v>45166</v>
      </c>
      <c r="C144" s="1" t="n">
        <v>45844</v>
      </c>
      <c r="D144" t="inlineStr">
        <is>
          <t>NORRBOTTENS LÄN</t>
        </is>
      </c>
      <c r="E144" t="inlineStr">
        <is>
          <t>BODEN</t>
        </is>
      </c>
      <c r="F144" t="inlineStr">
        <is>
          <t>Sveaskog</t>
        </is>
      </c>
      <c r="G144" t="n">
        <v>14.6</v>
      </c>
      <c r="H144" t="n">
        <v>0</v>
      </c>
      <c r="I144" t="n">
        <v>0</v>
      </c>
      <c r="J144" t="n">
        <v>1</v>
      </c>
      <c r="K144" t="n">
        <v>0</v>
      </c>
      <c r="L144" t="n">
        <v>0</v>
      </c>
      <c r="M144" t="n">
        <v>0</v>
      </c>
      <c r="N144" t="n">
        <v>0</v>
      </c>
      <c r="O144" t="n">
        <v>1</v>
      </c>
      <c r="P144" t="n">
        <v>0</v>
      </c>
      <c r="Q144" t="n">
        <v>1</v>
      </c>
      <c r="R144" s="2" t="inlineStr">
        <is>
          <t>Kolflarnlav</t>
        </is>
      </c>
      <c r="S144">
        <f>HYPERLINK("https://klasma.github.io/Logging_2582/artfynd/A 39450-2023 artfynd.xlsx", "A 39450-2023")</f>
        <v/>
      </c>
      <c r="T144">
        <f>HYPERLINK("https://klasma.github.io/Logging_2582/kartor/A 39450-2023 karta.png", "A 39450-2023")</f>
        <v/>
      </c>
      <c r="V144">
        <f>HYPERLINK("https://klasma.github.io/Logging_2582/klagomål/A 39450-2023 FSC-klagomål.docx", "A 39450-2023")</f>
        <v/>
      </c>
      <c r="W144">
        <f>HYPERLINK("https://klasma.github.io/Logging_2582/klagomålsmail/A 39450-2023 FSC-klagomål mail.docx", "A 39450-2023")</f>
        <v/>
      </c>
      <c r="X144">
        <f>HYPERLINK("https://klasma.github.io/Logging_2582/tillsyn/A 39450-2023 tillsynsbegäran.docx", "A 39450-2023")</f>
        <v/>
      </c>
      <c r="Y144">
        <f>HYPERLINK("https://klasma.github.io/Logging_2582/tillsynsmail/A 39450-2023 tillsynsbegäran mail.docx", "A 39450-2023")</f>
        <v/>
      </c>
    </row>
    <row r="145" ht="15" customHeight="1">
      <c r="A145" t="inlineStr">
        <is>
          <t>A 48418-2023</t>
        </is>
      </c>
      <c r="B145" s="1" t="n">
        <v>45205</v>
      </c>
      <c r="C145" s="1" t="n">
        <v>45844</v>
      </c>
      <c r="D145" t="inlineStr">
        <is>
          <t>NORRBOTTENS LÄN</t>
        </is>
      </c>
      <c r="E145" t="inlineStr">
        <is>
          <t>BODEN</t>
        </is>
      </c>
      <c r="F145" t="inlineStr">
        <is>
          <t>SCA</t>
        </is>
      </c>
      <c r="G145" t="n">
        <v>3.6</v>
      </c>
      <c r="H145" t="n">
        <v>1</v>
      </c>
      <c r="I145" t="n">
        <v>0</v>
      </c>
      <c r="J145" t="n">
        <v>1</v>
      </c>
      <c r="K145" t="n">
        <v>0</v>
      </c>
      <c r="L145" t="n">
        <v>0</v>
      </c>
      <c r="M145" t="n">
        <v>0</v>
      </c>
      <c r="N145" t="n">
        <v>0</v>
      </c>
      <c r="O145" t="n">
        <v>1</v>
      </c>
      <c r="P145" t="n">
        <v>0</v>
      </c>
      <c r="Q145" t="n">
        <v>1</v>
      </c>
      <c r="R145" s="2" t="inlineStr">
        <is>
          <t>Duvhök</t>
        </is>
      </c>
      <c r="S145">
        <f>HYPERLINK("https://klasma.github.io/Logging_2582/artfynd/A 48418-2023 artfynd.xlsx", "A 48418-2023")</f>
        <v/>
      </c>
      <c r="T145">
        <f>HYPERLINK("https://klasma.github.io/Logging_2582/kartor/A 48418-2023 karta.png", "A 48418-2023")</f>
        <v/>
      </c>
      <c r="V145">
        <f>HYPERLINK("https://klasma.github.io/Logging_2582/klagomål/A 48418-2023 FSC-klagomål.docx", "A 48418-2023")</f>
        <v/>
      </c>
      <c r="W145">
        <f>HYPERLINK("https://klasma.github.io/Logging_2582/klagomålsmail/A 48418-2023 FSC-klagomål mail.docx", "A 48418-2023")</f>
        <v/>
      </c>
      <c r="X145">
        <f>HYPERLINK("https://klasma.github.io/Logging_2582/tillsyn/A 48418-2023 tillsynsbegäran.docx", "A 48418-2023")</f>
        <v/>
      </c>
      <c r="Y145">
        <f>HYPERLINK("https://klasma.github.io/Logging_2582/tillsynsmail/A 48418-2023 tillsynsbegäran mail.docx", "A 48418-2023")</f>
        <v/>
      </c>
      <c r="Z145">
        <f>HYPERLINK("https://klasma.github.io/Logging_2582/fåglar/A 48418-2023 prioriterade fågelarter.docx", "A 48418-2023")</f>
        <v/>
      </c>
    </row>
    <row r="146" ht="15" customHeight="1">
      <c r="A146" t="inlineStr">
        <is>
          <t>A 52394-2023</t>
        </is>
      </c>
      <c r="B146" s="1" t="n">
        <v>45224</v>
      </c>
      <c r="C146" s="1" t="n">
        <v>45844</v>
      </c>
      <c r="D146" t="inlineStr">
        <is>
          <t>NORRBOTTENS LÄN</t>
        </is>
      </c>
      <c r="E146" t="inlineStr">
        <is>
          <t>BODEN</t>
        </is>
      </c>
      <c r="F146" t="inlineStr">
        <is>
          <t>SCA</t>
        </is>
      </c>
      <c r="G146" t="n">
        <v>6.3</v>
      </c>
      <c r="H146" t="n">
        <v>0</v>
      </c>
      <c r="I146" t="n">
        <v>0</v>
      </c>
      <c r="J146" t="n">
        <v>1</v>
      </c>
      <c r="K146" t="n">
        <v>0</v>
      </c>
      <c r="L146" t="n">
        <v>0</v>
      </c>
      <c r="M146" t="n">
        <v>0</v>
      </c>
      <c r="N146" t="n">
        <v>0</v>
      </c>
      <c r="O146" t="n">
        <v>1</v>
      </c>
      <c r="P146" t="n">
        <v>0</v>
      </c>
      <c r="Q146" t="n">
        <v>1</v>
      </c>
      <c r="R146" s="2" t="inlineStr">
        <is>
          <t>Koralltaggsvamp</t>
        </is>
      </c>
      <c r="S146">
        <f>HYPERLINK("https://klasma.github.io/Logging_2582/artfynd/A 52394-2023 artfynd.xlsx", "A 52394-2023")</f>
        <v/>
      </c>
      <c r="T146">
        <f>HYPERLINK("https://klasma.github.io/Logging_2582/kartor/A 52394-2023 karta.png", "A 52394-2023")</f>
        <v/>
      </c>
      <c r="V146">
        <f>HYPERLINK("https://klasma.github.io/Logging_2582/klagomål/A 52394-2023 FSC-klagomål.docx", "A 52394-2023")</f>
        <v/>
      </c>
      <c r="W146">
        <f>HYPERLINK("https://klasma.github.io/Logging_2582/klagomålsmail/A 52394-2023 FSC-klagomål mail.docx", "A 52394-2023")</f>
        <v/>
      </c>
      <c r="X146">
        <f>HYPERLINK("https://klasma.github.io/Logging_2582/tillsyn/A 52394-2023 tillsynsbegäran.docx", "A 52394-2023")</f>
        <v/>
      </c>
      <c r="Y146">
        <f>HYPERLINK("https://klasma.github.io/Logging_2582/tillsynsmail/A 52394-2023 tillsynsbegäran mail.docx", "A 52394-2023")</f>
        <v/>
      </c>
    </row>
    <row r="147" ht="15" customHeight="1">
      <c r="A147" t="inlineStr">
        <is>
          <t>A 2568-2024</t>
        </is>
      </c>
      <c r="B147" s="1" t="n">
        <v>45313</v>
      </c>
      <c r="C147" s="1" t="n">
        <v>45844</v>
      </c>
      <c r="D147" t="inlineStr">
        <is>
          <t>NORRBOTTENS LÄN</t>
        </is>
      </c>
      <c r="E147" t="inlineStr">
        <is>
          <t>BODEN</t>
        </is>
      </c>
      <c r="G147" t="n">
        <v>1.6</v>
      </c>
      <c r="H147" t="n">
        <v>0</v>
      </c>
      <c r="I147" t="n">
        <v>0</v>
      </c>
      <c r="J147" t="n">
        <v>1</v>
      </c>
      <c r="K147" t="n">
        <v>0</v>
      </c>
      <c r="L147" t="n">
        <v>0</v>
      </c>
      <c r="M147" t="n">
        <v>0</v>
      </c>
      <c r="N147" t="n">
        <v>0</v>
      </c>
      <c r="O147" t="n">
        <v>1</v>
      </c>
      <c r="P147" t="n">
        <v>0</v>
      </c>
      <c r="Q147" t="n">
        <v>1</v>
      </c>
      <c r="R147" s="2" t="inlineStr">
        <is>
          <t>Blå taggsvamp</t>
        </is>
      </c>
      <c r="S147">
        <f>HYPERLINK("https://klasma.github.io/Logging_2582/artfynd/A 2568-2024 artfynd.xlsx", "A 2568-2024")</f>
        <v/>
      </c>
      <c r="T147">
        <f>HYPERLINK("https://klasma.github.io/Logging_2582/kartor/A 2568-2024 karta.png", "A 2568-2024")</f>
        <v/>
      </c>
      <c r="V147">
        <f>HYPERLINK("https://klasma.github.io/Logging_2582/klagomål/A 2568-2024 FSC-klagomål.docx", "A 2568-2024")</f>
        <v/>
      </c>
      <c r="W147">
        <f>HYPERLINK("https://klasma.github.io/Logging_2582/klagomålsmail/A 2568-2024 FSC-klagomål mail.docx", "A 2568-2024")</f>
        <v/>
      </c>
      <c r="X147">
        <f>HYPERLINK("https://klasma.github.io/Logging_2582/tillsyn/A 2568-2024 tillsynsbegäran.docx", "A 2568-2024")</f>
        <v/>
      </c>
      <c r="Y147">
        <f>HYPERLINK("https://klasma.github.io/Logging_2582/tillsynsmail/A 2568-2024 tillsynsbegäran mail.docx", "A 2568-2024")</f>
        <v/>
      </c>
    </row>
    <row r="148" ht="15" customHeight="1">
      <c r="A148" t="inlineStr">
        <is>
          <t>A 11555-2024</t>
        </is>
      </c>
      <c r="B148" s="1" t="n">
        <v>45373</v>
      </c>
      <c r="C148" s="1" t="n">
        <v>45844</v>
      </c>
      <c r="D148" t="inlineStr">
        <is>
          <t>NORRBOTTENS LÄN</t>
        </is>
      </c>
      <c r="E148" t="inlineStr">
        <is>
          <t>BODEN</t>
        </is>
      </c>
      <c r="F148" t="inlineStr">
        <is>
          <t>SCA</t>
        </is>
      </c>
      <c r="G148" t="n">
        <v>1.6</v>
      </c>
      <c r="H148" t="n">
        <v>1</v>
      </c>
      <c r="I148" t="n">
        <v>0</v>
      </c>
      <c r="J148" t="n">
        <v>0</v>
      </c>
      <c r="K148" t="n">
        <v>0</v>
      </c>
      <c r="L148" t="n">
        <v>0</v>
      </c>
      <c r="M148" t="n">
        <v>0</v>
      </c>
      <c r="N148" t="n">
        <v>0</v>
      </c>
      <c r="O148" t="n">
        <v>0</v>
      </c>
      <c r="P148" t="n">
        <v>0</v>
      </c>
      <c r="Q148" t="n">
        <v>1</v>
      </c>
      <c r="R148" s="2" t="inlineStr">
        <is>
          <t>Grön flodtrollslända</t>
        </is>
      </c>
      <c r="S148">
        <f>HYPERLINK("https://klasma.github.io/Logging_2582/artfynd/A 11555-2024 artfynd.xlsx", "A 11555-2024")</f>
        <v/>
      </c>
      <c r="T148">
        <f>HYPERLINK("https://klasma.github.io/Logging_2582/kartor/A 11555-2024 karta.png", "A 11555-2024")</f>
        <v/>
      </c>
      <c r="V148">
        <f>HYPERLINK("https://klasma.github.io/Logging_2582/klagomål/A 11555-2024 FSC-klagomål.docx", "A 11555-2024")</f>
        <v/>
      </c>
      <c r="W148">
        <f>HYPERLINK("https://klasma.github.io/Logging_2582/klagomålsmail/A 11555-2024 FSC-klagomål mail.docx", "A 11555-2024")</f>
        <v/>
      </c>
      <c r="X148">
        <f>HYPERLINK("https://klasma.github.io/Logging_2582/tillsyn/A 11555-2024 tillsynsbegäran.docx", "A 11555-2024")</f>
        <v/>
      </c>
      <c r="Y148">
        <f>HYPERLINK("https://klasma.github.io/Logging_2582/tillsynsmail/A 11555-2024 tillsynsbegäran mail.docx", "A 11555-2024")</f>
        <v/>
      </c>
    </row>
    <row r="149" ht="15" customHeight="1">
      <c r="A149" t="inlineStr">
        <is>
          <t>A 16217-2024</t>
        </is>
      </c>
      <c r="B149" s="1" t="n">
        <v>45407</v>
      </c>
      <c r="C149" s="1" t="n">
        <v>45844</v>
      </c>
      <c r="D149" t="inlineStr">
        <is>
          <t>NORRBOTTENS LÄN</t>
        </is>
      </c>
      <c r="E149" t="inlineStr">
        <is>
          <t>BODEN</t>
        </is>
      </c>
      <c r="G149" t="n">
        <v>7.2</v>
      </c>
      <c r="H149" t="n">
        <v>1</v>
      </c>
      <c r="I149" t="n">
        <v>0</v>
      </c>
      <c r="J149" t="n">
        <v>1</v>
      </c>
      <c r="K149" t="n">
        <v>0</v>
      </c>
      <c r="L149" t="n">
        <v>0</v>
      </c>
      <c r="M149" t="n">
        <v>0</v>
      </c>
      <c r="N149" t="n">
        <v>0</v>
      </c>
      <c r="O149" t="n">
        <v>1</v>
      </c>
      <c r="P149" t="n">
        <v>0</v>
      </c>
      <c r="Q149" t="n">
        <v>1</v>
      </c>
      <c r="R149" s="2" t="inlineStr">
        <is>
          <t>Videsparv</t>
        </is>
      </c>
      <c r="S149">
        <f>HYPERLINK("https://klasma.github.io/Logging_2582/artfynd/A 16217-2024 artfynd.xlsx", "A 16217-2024")</f>
        <v/>
      </c>
      <c r="T149">
        <f>HYPERLINK("https://klasma.github.io/Logging_2582/kartor/A 16217-2024 karta.png", "A 16217-2024")</f>
        <v/>
      </c>
      <c r="V149">
        <f>HYPERLINK("https://klasma.github.io/Logging_2582/klagomål/A 16217-2024 FSC-klagomål.docx", "A 16217-2024")</f>
        <v/>
      </c>
      <c r="W149">
        <f>HYPERLINK("https://klasma.github.io/Logging_2582/klagomålsmail/A 16217-2024 FSC-klagomål mail.docx", "A 16217-2024")</f>
        <v/>
      </c>
      <c r="X149">
        <f>HYPERLINK("https://klasma.github.io/Logging_2582/tillsyn/A 16217-2024 tillsynsbegäran.docx", "A 16217-2024")</f>
        <v/>
      </c>
      <c r="Y149">
        <f>HYPERLINK("https://klasma.github.io/Logging_2582/tillsynsmail/A 16217-2024 tillsynsbegäran mail.docx", "A 16217-2024")</f>
        <v/>
      </c>
      <c r="Z149">
        <f>HYPERLINK("https://klasma.github.io/Logging_2582/fåglar/A 16217-2024 prioriterade fågelarter.docx", "A 16217-2024")</f>
        <v/>
      </c>
    </row>
    <row r="150" ht="15" customHeight="1">
      <c r="A150" t="inlineStr">
        <is>
          <t>A 21400-2024</t>
        </is>
      </c>
      <c r="B150" s="1" t="n">
        <v>45441</v>
      </c>
      <c r="C150" s="1" t="n">
        <v>45844</v>
      </c>
      <c r="D150" t="inlineStr">
        <is>
          <t>NORRBOTTENS LÄN</t>
        </is>
      </c>
      <c r="E150" t="inlineStr">
        <is>
          <t>BODEN</t>
        </is>
      </c>
      <c r="F150" t="inlineStr">
        <is>
          <t>Sveaskog</t>
        </is>
      </c>
      <c r="G150" t="n">
        <v>13.6</v>
      </c>
      <c r="H150" t="n">
        <v>0</v>
      </c>
      <c r="I150" t="n">
        <v>0</v>
      </c>
      <c r="J150" t="n">
        <v>1</v>
      </c>
      <c r="K150" t="n">
        <v>0</v>
      </c>
      <c r="L150" t="n">
        <v>0</v>
      </c>
      <c r="M150" t="n">
        <v>0</v>
      </c>
      <c r="N150" t="n">
        <v>0</v>
      </c>
      <c r="O150" t="n">
        <v>1</v>
      </c>
      <c r="P150" t="n">
        <v>0</v>
      </c>
      <c r="Q150" t="n">
        <v>1</v>
      </c>
      <c r="R150" s="2" t="inlineStr">
        <is>
          <t>Lunglav</t>
        </is>
      </c>
      <c r="S150">
        <f>HYPERLINK("https://klasma.github.io/Logging_2582/artfynd/A 21400-2024 artfynd.xlsx", "A 21400-2024")</f>
        <v/>
      </c>
      <c r="T150">
        <f>HYPERLINK("https://klasma.github.io/Logging_2582/kartor/A 21400-2024 karta.png", "A 21400-2024")</f>
        <v/>
      </c>
      <c r="V150">
        <f>HYPERLINK("https://klasma.github.io/Logging_2582/klagomål/A 21400-2024 FSC-klagomål.docx", "A 21400-2024")</f>
        <v/>
      </c>
      <c r="W150">
        <f>HYPERLINK("https://klasma.github.io/Logging_2582/klagomålsmail/A 21400-2024 FSC-klagomål mail.docx", "A 21400-2024")</f>
        <v/>
      </c>
      <c r="X150">
        <f>HYPERLINK("https://klasma.github.io/Logging_2582/tillsyn/A 21400-2024 tillsynsbegäran.docx", "A 21400-2024")</f>
        <v/>
      </c>
      <c r="Y150">
        <f>HYPERLINK("https://klasma.github.io/Logging_2582/tillsynsmail/A 21400-2024 tillsynsbegäran mail.docx", "A 21400-2024")</f>
        <v/>
      </c>
    </row>
    <row r="151" ht="15" customHeight="1">
      <c r="A151" t="inlineStr">
        <is>
          <t>A 21907-2024</t>
        </is>
      </c>
      <c r="B151" s="1" t="n">
        <v>45443</v>
      </c>
      <c r="C151" s="1" t="n">
        <v>45844</v>
      </c>
      <c r="D151" t="inlineStr">
        <is>
          <t>NORRBOTTENS LÄN</t>
        </is>
      </c>
      <c r="E151" t="inlineStr">
        <is>
          <t>BODEN</t>
        </is>
      </c>
      <c r="F151" t="inlineStr">
        <is>
          <t>Sveaskog</t>
        </is>
      </c>
      <c r="G151" t="n">
        <v>6</v>
      </c>
      <c r="H151" t="n">
        <v>0</v>
      </c>
      <c r="I151" t="n">
        <v>0</v>
      </c>
      <c r="J151" t="n">
        <v>1</v>
      </c>
      <c r="K151" t="n">
        <v>0</v>
      </c>
      <c r="L151" t="n">
        <v>0</v>
      </c>
      <c r="M151" t="n">
        <v>0</v>
      </c>
      <c r="N151" t="n">
        <v>0</v>
      </c>
      <c r="O151" t="n">
        <v>1</v>
      </c>
      <c r="P151" t="n">
        <v>0</v>
      </c>
      <c r="Q151" t="n">
        <v>1</v>
      </c>
      <c r="R151" s="2" t="inlineStr">
        <is>
          <t>Orange taggsvamp</t>
        </is>
      </c>
      <c r="S151">
        <f>HYPERLINK("https://klasma.github.io/Logging_2582/artfynd/A 21907-2024 artfynd.xlsx", "A 21907-2024")</f>
        <v/>
      </c>
      <c r="T151">
        <f>HYPERLINK("https://klasma.github.io/Logging_2582/kartor/A 21907-2024 karta.png", "A 21907-2024")</f>
        <v/>
      </c>
      <c r="V151">
        <f>HYPERLINK("https://klasma.github.io/Logging_2582/klagomål/A 21907-2024 FSC-klagomål.docx", "A 21907-2024")</f>
        <v/>
      </c>
      <c r="W151">
        <f>HYPERLINK("https://klasma.github.io/Logging_2582/klagomålsmail/A 21907-2024 FSC-klagomål mail.docx", "A 21907-2024")</f>
        <v/>
      </c>
      <c r="X151">
        <f>HYPERLINK("https://klasma.github.io/Logging_2582/tillsyn/A 21907-2024 tillsynsbegäran.docx", "A 21907-2024")</f>
        <v/>
      </c>
      <c r="Y151">
        <f>HYPERLINK("https://klasma.github.io/Logging_2582/tillsynsmail/A 21907-2024 tillsynsbegäran mail.docx", "A 21907-2024")</f>
        <v/>
      </c>
    </row>
    <row r="152" ht="15" customHeight="1">
      <c r="A152" t="inlineStr">
        <is>
          <t>A 22264-2024</t>
        </is>
      </c>
      <c r="B152" s="1" t="n">
        <v>45446</v>
      </c>
      <c r="C152" s="1" t="n">
        <v>45844</v>
      </c>
      <c r="D152" t="inlineStr">
        <is>
          <t>NORRBOTTENS LÄN</t>
        </is>
      </c>
      <c r="E152" t="inlineStr">
        <is>
          <t>BODEN</t>
        </is>
      </c>
      <c r="F152" t="inlineStr">
        <is>
          <t>Sveaskog</t>
        </is>
      </c>
      <c r="G152" t="n">
        <v>16.7</v>
      </c>
      <c r="H152" t="n">
        <v>0</v>
      </c>
      <c r="I152" t="n">
        <v>1</v>
      </c>
      <c r="J152" t="n">
        <v>0</v>
      </c>
      <c r="K152" t="n">
        <v>0</v>
      </c>
      <c r="L152" t="n">
        <v>0</v>
      </c>
      <c r="M152" t="n">
        <v>0</v>
      </c>
      <c r="N152" t="n">
        <v>0</v>
      </c>
      <c r="O152" t="n">
        <v>0</v>
      </c>
      <c r="P152" t="n">
        <v>0</v>
      </c>
      <c r="Q152" t="n">
        <v>1</v>
      </c>
      <c r="R152" s="2" t="inlineStr">
        <is>
          <t>Tibast</t>
        </is>
      </c>
      <c r="S152">
        <f>HYPERLINK("https://klasma.github.io/Logging_2582/artfynd/A 22264-2024 artfynd.xlsx", "A 22264-2024")</f>
        <v/>
      </c>
      <c r="T152">
        <f>HYPERLINK("https://klasma.github.io/Logging_2582/kartor/A 22264-2024 karta.png", "A 22264-2024")</f>
        <v/>
      </c>
      <c r="V152">
        <f>HYPERLINK("https://klasma.github.io/Logging_2582/klagomål/A 22264-2024 FSC-klagomål.docx", "A 22264-2024")</f>
        <v/>
      </c>
      <c r="W152">
        <f>HYPERLINK("https://klasma.github.io/Logging_2582/klagomålsmail/A 22264-2024 FSC-klagomål mail.docx", "A 22264-2024")</f>
        <v/>
      </c>
      <c r="X152">
        <f>HYPERLINK("https://klasma.github.io/Logging_2582/tillsyn/A 22264-2024 tillsynsbegäran.docx", "A 22264-2024")</f>
        <v/>
      </c>
      <c r="Y152">
        <f>HYPERLINK("https://klasma.github.io/Logging_2582/tillsynsmail/A 22264-2024 tillsynsbegäran mail.docx", "A 22264-2024")</f>
        <v/>
      </c>
    </row>
    <row r="153" ht="15" customHeight="1">
      <c r="A153" t="inlineStr">
        <is>
          <t>A 22865-2024</t>
        </is>
      </c>
      <c r="B153" s="1" t="n">
        <v>45448</v>
      </c>
      <c r="C153" s="1" t="n">
        <v>45844</v>
      </c>
      <c r="D153" t="inlineStr">
        <is>
          <t>NORRBOTTENS LÄN</t>
        </is>
      </c>
      <c r="E153" t="inlineStr">
        <is>
          <t>BODEN</t>
        </is>
      </c>
      <c r="F153" t="inlineStr">
        <is>
          <t>Sveaskog</t>
        </is>
      </c>
      <c r="G153" t="n">
        <v>7.2</v>
      </c>
      <c r="H153" t="n">
        <v>0</v>
      </c>
      <c r="I153" t="n">
        <v>0</v>
      </c>
      <c r="J153" t="n">
        <v>1</v>
      </c>
      <c r="K153" t="n">
        <v>0</v>
      </c>
      <c r="L153" t="n">
        <v>0</v>
      </c>
      <c r="M153" t="n">
        <v>0</v>
      </c>
      <c r="N153" t="n">
        <v>0</v>
      </c>
      <c r="O153" t="n">
        <v>1</v>
      </c>
      <c r="P153" t="n">
        <v>0</v>
      </c>
      <c r="Q153" t="n">
        <v>1</v>
      </c>
      <c r="R153" s="2" t="inlineStr">
        <is>
          <t>Lunglav</t>
        </is>
      </c>
      <c r="S153">
        <f>HYPERLINK("https://klasma.github.io/Logging_2582/artfynd/A 22865-2024 artfynd.xlsx", "A 22865-2024")</f>
        <v/>
      </c>
      <c r="T153">
        <f>HYPERLINK("https://klasma.github.io/Logging_2582/kartor/A 22865-2024 karta.png", "A 22865-2024")</f>
        <v/>
      </c>
      <c r="V153">
        <f>HYPERLINK("https://klasma.github.io/Logging_2582/klagomål/A 22865-2024 FSC-klagomål.docx", "A 22865-2024")</f>
        <v/>
      </c>
      <c r="W153">
        <f>HYPERLINK("https://klasma.github.io/Logging_2582/klagomålsmail/A 22865-2024 FSC-klagomål mail.docx", "A 22865-2024")</f>
        <v/>
      </c>
      <c r="X153">
        <f>HYPERLINK("https://klasma.github.io/Logging_2582/tillsyn/A 22865-2024 tillsynsbegäran.docx", "A 22865-2024")</f>
        <v/>
      </c>
      <c r="Y153">
        <f>HYPERLINK("https://klasma.github.io/Logging_2582/tillsynsmail/A 22865-2024 tillsynsbegäran mail.docx", "A 22865-2024")</f>
        <v/>
      </c>
    </row>
    <row r="154" ht="15" customHeight="1">
      <c r="A154" t="inlineStr">
        <is>
          <t>A 23096-2024</t>
        </is>
      </c>
      <c r="B154" s="1" t="n">
        <v>45450</v>
      </c>
      <c r="C154" s="1" t="n">
        <v>45844</v>
      </c>
      <c r="D154" t="inlineStr">
        <is>
          <t>NORRBOTTENS LÄN</t>
        </is>
      </c>
      <c r="E154" t="inlineStr">
        <is>
          <t>BODEN</t>
        </is>
      </c>
      <c r="F154" t="inlineStr">
        <is>
          <t>Sveaskog</t>
        </is>
      </c>
      <c r="G154" t="n">
        <v>13.5</v>
      </c>
      <c r="H154" t="n">
        <v>0</v>
      </c>
      <c r="I154" t="n">
        <v>0</v>
      </c>
      <c r="J154" t="n">
        <v>1</v>
      </c>
      <c r="K154" t="n">
        <v>0</v>
      </c>
      <c r="L154" t="n">
        <v>0</v>
      </c>
      <c r="M154" t="n">
        <v>0</v>
      </c>
      <c r="N154" t="n">
        <v>0</v>
      </c>
      <c r="O154" t="n">
        <v>1</v>
      </c>
      <c r="P154" t="n">
        <v>0</v>
      </c>
      <c r="Q154" t="n">
        <v>1</v>
      </c>
      <c r="R154" s="2" t="inlineStr">
        <is>
          <t>Lunglav</t>
        </is>
      </c>
      <c r="S154">
        <f>HYPERLINK("https://klasma.github.io/Logging_2582/artfynd/A 23096-2024 artfynd.xlsx", "A 23096-2024")</f>
        <v/>
      </c>
      <c r="T154">
        <f>HYPERLINK("https://klasma.github.io/Logging_2582/kartor/A 23096-2024 karta.png", "A 23096-2024")</f>
        <v/>
      </c>
      <c r="V154">
        <f>HYPERLINK("https://klasma.github.io/Logging_2582/klagomål/A 23096-2024 FSC-klagomål.docx", "A 23096-2024")</f>
        <v/>
      </c>
      <c r="W154">
        <f>HYPERLINK("https://klasma.github.io/Logging_2582/klagomålsmail/A 23096-2024 FSC-klagomål mail.docx", "A 23096-2024")</f>
        <v/>
      </c>
      <c r="X154">
        <f>HYPERLINK("https://klasma.github.io/Logging_2582/tillsyn/A 23096-2024 tillsynsbegäran.docx", "A 23096-2024")</f>
        <v/>
      </c>
      <c r="Y154">
        <f>HYPERLINK("https://klasma.github.io/Logging_2582/tillsynsmail/A 23096-2024 tillsynsbegäran mail.docx", "A 23096-2024")</f>
        <v/>
      </c>
    </row>
    <row r="155" ht="15" customHeight="1">
      <c r="A155" t="inlineStr">
        <is>
          <t>A 25609-2024</t>
        </is>
      </c>
      <c r="B155" s="1" t="n">
        <v>45463</v>
      </c>
      <c r="C155" s="1" t="n">
        <v>45844</v>
      </c>
      <c r="D155" t="inlineStr">
        <is>
          <t>NORRBOTTENS LÄN</t>
        </is>
      </c>
      <c r="E155" t="inlineStr">
        <is>
          <t>BODEN</t>
        </is>
      </c>
      <c r="F155" t="inlineStr">
        <is>
          <t>Sveaskog</t>
        </is>
      </c>
      <c r="G155" t="n">
        <v>13.4</v>
      </c>
      <c r="H155" t="n">
        <v>0</v>
      </c>
      <c r="I155" t="n">
        <v>0</v>
      </c>
      <c r="J155" t="n">
        <v>1</v>
      </c>
      <c r="K155" t="n">
        <v>0</v>
      </c>
      <c r="L155" t="n">
        <v>0</v>
      </c>
      <c r="M155" t="n">
        <v>0</v>
      </c>
      <c r="N155" t="n">
        <v>0</v>
      </c>
      <c r="O155" t="n">
        <v>1</v>
      </c>
      <c r="P155" t="n">
        <v>0</v>
      </c>
      <c r="Q155" t="n">
        <v>1</v>
      </c>
      <c r="R155" s="2" t="inlineStr">
        <is>
          <t>Lunglav</t>
        </is>
      </c>
      <c r="S155">
        <f>HYPERLINK("https://klasma.github.io/Logging_2582/artfynd/A 25609-2024 artfynd.xlsx", "A 25609-2024")</f>
        <v/>
      </c>
      <c r="T155">
        <f>HYPERLINK("https://klasma.github.io/Logging_2582/kartor/A 25609-2024 karta.png", "A 25609-2024")</f>
        <v/>
      </c>
      <c r="V155">
        <f>HYPERLINK("https://klasma.github.io/Logging_2582/klagomål/A 25609-2024 FSC-klagomål.docx", "A 25609-2024")</f>
        <v/>
      </c>
      <c r="W155">
        <f>HYPERLINK("https://klasma.github.io/Logging_2582/klagomålsmail/A 25609-2024 FSC-klagomål mail.docx", "A 25609-2024")</f>
        <v/>
      </c>
      <c r="X155">
        <f>HYPERLINK("https://klasma.github.io/Logging_2582/tillsyn/A 25609-2024 tillsynsbegäran.docx", "A 25609-2024")</f>
        <v/>
      </c>
      <c r="Y155">
        <f>HYPERLINK("https://klasma.github.io/Logging_2582/tillsynsmail/A 25609-2024 tillsynsbegäran mail.docx", "A 25609-2024")</f>
        <v/>
      </c>
    </row>
    <row r="156" ht="15" customHeight="1">
      <c r="A156" t="inlineStr">
        <is>
          <t>A 26595-2024</t>
        </is>
      </c>
      <c r="B156" s="1" t="n">
        <v>45469</v>
      </c>
      <c r="C156" s="1" t="n">
        <v>45844</v>
      </c>
      <c r="D156" t="inlineStr">
        <is>
          <t>NORRBOTTENS LÄN</t>
        </is>
      </c>
      <c r="E156" t="inlineStr">
        <is>
          <t>BODEN</t>
        </is>
      </c>
      <c r="F156" t="inlineStr">
        <is>
          <t>Sveaskog</t>
        </is>
      </c>
      <c r="G156" t="n">
        <v>32.7</v>
      </c>
      <c r="H156" t="n">
        <v>0</v>
      </c>
      <c r="I156" t="n">
        <v>0</v>
      </c>
      <c r="J156" t="n">
        <v>1</v>
      </c>
      <c r="K156" t="n">
        <v>0</v>
      </c>
      <c r="L156" t="n">
        <v>0</v>
      </c>
      <c r="M156" t="n">
        <v>0</v>
      </c>
      <c r="N156" t="n">
        <v>0</v>
      </c>
      <c r="O156" t="n">
        <v>1</v>
      </c>
      <c r="P156" t="n">
        <v>0</v>
      </c>
      <c r="Q156" t="n">
        <v>1</v>
      </c>
      <c r="R156" s="2" t="inlineStr">
        <is>
          <t>Lunglav</t>
        </is>
      </c>
      <c r="S156">
        <f>HYPERLINK("https://klasma.github.io/Logging_2582/artfynd/A 26595-2024 artfynd.xlsx", "A 26595-2024")</f>
        <v/>
      </c>
      <c r="T156">
        <f>HYPERLINK("https://klasma.github.io/Logging_2582/kartor/A 26595-2024 karta.png", "A 26595-2024")</f>
        <v/>
      </c>
      <c r="V156">
        <f>HYPERLINK("https://klasma.github.io/Logging_2582/klagomål/A 26595-2024 FSC-klagomål.docx", "A 26595-2024")</f>
        <v/>
      </c>
      <c r="W156">
        <f>HYPERLINK("https://klasma.github.io/Logging_2582/klagomålsmail/A 26595-2024 FSC-klagomål mail.docx", "A 26595-2024")</f>
        <v/>
      </c>
      <c r="X156">
        <f>HYPERLINK("https://klasma.github.io/Logging_2582/tillsyn/A 26595-2024 tillsynsbegäran.docx", "A 26595-2024")</f>
        <v/>
      </c>
      <c r="Y156">
        <f>HYPERLINK("https://klasma.github.io/Logging_2582/tillsynsmail/A 26595-2024 tillsynsbegäran mail.docx", "A 26595-2024")</f>
        <v/>
      </c>
    </row>
    <row r="157" ht="15" customHeight="1">
      <c r="A157" t="inlineStr">
        <is>
          <t>A 31272-2024</t>
        </is>
      </c>
      <c r="B157" s="1" t="n">
        <v>45504</v>
      </c>
      <c r="C157" s="1" t="n">
        <v>45844</v>
      </c>
      <c r="D157" t="inlineStr">
        <is>
          <t>NORRBOTTENS LÄN</t>
        </is>
      </c>
      <c r="E157" t="inlineStr">
        <is>
          <t>BODEN</t>
        </is>
      </c>
      <c r="F157" t="inlineStr">
        <is>
          <t>Sveaskog</t>
        </is>
      </c>
      <c r="G157" t="n">
        <v>24.2</v>
      </c>
      <c r="H157" t="n">
        <v>0</v>
      </c>
      <c r="I157" t="n">
        <v>1</v>
      </c>
      <c r="J157" t="n">
        <v>0</v>
      </c>
      <c r="K157" t="n">
        <v>0</v>
      </c>
      <c r="L157" t="n">
        <v>0</v>
      </c>
      <c r="M157" t="n">
        <v>0</v>
      </c>
      <c r="N157" t="n">
        <v>0</v>
      </c>
      <c r="O157" t="n">
        <v>0</v>
      </c>
      <c r="P157" t="n">
        <v>0</v>
      </c>
      <c r="Q157" t="n">
        <v>1</v>
      </c>
      <c r="R157" s="2" t="inlineStr">
        <is>
          <t>Skarp dropptaggsvamp</t>
        </is>
      </c>
      <c r="S157">
        <f>HYPERLINK("https://klasma.github.io/Logging_2582/artfynd/A 31272-2024 artfynd.xlsx", "A 31272-2024")</f>
        <v/>
      </c>
      <c r="T157">
        <f>HYPERLINK("https://klasma.github.io/Logging_2582/kartor/A 31272-2024 karta.png", "A 31272-2024")</f>
        <v/>
      </c>
      <c r="V157">
        <f>HYPERLINK("https://klasma.github.io/Logging_2582/klagomål/A 31272-2024 FSC-klagomål.docx", "A 31272-2024")</f>
        <v/>
      </c>
      <c r="W157">
        <f>HYPERLINK("https://klasma.github.io/Logging_2582/klagomålsmail/A 31272-2024 FSC-klagomål mail.docx", "A 31272-2024")</f>
        <v/>
      </c>
      <c r="X157">
        <f>HYPERLINK("https://klasma.github.io/Logging_2582/tillsyn/A 31272-2024 tillsynsbegäran.docx", "A 31272-2024")</f>
        <v/>
      </c>
      <c r="Y157">
        <f>HYPERLINK("https://klasma.github.io/Logging_2582/tillsynsmail/A 31272-2024 tillsynsbegäran mail.docx", "A 31272-2024")</f>
        <v/>
      </c>
    </row>
    <row r="158" ht="15" customHeight="1">
      <c r="A158" t="inlineStr">
        <is>
          <t>A 32600-2024</t>
        </is>
      </c>
      <c r="B158" s="1" t="n">
        <v>45513</v>
      </c>
      <c r="C158" s="1" t="n">
        <v>45844</v>
      </c>
      <c r="D158" t="inlineStr">
        <is>
          <t>NORRBOTTENS LÄN</t>
        </is>
      </c>
      <c r="E158" t="inlineStr">
        <is>
          <t>BODEN</t>
        </is>
      </c>
      <c r="G158" t="n">
        <v>2.5</v>
      </c>
      <c r="H158" t="n">
        <v>0</v>
      </c>
      <c r="I158" t="n">
        <v>0</v>
      </c>
      <c r="J158" t="n">
        <v>1</v>
      </c>
      <c r="K158" t="n">
        <v>0</v>
      </c>
      <c r="L158" t="n">
        <v>0</v>
      </c>
      <c r="M158" t="n">
        <v>0</v>
      </c>
      <c r="N158" t="n">
        <v>0</v>
      </c>
      <c r="O158" t="n">
        <v>1</v>
      </c>
      <c r="P158" t="n">
        <v>0</v>
      </c>
      <c r="Q158" t="n">
        <v>1</v>
      </c>
      <c r="R158" s="2" t="inlineStr">
        <is>
          <t>Lunglav</t>
        </is>
      </c>
      <c r="S158">
        <f>HYPERLINK("https://klasma.github.io/Logging_2582/artfynd/A 32600-2024 artfynd.xlsx", "A 32600-2024")</f>
        <v/>
      </c>
      <c r="T158">
        <f>HYPERLINK("https://klasma.github.io/Logging_2582/kartor/A 32600-2024 karta.png", "A 32600-2024")</f>
        <v/>
      </c>
      <c r="V158">
        <f>HYPERLINK("https://klasma.github.io/Logging_2582/klagomål/A 32600-2024 FSC-klagomål.docx", "A 32600-2024")</f>
        <v/>
      </c>
      <c r="W158">
        <f>HYPERLINK("https://klasma.github.io/Logging_2582/klagomålsmail/A 32600-2024 FSC-klagomål mail.docx", "A 32600-2024")</f>
        <v/>
      </c>
      <c r="X158">
        <f>HYPERLINK("https://klasma.github.io/Logging_2582/tillsyn/A 32600-2024 tillsynsbegäran.docx", "A 32600-2024")</f>
        <v/>
      </c>
      <c r="Y158">
        <f>HYPERLINK("https://klasma.github.io/Logging_2582/tillsynsmail/A 32600-2024 tillsynsbegäran mail.docx", "A 32600-2024")</f>
        <v/>
      </c>
    </row>
    <row r="159" ht="15" customHeight="1">
      <c r="A159" t="inlineStr">
        <is>
          <t>A 33674-2024</t>
        </is>
      </c>
      <c r="B159" s="1" t="n">
        <v>45520</v>
      </c>
      <c r="C159" s="1" t="n">
        <v>45844</v>
      </c>
      <c r="D159" t="inlineStr">
        <is>
          <t>NORRBOTTENS LÄN</t>
        </is>
      </c>
      <c r="E159" t="inlineStr">
        <is>
          <t>BODEN</t>
        </is>
      </c>
      <c r="F159" t="inlineStr">
        <is>
          <t>Sveaskog</t>
        </is>
      </c>
      <c r="G159" t="n">
        <v>6.6</v>
      </c>
      <c r="H159" t="n">
        <v>0</v>
      </c>
      <c r="I159" t="n">
        <v>0</v>
      </c>
      <c r="J159" t="n">
        <v>1</v>
      </c>
      <c r="K159" t="n">
        <v>0</v>
      </c>
      <c r="L159" t="n">
        <v>0</v>
      </c>
      <c r="M159" t="n">
        <v>0</v>
      </c>
      <c r="N159" t="n">
        <v>0</v>
      </c>
      <c r="O159" t="n">
        <v>1</v>
      </c>
      <c r="P159" t="n">
        <v>0</v>
      </c>
      <c r="Q159" t="n">
        <v>1</v>
      </c>
      <c r="R159" s="2" t="inlineStr">
        <is>
          <t>Blå taggsvamp</t>
        </is>
      </c>
      <c r="S159">
        <f>HYPERLINK("https://klasma.github.io/Logging_2582/artfynd/A 33674-2024 artfynd.xlsx", "A 33674-2024")</f>
        <v/>
      </c>
      <c r="T159">
        <f>HYPERLINK("https://klasma.github.io/Logging_2582/kartor/A 33674-2024 karta.png", "A 33674-2024")</f>
        <v/>
      </c>
      <c r="V159">
        <f>HYPERLINK("https://klasma.github.io/Logging_2582/klagomål/A 33674-2024 FSC-klagomål.docx", "A 33674-2024")</f>
        <v/>
      </c>
      <c r="W159">
        <f>HYPERLINK("https://klasma.github.io/Logging_2582/klagomålsmail/A 33674-2024 FSC-klagomål mail.docx", "A 33674-2024")</f>
        <v/>
      </c>
      <c r="X159">
        <f>HYPERLINK("https://klasma.github.io/Logging_2582/tillsyn/A 33674-2024 tillsynsbegäran.docx", "A 33674-2024")</f>
        <v/>
      </c>
      <c r="Y159">
        <f>HYPERLINK("https://klasma.github.io/Logging_2582/tillsynsmail/A 33674-2024 tillsynsbegäran mail.docx", "A 33674-2024")</f>
        <v/>
      </c>
    </row>
    <row r="160" ht="15" customHeight="1">
      <c r="A160" t="inlineStr">
        <is>
          <t>A 36743-2024</t>
        </is>
      </c>
      <c r="B160" s="1" t="n">
        <v>45538</v>
      </c>
      <c r="C160" s="1" t="n">
        <v>45844</v>
      </c>
      <c r="D160" t="inlineStr">
        <is>
          <t>NORRBOTTENS LÄN</t>
        </is>
      </c>
      <c r="E160" t="inlineStr">
        <is>
          <t>BODEN</t>
        </is>
      </c>
      <c r="F160" t="inlineStr">
        <is>
          <t>Sveaskog</t>
        </is>
      </c>
      <c r="G160" t="n">
        <v>1.7</v>
      </c>
      <c r="H160" t="n">
        <v>0</v>
      </c>
      <c r="I160" t="n">
        <v>0</v>
      </c>
      <c r="J160" t="n">
        <v>1</v>
      </c>
      <c r="K160" t="n">
        <v>0</v>
      </c>
      <c r="L160" t="n">
        <v>0</v>
      </c>
      <c r="M160" t="n">
        <v>0</v>
      </c>
      <c r="N160" t="n">
        <v>0</v>
      </c>
      <c r="O160" t="n">
        <v>1</v>
      </c>
      <c r="P160" t="n">
        <v>0</v>
      </c>
      <c r="Q160" t="n">
        <v>1</v>
      </c>
      <c r="R160" s="2" t="inlineStr">
        <is>
          <t>Lunglav</t>
        </is>
      </c>
      <c r="S160">
        <f>HYPERLINK("https://klasma.github.io/Logging_2582/artfynd/A 36743-2024 artfynd.xlsx", "A 36743-2024")</f>
        <v/>
      </c>
      <c r="T160">
        <f>HYPERLINK("https://klasma.github.io/Logging_2582/kartor/A 36743-2024 karta.png", "A 36743-2024")</f>
        <v/>
      </c>
      <c r="V160">
        <f>HYPERLINK("https://klasma.github.io/Logging_2582/klagomål/A 36743-2024 FSC-klagomål.docx", "A 36743-2024")</f>
        <v/>
      </c>
      <c r="W160">
        <f>HYPERLINK("https://klasma.github.io/Logging_2582/klagomålsmail/A 36743-2024 FSC-klagomål mail.docx", "A 36743-2024")</f>
        <v/>
      </c>
      <c r="X160">
        <f>HYPERLINK("https://klasma.github.io/Logging_2582/tillsyn/A 36743-2024 tillsynsbegäran.docx", "A 36743-2024")</f>
        <v/>
      </c>
      <c r="Y160">
        <f>HYPERLINK("https://klasma.github.io/Logging_2582/tillsynsmail/A 36743-2024 tillsynsbegäran mail.docx", "A 36743-2024")</f>
        <v/>
      </c>
    </row>
    <row r="161" ht="15" customHeight="1">
      <c r="A161" t="inlineStr">
        <is>
          <t>A 40533-2024</t>
        </is>
      </c>
      <c r="B161" s="1" t="n">
        <v>45555</v>
      </c>
      <c r="C161" s="1" t="n">
        <v>45844</v>
      </c>
      <c r="D161" t="inlineStr">
        <is>
          <t>NORRBOTTENS LÄN</t>
        </is>
      </c>
      <c r="E161" t="inlineStr">
        <is>
          <t>BODEN</t>
        </is>
      </c>
      <c r="F161" t="inlineStr">
        <is>
          <t>Sveaskog</t>
        </is>
      </c>
      <c r="G161" t="n">
        <v>32</v>
      </c>
      <c r="H161" t="n">
        <v>0</v>
      </c>
      <c r="I161" t="n">
        <v>0</v>
      </c>
      <c r="J161" t="n">
        <v>1</v>
      </c>
      <c r="K161" t="n">
        <v>0</v>
      </c>
      <c r="L161" t="n">
        <v>0</v>
      </c>
      <c r="M161" t="n">
        <v>0</v>
      </c>
      <c r="N161" t="n">
        <v>0</v>
      </c>
      <c r="O161" t="n">
        <v>1</v>
      </c>
      <c r="P161" t="n">
        <v>0</v>
      </c>
      <c r="Q161" t="n">
        <v>1</v>
      </c>
      <c r="R161" s="2" t="inlineStr">
        <is>
          <t>Lunglav</t>
        </is>
      </c>
      <c r="S161">
        <f>HYPERLINK("https://klasma.github.io/Logging_2582/artfynd/A 40533-2024 artfynd.xlsx", "A 40533-2024")</f>
        <v/>
      </c>
      <c r="T161">
        <f>HYPERLINK("https://klasma.github.io/Logging_2582/kartor/A 40533-2024 karta.png", "A 40533-2024")</f>
        <v/>
      </c>
      <c r="V161">
        <f>HYPERLINK("https://klasma.github.io/Logging_2582/klagomål/A 40533-2024 FSC-klagomål.docx", "A 40533-2024")</f>
        <v/>
      </c>
      <c r="W161">
        <f>HYPERLINK("https://klasma.github.io/Logging_2582/klagomålsmail/A 40533-2024 FSC-klagomål mail.docx", "A 40533-2024")</f>
        <v/>
      </c>
      <c r="X161">
        <f>HYPERLINK("https://klasma.github.io/Logging_2582/tillsyn/A 40533-2024 tillsynsbegäran.docx", "A 40533-2024")</f>
        <v/>
      </c>
      <c r="Y161">
        <f>HYPERLINK("https://klasma.github.io/Logging_2582/tillsynsmail/A 40533-2024 tillsynsbegäran mail.docx", "A 40533-2024")</f>
        <v/>
      </c>
    </row>
    <row r="162" ht="15" customHeight="1">
      <c r="A162" t="inlineStr">
        <is>
          <t>A 47018-2024</t>
        </is>
      </c>
      <c r="B162" s="1" t="n">
        <v>45586</v>
      </c>
      <c r="C162" s="1" t="n">
        <v>45844</v>
      </c>
      <c r="D162" t="inlineStr">
        <is>
          <t>NORRBOTTENS LÄN</t>
        </is>
      </c>
      <c r="E162" t="inlineStr">
        <is>
          <t>BODEN</t>
        </is>
      </c>
      <c r="F162" t="inlineStr">
        <is>
          <t>Sveaskog</t>
        </is>
      </c>
      <c r="G162" t="n">
        <v>18.1</v>
      </c>
      <c r="H162" t="n">
        <v>0</v>
      </c>
      <c r="I162" t="n">
        <v>0</v>
      </c>
      <c r="J162" t="n">
        <v>1</v>
      </c>
      <c r="K162" t="n">
        <v>0</v>
      </c>
      <c r="L162" t="n">
        <v>0</v>
      </c>
      <c r="M162" t="n">
        <v>0</v>
      </c>
      <c r="N162" t="n">
        <v>0</v>
      </c>
      <c r="O162" t="n">
        <v>1</v>
      </c>
      <c r="P162" t="n">
        <v>0</v>
      </c>
      <c r="Q162" t="n">
        <v>1</v>
      </c>
      <c r="R162" s="2" t="inlineStr">
        <is>
          <t>Blågrå svartspik</t>
        </is>
      </c>
      <c r="S162">
        <f>HYPERLINK("https://klasma.github.io/Logging_2582/artfynd/A 47018-2024 artfynd.xlsx", "A 47018-2024")</f>
        <v/>
      </c>
      <c r="T162">
        <f>HYPERLINK("https://klasma.github.io/Logging_2582/kartor/A 47018-2024 karta.png", "A 47018-2024")</f>
        <v/>
      </c>
      <c r="V162">
        <f>HYPERLINK("https://klasma.github.io/Logging_2582/klagomål/A 47018-2024 FSC-klagomål.docx", "A 47018-2024")</f>
        <v/>
      </c>
      <c r="W162">
        <f>HYPERLINK("https://klasma.github.io/Logging_2582/klagomålsmail/A 47018-2024 FSC-klagomål mail.docx", "A 47018-2024")</f>
        <v/>
      </c>
      <c r="X162">
        <f>HYPERLINK("https://klasma.github.io/Logging_2582/tillsyn/A 47018-2024 tillsynsbegäran.docx", "A 47018-2024")</f>
        <v/>
      </c>
      <c r="Y162">
        <f>HYPERLINK("https://klasma.github.io/Logging_2582/tillsynsmail/A 47018-2024 tillsynsbegäran mail.docx", "A 47018-2024")</f>
        <v/>
      </c>
    </row>
    <row r="163" ht="15" customHeight="1">
      <c r="A163" t="inlineStr">
        <is>
          <t>A 48899-2024</t>
        </is>
      </c>
      <c r="B163" s="1" t="n">
        <v>45594</v>
      </c>
      <c r="C163" s="1" t="n">
        <v>45844</v>
      </c>
      <c r="D163" t="inlineStr">
        <is>
          <t>NORRBOTTENS LÄN</t>
        </is>
      </c>
      <c r="E163" t="inlineStr">
        <is>
          <t>BODEN</t>
        </is>
      </c>
      <c r="F163" t="inlineStr">
        <is>
          <t>SCA</t>
        </is>
      </c>
      <c r="G163" t="n">
        <v>18</v>
      </c>
      <c r="H163" t="n">
        <v>1</v>
      </c>
      <c r="I163" t="n">
        <v>0</v>
      </c>
      <c r="J163" t="n">
        <v>0</v>
      </c>
      <c r="K163" t="n">
        <v>0</v>
      </c>
      <c r="L163" t="n">
        <v>0</v>
      </c>
      <c r="M163" t="n">
        <v>0</v>
      </c>
      <c r="N163" t="n">
        <v>0</v>
      </c>
      <c r="O163" t="n">
        <v>0</v>
      </c>
      <c r="P163" t="n">
        <v>0</v>
      </c>
      <c r="Q163" t="n">
        <v>1</v>
      </c>
      <c r="R163" s="2" t="inlineStr">
        <is>
          <t>Fläcknycklar</t>
        </is>
      </c>
      <c r="S163">
        <f>HYPERLINK("https://klasma.github.io/Logging_2582/artfynd/A 48899-2024 artfynd.xlsx", "A 48899-2024")</f>
        <v/>
      </c>
      <c r="T163">
        <f>HYPERLINK("https://klasma.github.io/Logging_2582/kartor/A 48899-2024 karta.png", "A 48899-2024")</f>
        <v/>
      </c>
      <c r="V163">
        <f>HYPERLINK("https://klasma.github.io/Logging_2582/klagomål/A 48899-2024 FSC-klagomål.docx", "A 48899-2024")</f>
        <v/>
      </c>
      <c r="W163">
        <f>HYPERLINK("https://klasma.github.io/Logging_2582/klagomålsmail/A 48899-2024 FSC-klagomål mail.docx", "A 48899-2024")</f>
        <v/>
      </c>
      <c r="X163">
        <f>HYPERLINK("https://klasma.github.io/Logging_2582/tillsyn/A 48899-2024 tillsynsbegäran.docx", "A 48899-2024")</f>
        <v/>
      </c>
      <c r="Y163">
        <f>HYPERLINK("https://klasma.github.io/Logging_2582/tillsynsmail/A 48899-2024 tillsynsbegäran mail.docx", "A 48899-2024")</f>
        <v/>
      </c>
    </row>
    <row r="164" ht="15" customHeight="1">
      <c r="A164" t="inlineStr">
        <is>
          <t>A 50912-2024</t>
        </is>
      </c>
      <c r="B164" s="1" t="n">
        <v>45602</v>
      </c>
      <c r="C164" s="1" t="n">
        <v>45844</v>
      </c>
      <c r="D164" t="inlineStr">
        <is>
          <t>NORRBOTTENS LÄN</t>
        </is>
      </c>
      <c r="E164" t="inlineStr">
        <is>
          <t>BODEN</t>
        </is>
      </c>
      <c r="G164" t="n">
        <v>3.5</v>
      </c>
      <c r="H164" t="n">
        <v>1</v>
      </c>
      <c r="I164" t="n">
        <v>0</v>
      </c>
      <c r="J164" t="n">
        <v>0</v>
      </c>
      <c r="K164" t="n">
        <v>0</v>
      </c>
      <c r="L164" t="n">
        <v>0</v>
      </c>
      <c r="M164" t="n">
        <v>0</v>
      </c>
      <c r="N164" t="n">
        <v>0</v>
      </c>
      <c r="O164" t="n">
        <v>0</v>
      </c>
      <c r="P164" t="n">
        <v>0</v>
      </c>
      <c r="Q164" t="n">
        <v>1</v>
      </c>
      <c r="R164" s="2" t="inlineStr">
        <is>
          <t>Revlummer</t>
        </is>
      </c>
      <c r="S164">
        <f>HYPERLINK("https://klasma.github.io/Logging_2582/artfynd/A 50912-2024 artfynd.xlsx", "A 50912-2024")</f>
        <v/>
      </c>
      <c r="T164">
        <f>HYPERLINK("https://klasma.github.io/Logging_2582/kartor/A 50912-2024 karta.png", "A 50912-2024")</f>
        <v/>
      </c>
      <c r="V164">
        <f>HYPERLINK("https://klasma.github.io/Logging_2582/klagomål/A 50912-2024 FSC-klagomål.docx", "A 50912-2024")</f>
        <v/>
      </c>
      <c r="W164">
        <f>HYPERLINK("https://klasma.github.io/Logging_2582/klagomålsmail/A 50912-2024 FSC-klagomål mail.docx", "A 50912-2024")</f>
        <v/>
      </c>
      <c r="X164">
        <f>HYPERLINK("https://klasma.github.io/Logging_2582/tillsyn/A 50912-2024 tillsynsbegäran.docx", "A 50912-2024")</f>
        <v/>
      </c>
      <c r="Y164">
        <f>HYPERLINK("https://klasma.github.io/Logging_2582/tillsynsmail/A 50912-2024 tillsynsbegäran mail.docx", "A 50912-2024")</f>
        <v/>
      </c>
    </row>
    <row r="165" ht="15" customHeight="1">
      <c r="A165" t="inlineStr">
        <is>
          <t>A 50866-2024</t>
        </is>
      </c>
      <c r="B165" s="1" t="n">
        <v>45602</v>
      </c>
      <c r="C165" s="1" t="n">
        <v>45844</v>
      </c>
      <c r="D165" t="inlineStr">
        <is>
          <t>NORRBOTTENS LÄN</t>
        </is>
      </c>
      <c r="E165" t="inlineStr">
        <is>
          <t>BODEN</t>
        </is>
      </c>
      <c r="F165" t="inlineStr">
        <is>
          <t>Sveaskog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HYPERLINK("https://klasma.github.io/Logging_2582/artfynd/A 50866-2024 artfynd.xlsx", "A 50866-2024")</f>
        <v/>
      </c>
      <c r="T165">
        <f>HYPERLINK("https://klasma.github.io/Logging_2582/kartor/A 50866-2024 karta.png", "A 50866-2024")</f>
        <v/>
      </c>
      <c r="V165">
        <f>HYPERLINK("https://klasma.github.io/Logging_2582/klagomål/A 50866-2024 FSC-klagomål.docx", "A 50866-2024")</f>
        <v/>
      </c>
      <c r="W165">
        <f>HYPERLINK("https://klasma.github.io/Logging_2582/klagomålsmail/A 50866-2024 FSC-klagomål mail.docx", "A 50866-2024")</f>
        <v/>
      </c>
      <c r="X165">
        <f>HYPERLINK("https://klasma.github.io/Logging_2582/tillsyn/A 50866-2024 tillsynsbegäran.docx", "A 50866-2024")</f>
        <v/>
      </c>
      <c r="Y165">
        <f>HYPERLINK("https://klasma.github.io/Logging_2582/tillsynsmail/A 50866-2024 tillsynsbegäran mail.docx", "A 50866-2024")</f>
        <v/>
      </c>
    </row>
    <row r="166" ht="15" customHeight="1">
      <c r="A166" t="inlineStr">
        <is>
          <t>A 53142-2024</t>
        </is>
      </c>
      <c r="B166" s="1" t="n">
        <v>45611</v>
      </c>
      <c r="C166" s="1" t="n">
        <v>45844</v>
      </c>
      <c r="D166" t="inlineStr">
        <is>
          <t>NORRBOTTENS LÄN</t>
        </is>
      </c>
      <c r="E166" t="inlineStr">
        <is>
          <t>BODEN</t>
        </is>
      </c>
      <c r="F166" t="inlineStr">
        <is>
          <t>Sveaskog</t>
        </is>
      </c>
      <c r="G166" t="n">
        <v>6.6</v>
      </c>
      <c r="H166" t="n">
        <v>1</v>
      </c>
      <c r="I166" t="n">
        <v>0</v>
      </c>
      <c r="J166" t="n">
        <v>0</v>
      </c>
      <c r="K166" t="n">
        <v>1</v>
      </c>
      <c r="L166" t="n">
        <v>0</v>
      </c>
      <c r="M166" t="n">
        <v>0</v>
      </c>
      <c r="N166" t="n">
        <v>0</v>
      </c>
      <c r="O166" t="n">
        <v>1</v>
      </c>
      <c r="P166" t="n">
        <v>1</v>
      </c>
      <c r="Q166" t="n">
        <v>1</v>
      </c>
      <c r="R166" s="2" t="inlineStr">
        <is>
          <t>Doftticka</t>
        </is>
      </c>
      <c r="S166">
        <f>HYPERLINK("https://klasma.github.io/Logging_2582/artfynd/A 53142-2024 artfynd.xlsx", "A 53142-2024")</f>
        <v/>
      </c>
      <c r="T166">
        <f>HYPERLINK("https://klasma.github.io/Logging_2582/kartor/A 53142-2024 karta.png", "A 53142-2024")</f>
        <v/>
      </c>
      <c r="V166">
        <f>HYPERLINK("https://klasma.github.io/Logging_2582/klagomål/A 53142-2024 FSC-klagomål.docx", "A 53142-2024")</f>
        <v/>
      </c>
      <c r="W166">
        <f>HYPERLINK("https://klasma.github.io/Logging_2582/klagomålsmail/A 53142-2024 FSC-klagomål mail.docx", "A 53142-2024")</f>
        <v/>
      </c>
      <c r="X166">
        <f>HYPERLINK("https://klasma.github.io/Logging_2582/tillsyn/A 53142-2024 tillsynsbegäran.docx", "A 53142-2024")</f>
        <v/>
      </c>
      <c r="Y166">
        <f>HYPERLINK("https://klasma.github.io/Logging_2582/tillsynsmail/A 53142-2024 tillsynsbegäran mail.docx", "A 53142-2024")</f>
        <v/>
      </c>
    </row>
    <row r="167" ht="15" customHeight="1">
      <c r="A167" t="inlineStr">
        <is>
          <t>A 59861-2024</t>
        </is>
      </c>
      <c r="B167" s="1" t="n">
        <v>45638</v>
      </c>
      <c r="C167" s="1" t="n">
        <v>45844</v>
      </c>
      <c r="D167" t="inlineStr">
        <is>
          <t>NORRBOTTENS LÄN</t>
        </is>
      </c>
      <c r="E167" t="inlineStr">
        <is>
          <t>BODEN</t>
        </is>
      </c>
      <c r="G167" t="n">
        <v>2.1</v>
      </c>
      <c r="H167" t="n">
        <v>0</v>
      </c>
      <c r="I167" t="n">
        <v>0</v>
      </c>
      <c r="J167" t="n">
        <v>1</v>
      </c>
      <c r="K167" t="n">
        <v>0</v>
      </c>
      <c r="L167" t="n">
        <v>0</v>
      </c>
      <c r="M167" t="n">
        <v>0</v>
      </c>
      <c r="N167" t="n">
        <v>0</v>
      </c>
      <c r="O167" t="n">
        <v>1</v>
      </c>
      <c r="P167" t="n">
        <v>0</v>
      </c>
      <c r="Q167" t="n">
        <v>1</v>
      </c>
      <c r="R167" s="2" t="inlineStr">
        <is>
          <t>Kolflarnlav</t>
        </is>
      </c>
      <c r="S167">
        <f>HYPERLINK("https://klasma.github.io/Logging_2582/artfynd/A 59861-2024 artfynd.xlsx", "A 59861-2024")</f>
        <v/>
      </c>
      <c r="T167">
        <f>HYPERLINK("https://klasma.github.io/Logging_2582/kartor/A 59861-2024 karta.png", "A 59861-2024")</f>
        <v/>
      </c>
      <c r="V167">
        <f>HYPERLINK("https://klasma.github.io/Logging_2582/klagomål/A 59861-2024 FSC-klagomål.docx", "A 59861-2024")</f>
        <v/>
      </c>
      <c r="W167">
        <f>HYPERLINK("https://klasma.github.io/Logging_2582/klagomålsmail/A 59861-2024 FSC-klagomål mail.docx", "A 59861-2024")</f>
        <v/>
      </c>
      <c r="X167">
        <f>HYPERLINK("https://klasma.github.io/Logging_2582/tillsyn/A 59861-2024 tillsynsbegäran.docx", "A 59861-2024")</f>
        <v/>
      </c>
      <c r="Y167">
        <f>HYPERLINK("https://klasma.github.io/Logging_2582/tillsynsmail/A 59861-2024 tillsynsbegäran mail.docx", "A 59861-2024")</f>
        <v/>
      </c>
    </row>
    <row r="168" ht="15" customHeight="1">
      <c r="A168" t="inlineStr">
        <is>
          <t>A 61219-2024</t>
        </is>
      </c>
      <c r="B168" s="1" t="n">
        <v>45645</v>
      </c>
      <c r="C168" s="1" t="n">
        <v>45844</v>
      </c>
      <c r="D168" t="inlineStr">
        <is>
          <t>NORRBOTTENS LÄN</t>
        </is>
      </c>
      <c r="E168" t="inlineStr">
        <is>
          <t>BODEN</t>
        </is>
      </c>
      <c r="F168" t="inlineStr">
        <is>
          <t>Sveaskog</t>
        </is>
      </c>
      <c r="G168" t="n">
        <v>1.5</v>
      </c>
      <c r="H168" t="n">
        <v>0</v>
      </c>
      <c r="I168" t="n">
        <v>0</v>
      </c>
      <c r="J168" t="n">
        <v>1</v>
      </c>
      <c r="K168" t="n">
        <v>0</v>
      </c>
      <c r="L168" t="n">
        <v>0</v>
      </c>
      <c r="M168" t="n">
        <v>0</v>
      </c>
      <c r="N168" t="n">
        <v>0</v>
      </c>
      <c r="O168" t="n">
        <v>1</v>
      </c>
      <c r="P168" t="n">
        <v>0</v>
      </c>
      <c r="Q168" t="n">
        <v>1</v>
      </c>
      <c r="R168" s="2" t="inlineStr">
        <is>
          <t>Tallticka</t>
        </is>
      </c>
      <c r="S168">
        <f>HYPERLINK("https://klasma.github.io/Logging_2582/artfynd/A 61219-2024 artfynd.xlsx", "A 61219-2024")</f>
        <v/>
      </c>
      <c r="T168">
        <f>HYPERLINK("https://klasma.github.io/Logging_2582/kartor/A 61219-2024 karta.png", "A 61219-2024")</f>
        <v/>
      </c>
      <c r="V168">
        <f>HYPERLINK("https://klasma.github.io/Logging_2582/klagomål/A 61219-2024 FSC-klagomål.docx", "A 61219-2024")</f>
        <v/>
      </c>
      <c r="W168">
        <f>HYPERLINK("https://klasma.github.io/Logging_2582/klagomålsmail/A 61219-2024 FSC-klagomål mail.docx", "A 61219-2024")</f>
        <v/>
      </c>
      <c r="X168">
        <f>HYPERLINK("https://klasma.github.io/Logging_2582/tillsyn/A 61219-2024 tillsynsbegäran.docx", "A 61219-2024")</f>
        <v/>
      </c>
      <c r="Y168">
        <f>HYPERLINK("https://klasma.github.io/Logging_2582/tillsynsmail/A 61219-2024 tillsynsbegäran mail.docx", "A 61219-2024")</f>
        <v/>
      </c>
    </row>
    <row r="169" ht="15" customHeight="1">
      <c r="A169" t="inlineStr">
        <is>
          <t>A 18678-2025</t>
        </is>
      </c>
      <c r="B169" s="1" t="n">
        <v>45763</v>
      </c>
      <c r="C169" s="1" t="n">
        <v>45844</v>
      </c>
      <c r="D169" t="inlineStr">
        <is>
          <t>NORRBOTTENS LÄN</t>
        </is>
      </c>
      <c r="E169" t="inlineStr">
        <is>
          <t>BODEN</t>
        </is>
      </c>
      <c r="G169" t="n">
        <v>1.6</v>
      </c>
      <c r="H169" t="n">
        <v>0</v>
      </c>
      <c r="I169" t="n">
        <v>0</v>
      </c>
      <c r="J169" t="n">
        <v>1</v>
      </c>
      <c r="K169" t="n">
        <v>0</v>
      </c>
      <c r="L169" t="n">
        <v>0</v>
      </c>
      <c r="M169" t="n">
        <v>0</v>
      </c>
      <c r="N169" t="n">
        <v>0</v>
      </c>
      <c r="O169" t="n">
        <v>1</v>
      </c>
      <c r="P169" t="n">
        <v>0</v>
      </c>
      <c r="Q169" t="n">
        <v>1</v>
      </c>
      <c r="R169" s="2" t="inlineStr">
        <is>
          <t>Garnlav</t>
        </is>
      </c>
      <c r="S169">
        <f>HYPERLINK("https://klasma.github.io/Logging_252582/artfynd/A 18678-2025 artfynd.xlsx", "A 18678-2025")</f>
        <v/>
      </c>
      <c r="T169">
        <f>HYPERLINK("https://klasma.github.io/Logging_252582/kartor/A 18678-2025 karta.png", "A 18678-2025")</f>
        <v/>
      </c>
      <c r="V169">
        <f>HYPERLINK("https://klasma.github.io/Logging_252582/klagomål/A 18678-2025 FSC-klagomål.docx", "A 18678-2025")</f>
        <v/>
      </c>
      <c r="W169">
        <f>HYPERLINK("https://klasma.github.io/Logging_252582/klagomålsmail/A 18678-2025 FSC-klagomål mail.docx", "A 18678-2025")</f>
        <v/>
      </c>
      <c r="X169">
        <f>HYPERLINK("https://klasma.github.io/Logging_252582/tillsyn/A 18678-2025 tillsynsbegäran.docx", "A 18678-2025")</f>
        <v/>
      </c>
      <c r="Y169">
        <f>HYPERLINK("https://klasma.github.io/Logging_252582/tillsynsmail/A 18678-2025 tillsynsbegäran mail.docx", "A 18678-2025")</f>
        <v/>
      </c>
    </row>
    <row r="170" ht="15" customHeight="1">
      <c r="A170" t="inlineStr">
        <is>
          <t>A 20260-2025</t>
        </is>
      </c>
      <c r="B170" s="1" t="n">
        <v>45773</v>
      </c>
      <c r="C170" s="1" t="n">
        <v>45844</v>
      </c>
      <c r="D170" t="inlineStr">
        <is>
          <t>NORRBOTTENS LÄN</t>
        </is>
      </c>
      <c r="E170" t="inlineStr">
        <is>
          <t>BODEN</t>
        </is>
      </c>
      <c r="F170" t="inlineStr">
        <is>
          <t>SCA</t>
        </is>
      </c>
      <c r="G170" t="n">
        <v>3.3</v>
      </c>
      <c r="H170" t="n">
        <v>1</v>
      </c>
      <c r="I170" t="n">
        <v>0</v>
      </c>
      <c r="J170" t="n">
        <v>0</v>
      </c>
      <c r="K170" t="n">
        <v>0</v>
      </c>
      <c r="L170" t="n">
        <v>0</v>
      </c>
      <c r="M170" t="n">
        <v>0</v>
      </c>
      <c r="N170" t="n">
        <v>0</v>
      </c>
      <c r="O170" t="n">
        <v>0</v>
      </c>
      <c r="P170" t="n">
        <v>0</v>
      </c>
      <c r="Q170" t="n">
        <v>1</v>
      </c>
      <c r="R170" s="2" t="inlineStr">
        <is>
          <t>Grön flodtrollslända</t>
        </is>
      </c>
      <c r="S170">
        <f>HYPERLINK("https://klasma.github.io/Logging_252582/artfynd/A 20260-2025 artfynd.xlsx", "A 20260-2025")</f>
        <v/>
      </c>
      <c r="T170">
        <f>HYPERLINK("https://klasma.github.io/Logging_252582/kartor/A 20260-2025 karta.png", "A 20260-2025")</f>
        <v/>
      </c>
      <c r="V170">
        <f>HYPERLINK("https://klasma.github.io/Logging_252582/klagomål/A 20260-2025 FSC-klagomål.docx", "A 20260-2025")</f>
        <v/>
      </c>
      <c r="W170">
        <f>HYPERLINK("https://klasma.github.io/Logging_252582/klagomålsmail/A 20260-2025 FSC-klagomål mail.docx", "A 20260-2025")</f>
        <v/>
      </c>
      <c r="X170">
        <f>HYPERLINK("https://klasma.github.io/Logging_252582/tillsyn/A 20260-2025 tillsynsbegäran.docx", "A 20260-2025")</f>
        <v/>
      </c>
      <c r="Y170">
        <f>HYPERLINK("https://klasma.github.io/Logging_252582/tillsynsmail/A 20260-2025 tillsynsbegäran mail.docx", "A 20260-2025")</f>
        <v/>
      </c>
    </row>
    <row r="171" ht="15" customHeight="1">
      <c r="A171" t="inlineStr">
        <is>
          <t>A 23096-2025</t>
        </is>
      </c>
      <c r="B171" s="1" t="n">
        <v>45791</v>
      </c>
      <c r="C171" s="1" t="n">
        <v>45844</v>
      </c>
      <c r="D171" t="inlineStr">
        <is>
          <t>NORRBOTTENS LÄN</t>
        </is>
      </c>
      <c r="E171" t="inlineStr">
        <is>
          <t>BODEN</t>
        </is>
      </c>
      <c r="F171" t="inlineStr">
        <is>
          <t>SCA</t>
        </is>
      </c>
      <c r="G171" t="n">
        <v>1.8</v>
      </c>
      <c r="H171" t="n">
        <v>0</v>
      </c>
      <c r="I171" t="n">
        <v>0</v>
      </c>
      <c r="J171" t="n">
        <v>1</v>
      </c>
      <c r="K171" t="n">
        <v>0</v>
      </c>
      <c r="L171" t="n">
        <v>0</v>
      </c>
      <c r="M171" t="n">
        <v>0</v>
      </c>
      <c r="N171" t="n">
        <v>0</v>
      </c>
      <c r="O171" t="n">
        <v>1</v>
      </c>
      <c r="P171" t="n">
        <v>0</v>
      </c>
      <c r="Q171" t="n">
        <v>1</v>
      </c>
      <c r="R171" s="2" t="inlineStr">
        <is>
          <t>Garnlav</t>
        </is>
      </c>
      <c r="S171">
        <f>HYPERLINK("https://klasma.github.io/Logging_252582/artfynd/A 23096-2025 artfynd.xlsx", "A 23096-2025")</f>
        <v/>
      </c>
      <c r="T171">
        <f>HYPERLINK("https://klasma.github.io/Logging_252582/kartor/A 23096-2025 karta.png", "A 23096-2025")</f>
        <v/>
      </c>
      <c r="V171">
        <f>HYPERLINK("https://klasma.github.io/Logging_252582/klagomål/A 23096-2025 FSC-klagomål.docx", "A 23096-2025")</f>
        <v/>
      </c>
      <c r="W171">
        <f>HYPERLINK("https://klasma.github.io/Logging_252582/klagomålsmail/A 23096-2025 FSC-klagomål mail.docx", "A 23096-2025")</f>
        <v/>
      </c>
      <c r="X171">
        <f>HYPERLINK("https://klasma.github.io/Logging_252582/tillsyn/A 23096-2025 tillsynsbegäran.docx", "A 23096-2025")</f>
        <v/>
      </c>
      <c r="Y171">
        <f>HYPERLINK("https://klasma.github.io/Logging_252582/tillsynsmail/A 23096-2025 tillsynsbegäran mail.docx", "A 23096-2025")</f>
        <v/>
      </c>
    </row>
    <row r="172" ht="15" customHeight="1">
      <c r="A172" t="inlineStr">
        <is>
          <t>A 23849-2025</t>
        </is>
      </c>
      <c r="B172" s="1" t="n">
        <v>45793</v>
      </c>
      <c r="C172" s="1" t="n">
        <v>45844</v>
      </c>
      <c r="D172" t="inlineStr">
        <is>
          <t>NORRBOTTENS LÄN</t>
        </is>
      </c>
      <c r="E172" t="inlineStr">
        <is>
          <t>BODEN</t>
        </is>
      </c>
      <c r="F172" t="inlineStr">
        <is>
          <t>Sveaskog</t>
        </is>
      </c>
      <c r="G172" t="n">
        <v>2.9</v>
      </c>
      <c r="H172" t="n">
        <v>0</v>
      </c>
      <c r="I172" t="n">
        <v>0</v>
      </c>
      <c r="J172" t="n">
        <v>1</v>
      </c>
      <c r="K172" t="n">
        <v>0</v>
      </c>
      <c r="L172" t="n">
        <v>0</v>
      </c>
      <c r="M172" t="n">
        <v>0</v>
      </c>
      <c r="N172" t="n">
        <v>0</v>
      </c>
      <c r="O172" t="n">
        <v>1</v>
      </c>
      <c r="P172" t="n">
        <v>0</v>
      </c>
      <c r="Q172" t="n">
        <v>1</v>
      </c>
      <c r="R172" s="2" t="inlineStr">
        <is>
          <t>Kolflarnlav</t>
        </is>
      </c>
      <c r="S172">
        <f>HYPERLINK("https://klasma.github.io/Logging_252582/artfynd/A 23849-2025 artfynd.xlsx", "A 23849-2025")</f>
        <v/>
      </c>
      <c r="T172">
        <f>HYPERLINK("https://klasma.github.io/Logging_252582/kartor/A 23849-2025 karta.png", "A 23849-2025")</f>
        <v/>
      </c>
      <c r="V172">
        <f>HYPERLINK("https://klasma.github.io/Logging_252582/klagomål/A 23849-2025 FSC-klagomål.docx", "A 23849-2025")</f>
        <v/>
      </c>
      <c r="W172">
        <f>HYPERLINK("https://klasma.github.io/Logging_252582/klagomålsmail/A 23849-2025 FSC-klagomål mail.docx", "A 23849-2025")</f>
        <v/>
      </c>
      <c r="X172">
        <f>HYPERLINK("https://klasma.github.io/Logging_252582/tillsyn/A 23849-2025 tillsynsbegäran.docx", "A 23849-2025")</f>
        <v/>
      </c>
      <c r="Y172">
        <f>HYPERLINK("https://klasma.github.io/Logging_252582/tillsynsmail/A 23849-2025 tillsynsbegäran mail.docx", "A 23849-2025")</f>
        <v/>
      </c>
    </row>
    <row r="173" ht="15" customHeight="1">
      <c r="A173" t="inlineStr">
        <is>
          <t>A 25700-2025</t>
        </is>
      </c>
      <c r="B173" s="1" t="n">
        <v>45803</v>
      </c>
      <c r="C173" s="1" t="n">
        <v>45844</v>
      </c>
      <c r="D173" t="inlineStr">
        <is>
          <t>NORRBOTTENS LÄN</t>
        </is>
      </c>
      <c r="E173" t="inlineStr">
        <is>
          <t>BODEN</t>
        </is>
      </c>
      <c r="F173" t="inlineStr">
        <is>
          <t>Sveaskog</t>
        </is>
      </c>
      <c r="G173" t="n">
        <v>17.3</v>
      </c>
      <c r="H173" t="n">
        <v>0</v>
      </c>
      <c r="I173" t="n">
        <v>0</v>
      </c>
      <c r="J173" t="n">
        <v>1</v>
      </c>
      <c r="K173" t="n">
        <v>0</v>
      </c>
      <c r="L173" t="n">
        <v>0</v>
      </c>
      <c r="M173" t="n">
        <v>0</v>
      </c>
      <c r="N173" t="n">
        <v>0</v>
      </c>
      <c r="O173" t="n">
        <v>1</v>
      </c>
      <c r="P173" t="n">
        <v>0</v>
      </c>
      <c r="Q173" t="n">
        <v>1</v>
      </c>
      <c r="R173" s="2" t="inlineStr">
        <is>
          <t>Lunglav</t>
        </is>
      </c>
      <c r="S173">
        <f>HYPERLINK("https://klasma.github.io/Logging_252582/artfynd/A 25700-2025 artfynd.xlsx", "A 25700-2025")</f>
        <v/>
      </c>
      <c r="T173">
        <f>HYPERLINK("https://klasma.github.io/Logging_252582/kartor/A 25700-2025 karta.png", "A 25700-2025")</f>
        <v/>
      </c>
      <c r="V173">
        <f>HYPERLINK("https://klasma.github.io/Logging_252582/klagomål/A 25700-2025 FSC-klagomål.docx", "A 25700-2025")</f>
        <v/>
      </c>
      <c r="W173">
        <f>HYPERLINK("https://klasma.github.io/Logging_252582/klagomålsmail/A 25700-2025 FSC-klagomål mail.docx", "A 25700-2025")</f>
        <v/>
      </c>
      <c r="X173">
        <f>HYPERLINK("https://klasma.github.io/Logging_252582/tillsyn/A 25700-2025 tillsynsbegäran.docx", "A 25700-2025")</f>
        <v/>
      </c>
      <c r="Y173">
        <f>HYPERLINK("https://klasma.github.io/Logging_252582/tillsynsmail/A 25700-2025 tillsynsbegäran mail.docx", "A 25700-2025")</f>
        <v/>
      </c>
    </row>
    <row r="174" ht="15" customHeight="1">
      <c r="A174" t="inlineStr">
        <is>
          <t>A 25701-2025</t>
        </is>
      </c>
      <c r="B174" s="1" t="n">
        <v>45803</v>
      </c>
      <c r="C174" s="1" t="n">
        <v>45844</v>
      </c>
      <c r="D174" t="inlineStr">
        <is>
          <t>NORRBOTTENS LÄN</t>
        </is>
      </c>
      <c r="E174" t="inlineStr">
        <is>
          <t>BODEN</t>
        </is>
      </c>
      <c r="F174" t="inlineStr">
        <is>
          <t>Sveaskog</t>
        </is>
      </c>
      <c r="G174" t="n">
        <v>8.800000000000001</v>
      </c>
      <c r="H174" t="n">
        <v>0</v>
      </c>
      <c r="I174" t="n">
        <v>0</v>
      </c>
      <c r="J174" t="n">
        <v>1</v>
      </c>
      <c r="K174" t="n">
        <v>0</v>
      </c>
      <c r="L174" t="n">
        <v>0</v>
      </c>
      <c r="M174" t="n">
        <v>0</v>
      </c>
      <c r="N174" t="n">
        <v>0</v>
      </c>
      <c r="O174" t="n">
        <v>1</v>
      </c>
      <c r="P174" t="n">
        <v>0</v>
      </c>
      <c r="Q174" t="n">
        <v>1</v>
      </c>
      <c r="R174" s="2" t="inlineStr">
        <is>
          <t>Lunglav</t>
        </is>
      </c>
      <c r="S174">
        <f>HYPERLINK("https://klasma.github.io/Logging_252582/artfynd/A 25701-2025 artfynd.xlsx", "A 25701-2025")</f>
        <v/>
      </c>
      <c r="T174">
        <f>HYPERLINK("https://klasma.github.io/Logging_252582/kartor/A 25701-2025 karta.png", "A 25701-2025")</f>
        <v/>
      </c>
      <c r="V174">
        <f>HYPERLINK("https://klasma.github.io/Logging_252582/klagomål/A 25701-2025 FSC-klagomål.docx", "A 25701-2025")</f>
        <v/>
      </c>
      <c r="W174">
        <f>HYPERLINK("https://klasma.github.io/Logging_252582/klagomålsmail/A 25701-2025 FSC-klagomål mail.docx", "A 25701-2025")</f>
        <v/>
      </c>
      <c r="X174">
        <f>HYPERLINK("https://klasma.github.io/Logging_252582/tillsyn/A 25701-2025 tillsynsbegäran.docx", "A 25701-2025")</f>
        <v/>
      </c>
      <c r="Y174">
        <f>HYPERLINK("https://klasma.github.io/Logging_252582/tillsynsmail/A 25701-2025 tillsynsbegäran mail.docx", "A 25701-2025")</f>
        <v/>
      </c>
    </row>
    <row r="175" ht="15" customHeight="1">
      <c r="A175" t="inlineStr">
        <is>
          <t>A 31079-2025</t>
        </is>
      </c>
      <c r="B175" s="1" t="n">
        <v>45832</v>
      </c>
      <c r="C175" s="1" t="n">
        <v>45844</v>
      </c>
      <c r="D175" t="inlineStr">
        <is>
          <t>NORRBOTTENS LÄN</t>
        </is>
      </c>
      <c r="E175" t="inlineStr">
        <is>
          <t>BODEN</t>
        </is>
      </c>
      <c r="F175" t="inlineStr">
        <is>
          <t>Sveaskog</t>
        </is>
      </c>
      <c r="G175" t="n">
        <v>21.5</v>
      </c>
      <c r="H175" t="n">
        <v>1</v>
      </c>
      <c r="I175" t="n">
        <v>0</v>
      </c>
      <c r="J175" t="n">
        <v>0</v>
      </c>
      <c r="K175" t="n">
        <v>0</v>
      </c>
      <c r="L175" t="n">
        <v>0</v>
      </c>
      <c r="M175" t="n">
        <v>0</v>
      </c>
      <c r="N175" t="n">
        <v>0</v>
      </c>
      <c r="O175" t="n">
        <v>0</v>
      </c>
      <c r="P175" t="n">
        <v>0</v>
      </c>
      <c r="Q175" t="n">
        <v>1</v>
      </c>
      <c r="R175" s="2" t="inlineStr">
        <is>
          <t>Fläcknycklar</t>
        </is>
      </c>
      <c r="S175">
        <f>HYPERLINK("https://klasma.github.io/Logging_252582/artfynd/A 31079-2025 artfynd.xlsx", "A 31079-2025")</f>
        <v/>
      </c>
      <c r="T175">
        <f>HYPERLINK("https://klasma.github.io/Logging_252582/kartor/A 31079-2025 karta.png", "A 31079-2025")</f>
        <v/>
      </c>
      <c r="V175">
        <f>HYPERLINK("https://klasma.github.io/Logging_252582/klagomål/A 31079-2025 FSC-klagomål.docx", "A 31079-2025")</f>
        <v/>
      </c>
      <c r="W175">
        <f>HYPERLINK("https://klasma.github.io/Logging_252582/klagomålsmail/A 31079-2025 FSC-klagomål mail.docx", "A 31079-2025")</f>
        <v/>
      </c>
      <c r="X175">
        <f>HYPERLINK("https://klasma.github.io/Logging_252582/tillsyn/A 31079-2025 tillsynsbegäran.docx", "A 31079-2025")</f>
        <v/>
      </c>
      <c r="Y175">
        <f>HYPERLINK("https://klasma.github.io/Logging_252582/tillsynsmail/A 31079-2025 tillsynsbegäran mail.docx", "A 31079-2025")</f>
        <v/>
      </c>
    </row>
    <row r="176" ht="15" customHeight="1">
      <c r="A176" t="inlineStr">
        <is>
          <t>A 31487-2025</t>
        </is>
      </c>
      <c r="B176" s="1" t="n">
        <v>45833</v>
      </c>
      <c r="C176" s="1" t="n">
        <v>45844</v>
      </c>
      <c r="D176" t="inlineStr">
        <is>
          <t>NORRBOTTENS LÄN</t>
        </is>
      </c>
      <c r="E176" t="inlineStr">
        <is>
          <t>BODEN</t>
        </is>
      </c>
      <c r="F176" t="inlineStr">
        <is>
          <t>Övriga Aktiebolag</t>
        </is>
      </c>
      <c r="G176" t="n">
        <v>9.800000000000001</v>
      </c>
      <c r="H176" t="n">
        <v>1</v>
      </c>
      <c r="I176" t="n">
        <v>1</v>
      </c>
      <c r="J176" t="n">
        <v>0</v>
      </c>
      <c r="K176" t="n">
        <v>0</v>
      </c>
      <c r="L176" t="n">
        <v>0</v>
      </c>
      <c r="M176" t="n">
        <v>0</v>
      </c>
      <c r="N176" t="n">
        <v>0</v>
      </c>
      <c r="O176" t="n">
        <v>0</v>
      </c>
      <c r="P176" t="n">
        <v>0</v>
      </c>
      <c r="Q176" t="n">
        <v>1</v>
      </c>
      <c r="R176" s="2" t="inlineStr">
        <is>
          <t>Plattlummer</t>
        </is>
      </c>
      <c r="S176">
        <f>HYPERLINK("https://klasma.github.io/Logging_252582/artfynd/A 31487-2025 artfynd.xlsx", "A 31487-2025")</f>
        <v/>
      </c>
      <c r="T176">
        <f>HYPERLINK("https://klasma.github.io/Logging_252582/kartor/A 31487-2025 karta.png", "A 31487-2025")</f>
        <v/>
      </c>
      <c r="V176">
        <f>HYPERLINK("https://klasma.github.io/Logging_252582/klagomål/A 31487-2025 FSC-klagomål.docx", "A 31487-2025")</f>
        <v/>
      </c>
      <c r="W176">
        <f>HYPERLINK("https://klasma.github.io/Logging_252582/klagomålsmail/A 31487-2025 FSC-klagomål mail.docx", "A 31487-2025")</f>
        <v/>
      </c>
      <c r="X176">
        <f>HYPERLINK("https://klasma.github.io/Logging_252582/tillsyn/A 31487-2025 tillsynsbegäran.docx", "A 31487-2025")</f>
        <v/>
      </c>
      <c r="Y176">
        <f>HYPERLINK("https://klasma.github.io/Logging_252582/tillsynsmail/A 31487-2025 tillsynsbegäran mail.docx", "A 31487-2025")</f>
        <v/>
      </c>
    </row>
    <row r="177" ht="15" customHeight="1">
      <c r="A177" t="inlineStr">
        <is>
          <t>A 32119-2025</t>
        </is>
      </c>
      <c r="B177" s="1" t="n">
        <v>45835</v>
      </c>
      <c r="C177" s="1" t="n">
        <v>45844</v>
      </c>
      <c r="D177" t="inlineStr">
        <is>
          <t>NORRBOTTENS LÄN</t>
        </is>
      </c>
      <c r="E177" t="inlineStr">
        <is>
          <t>BODEN</t>
        </is>
      </c>
      <c r="F177" t="inlineStr">
        <is>
          <t>Sveaskog</t>
        </is>
      </c>
      <c r="G177" t="n">
        <v>2</v>
      </c>
      <c r="H177" t="n">
        <v>0</v>
      </c>
      <c r="I177" t="n">
        <v>1</v>
      </c>
      <c r="J177" t="n">
        <v>0</v>
      </c>
      <c r="K177" t="n">
        <v>0</v>
      </c>
      <c r="L177" t="n">
        <v>0</v>
      </c>
      <c r="M177" t="n">
        <v>0</v>
      </c>
      <c r="N177" t="n">
        <v>0</v>
      </c>
      <c r="O177" t="n">
        <v>0</v>
      </c>
      <c r="P177" t="n">
        <v>0</v>
      </c>
      <c r="Q177" t="n">
        <v>1</v>
      </c>
      <c r="R177" s="2" t="inlineStr">
        <is>
          <t>Grönpyrola</t>
        </is>
      </c>
      <c r="S177">
        <f>HYPERLINK("https://klasma.github.io/Logging_252582/artfynd/A 32119-2025 artfynd.xlsx", "A 32119-2025")</f>
        <v/>
      </c>
      <c r="T177">
        <f>HYPERLINK("https://klasma.github.io/Logging_252582/kartor/A 32119-2025 karta.png", "A 32119-2025")</f>
        <v/>
      </c>
      <c r="V177">
        <f>HYPERLINK("https://klasma.github.io/Logging_252582/klagomål/A 32119-2025 FSC-klagomål.docx", "A 32119-2025")</f>
        <v/>
      </c>
      <c r="W177">
        <f>HYPERLINK("https://klasma.github.io/Logging_252582/klagomålsmail/A 32119-2025 FSC-klagomål mail.docx", "A 32119-2025")</f>
        <v/>
      </c>
      <c r="X177">
        <f>HYPERLINK("https://klasma.github.io/Logging_252582/tillsyn/A 32119-2025 tillsynsbegäran.docx", "A 32119-2025")</f>
        <v/>
      </c>
      <c r="Y177">
        <f>HYPERLINK("https://klasma.github.io/Logging_252582/tillsynsmail/A 32119-2025 tillsynsbegäran mail.docx", "A 32119-2025")</f>
        <v/>
      </c>
    </row>
    <row r="178" ht="15" customHeight="1">
      <c r="A178" t="inlineStr">
        <is>
          <t>A 18176-2019</t>
        </is>
      </c>
      <c r="B178" s="1" t="n">
        <v>43558</v>
      </c>
      <c r="C178" s="1" t="n">
        <v>45844</v>
      </c>
      <c r="D178" t="inlineStr">
        <is>
          <t>NORRBOTTENS LÄN</t>
        </is>
      </c>
      <c r="E178" t="inlineStr">
        <is>
          <t>BODEN</t>
        </is>
      </c>
      <c r="F178" t="inlineStr">
        <is>
          <t>Sveaskog</t>
        </is>
      </c>
      <c r="G178" t="n">
        <v>27.5</v>
      </c>
      <c r="H178" t="n">
        <v>0</v>
      </c>
      <c r="I178" t="n">
        <v>0</v>
      </c>
      <c r="J178" t="n">
        <v>0</v>
      </c>
      <c r="K178" t="n">
        <v>0</v>
      </c>
      <c r="L178" t="n">
        <v>0</v>
      </c>
      <c r="M178" t="n">
        <v>0</v>
      </c>
      <c r="N178" t="n">
        <v>0</v>
      </c>
      <c r="O178" t="n">
        <v>0</v>
      </c>
      <c r="P178" t="n">
        <v>0</v>
      </c>
      <c r="Q178" t="n">
        <v>0</v>
      </c>
      <c r="R178" s="2" t="inlineStr"/>
    </row>
    <row r="179" ht="15" customHeight="1">
      <c r="A179" t="inlineStr">
        <is>
          <t>A 18939-2019</t>
        </is>
      </c>
      <c r="B179" s="1" t="n">
        <v>43563</v>
      </c>
      <c r="C179" s="1" t="n">
        <v>45844</v>
      </c>
      <c r="D179" t="inlineStr">
        <is>
          <t>NORRBOTTENS LÄN</t>
        </is>
      </c>
      <c r="E179" t="inlineStr">
        <is>
          <t>BODEN</t>
        </is>
      </c>
      <c r="G179" t="n">
        <v>0.9</v>
      </c>
      <c r="H179" t="n">
        <v>0</v>
      </c>
      <c r="I179" t="n">
        <v>0</v>
      </c>
      <c r="J179" t="n">
        <v>0</v>
      </c>
      <c r="K179" t="n">
        <v>0</v>
      </c>
      <c r="L179" t="n">
        <v>0</v>
      </c>
      <c r="M179" t="n">
        <v>0</v>
      </c>
      <c r="N179" t="n">
        <v>0</v>
      </c>
      <c r="O179" t="n">
        <v>0</v>
      </c>
      <c r="P179" t="n">
        <v>0</v>
      </c>
      <c r="Q179" t="n">
        <v>0</v>
      </c>
      <c r="R179" s="2" t="inlineStr"/>
    </row>
    <row r="180" ht="15" customHeight="1">
      <c r="A180" t="inlineStr">
        <is>
          <t>A 19558-2019</t>
        </is>
      </c>
      <c r="B180" s="1" t="n">
        <v>43565</v>
      </c>
      <c r="C180" s="1" t="n">
        <v>45844</v>
      </c>
      <c r="D180" t="inlineStr">
        <is>
          <t>NORRBOTTENS LÄN</t>
        </is>
      </c>
      <c r="E180" t="inlineStr">
        <is>
          <t>BODEN</t>
        </is>
      </c>
      <c r="F180" t="inlineStr">
        <is>
          <t>SCA</t>
        </is>
      </c>
      <c r="G180" t="n">
        <v>2.7</v>
      </c>
      <c r="H180" t="n">
        <v>0</v>
      </c>
      <c r="I180" t="n">
        <v>0</v>
      </c>
      <c r="J180" t="n">
        <v>0</v>
      </c>
      <c r="K180" t="n">
        <v>0</v>
      </c>
      <c r="L180" t="n">
        <v>0</v>
      </c>
      <c r="M180" t="n">
        <v>0</v>
      </c>
      <c r="N180" t="n">
        <v>0</v>
      </c>
      <c r="O180" t="n">
        <v>0</v>
      </c>
      <c r="P180" t="n">
        <v>0</v>
      </c>
      <c r="Q180" t="n">
        <v>0</v>
      </c>
      <c r="R180" s="2" t="inlineStr"/>
    </row>
    <row r="181" ht="15" customHeight="1">
      <c r="A181" t="inlineStr">
        <is>
          <t>A 20295-2019</t>
        </is>
      </c>
      <c r="B181" s="1" t="n">
        <v>43567</v>
      </c>
      <c r="C181" s="1" t="n">
        <v>45844</v>
      </c>
      <c r="D181" t="inlineStr">
        <is>
          <t>NORRBOTTENS LÄN</t>
        </is>
      </c>
      <c r="E181" t="inlineStr">
        <is>
          <t>BODEN</t>
        </is>
      </c>
      <c r="G181" t="n">
        <v>1.6</v>
      </c>
      <c r="H181" t="n">
        <v>0</v>
      </c>
      <c r="I181" t="n">
        <v>0</v>
      </c>
      <c r="J181" t="n">
        <v>0</v>
      </c>
      <c r="K181" t="n">
        <v>0</v>
      </c>
      <c r="L181" t="n">
        <v>0</v>
      </c>
      <c r="M181" t="n">
        <v>0</v>
      </c>
      <c r="N181" t="n">
        <v>0</v>
      </c>
      <c r="O181" t="n">
        <v>0</v>
      </c>
      <c r="P181" t="n">
        <v>0</v>
      </c>
      <c r="Q181" t="n">
        <v>0</v>
      </c>
      <c r="R181" s="2" t="inlineStr"/>
    </row>
    <row r="182" ht="15" customHeight="1">
      <c r="A182" t="inlineStr">
        <is>
          <t>A 20903-2019</t>
        </is>
      </c>
      <c r="B182" s="1" t="n">
        <v>43573</v>
      </c>
      <c r="C182" s="1" t="n">
        <v>45844</v>
      </c>
      <c r="D182" t="inlineStr">
        <is>
          <t>NORRBOTTENS LÄN</t>
        </is>
      </c>
      <c r="E182" t="inlineStr">
        <is>
          <t>BODEN</t>
        </is>
      </c>
      <c r="G182" t="n">
        <v>0.7</v>
      </c>
      <c r="H182" t="n">
        <v>0</v>
      </c>
      <c r="I182" t="n">
        <v>0</v>
      </c>
      <c r="J182" t="n">
        <v>0</v>
      </c>
      <c r="K182" t="n">
        <v>0</v>
      </c>
      <c r="L182" t="n">
        <v>0</v>
      </c>
      <c r="M182" t="n">
        <v>0</v>
      </c>
      <c r="N182" t="n">
        <v>0</v>
      </c>
      <c r="O182" t="n">
        <v>0</v>
      </c>
      <c r="P182" t="n">
        <v>0</v>
      </c>
      <c r="Q182" t="n">
        <v>0</v>
      </c>
      <c r="R182" s="2" t="inlineStr"/>
    </row>
    <row r="183" ht="15" customHeight="1">
      <c r="A183" t="inlineStr">
        <is>
          <t>A 20916-2019</t>
        </is>
      </c>
      <c r="B183" s="1" t="n">
        <v>43573</v>
      </c>
      <c r="C183" s="1" t="n">
        <v>45844</v>
      </c>
      <c r="D183" t="inlineStr">
        <is>
          <t>NORRBOTTENS LÄN</t>
        </is>
      </c>
      <c r="E183" t="inlineStr">
        <is>
          <t>BODEN</t>
        </is>
      </c>
      <c r="G183" t="n">
        <v>2.2</v>
      </c>
      <c r="H183" t="n">
        <v>0</v>
      </c>
      <c r="I183" t="n">
        <v>0</v>
      </c>
      <c r="J183" t="n">
        <v>0</v>
      </c>
      <c r="K183" t="n">
        <v>0</v>
      </c>
      <c r="L183" t="n">
        <v>0</v>
      </c>
      <c r="M183" t="n">
        <v>0</v>
      </c>
      <c r="N183" t="n">
        <v>0</v>
      </c>
      <c r="O183" t="n">
        <v>0</v>
      </c>
      <c r="P183" t="n">
        <v>0</v>
      </c>
      <c r="Q183" t="n">
        <v>0</v>
      </c>
      <c r="R183" s="2" t="inlineStr"/>
    </row>
    <row r="184" ht="15" customHeight="1">
      <c r="A184" t="inlineStr">
        <is>
          <t>A 21129-2019</t>
        </is>
      </c>
      <c r="B184" s="1" t="n">
        <v>43579</v>
      </c>
      <c r="C184" s="1" t="n">
        <v>45844</v>
      </c>
      <c r="D184" t="inlineStr">
        <is>
          <t>NORRBOTTENS LÄN</t>
        </is>
      </c>
      <c r="E184" t="inlineStr">
        <is>
          <t>BODEN</t>
        </is>
      </c>
      <c r="F184" t="inlineStr">
        <is>
          <t>Sveaskog</t>
        </is>
      </c>
      <c r="G184" t="n">
        <v>10.5</v>
      </c>
      <c r="H184" t="n">
        <v>0</v>
      </c>
      <c r="I184" t="n">
        <v>0</v>
      </c>
      <c r="J184" t="n">
        <v>0</v>
      </c>
      <c r="K184" t="n">
        <v>0</v>
      </c>
      <c r="L184" t="n">
        <v>0</v>
      </c>
      <c r="M184" t="n">
        <v>0</v>
      </c>
      <c r="N184" t="n">
        <v>0</v>
      </c>
      <c r="O184" t="n">
        <v>0</v>
      </c>
      <c r="P184" t="n">
        <v>0</v>
      </c>
      <c r="Q184" t="n">
        <v>0</v>
      </c>
      <c r="R184" s="2" t="inlineStr"/>
    </row>
    <row r="185" ht="15" customHeight="1">
      <c r="A185" t="inlineStr">
        <is>
          <t>A 21953-2019</t>
        </is>
      </c>
      <c r="B185" s="1" t="n">
        <v>43584</v>
      </c>
      <c r="C185" s="1" t="n">
        <v>45844</v>
      </c>
      <c r="D185" t="inlineStr">
        <is>
          <t>NORRBOTTENS LÄN</t>
        </is>
      </c>
      <c r="E185" t="inlineStr">
        <is>
          <t>BODEN</t>
        </is>
      </c>
      <c r="G185" t="n">
        <v>1.2</v>
      </c>
      <c r="H185" t="n">
        <v>0</v>
      </c>
      <c r="I185" t="n">
        <v>0</v>
      </c>
      <c r="J185" t="n">
        <v>0</v>
      </c>
      <c r="K185" t="n">
        <v>0</v>
      </c>
      <c r="L185" t="n">
        <v>0</v>
      </c>
      <c r="M185" t="n">
        <v>0</v>
      </c>
      <c r="N185" t="n">
        <v>0</v>
      </c>
      <c r="O185" t="n">
        <v>0</v>
      </c>
      <c r="P185" t="n">
        <v>0</v>
      </c>
      <c r="Q185" t="n">
        <v>0</v>
      </c>
      <c r="R185" s="2" t="inlineStr"/>
    </row>
    <row r="186" ht="15" customHeight="1">
      <c r="A186" t="inlineStr">
        <is>
          <t>A 22330-2019</t>
        </is>
      </c>
      <c r="B186" s="1" t="n">
        <v>43586</v>
      </c>
      <c r="C186" s="1" t="n">
        <v>45844</v>
      </c>
      <c r="D186" t="inlineStr">
        <is>
          <t>NORRBOTTENS LÄN</t>
        </is>
      </c>
      <c r="E186" t="inlineStr">
        <is>
          <t>BODEN</t>
        </is>
      </c>
      <c r="G186" t="n">
        <v>7.4</v>
      </c>
      <c r="H186" t="n">
        <v>0</v>
      </c>
      <c r="I186" t="n">
        <v>0</v>
      </c>
      <c r="J186" t="n">
        <v>0</v>
      </c>
      <c r="K186" t="n">
        <v>0</v>
      </c>
      <c r="L186" t="n">
        <v>0</v>
      </c>
      <c r="M186" t="n">
        <v>0</v>
      </c>
      <c r="N186" t="n">
        <v>0</v>
      </c>
      <c r="O186" t="n">
        <v>0</v>
      </c>
      <c r="P186" t="n">
        <v>0</v>
      </c>
      <c r="Q186" t="n">
        <v>0</v>
      </c>
      <c r="R186" s="2" t="inlineStr"/>
    </row>
    <row r="187" ht="15" customHeight="1">
      <c r="A187" t="inlineStr">
        <is>
          <t>A 22907-2019</t>
        </is>
      </c>
      <c r="B187" s="1" t="n">
        <v>43591</v>
      </c>
      <c r="C187" s="1" t="n">
        <v>45844</v>
      </c>
      <c r="D187" t="inlineStr">
        <is>
          <t>NORRBOTTENS LÄN</t>
        </is>
      </c>
      <c r="E187" t="inlineStr">
        <is>
          <t>BODEN</t>
        </is>
      </c>
      <c r="F187" t="inlineStr">
        <is>
          <t>Övriga Aktiebolag</t>
        </is>
      </c>
      <c r="G187" t="n">
        <v>4.1</v>
      </c>
      <c r="H187" t="n">
        <v>0</v>
      </c>
      <c r="I187" t="n">
        <v>0</v>
      </c>
      <c r="J187" t="n">
        <v>0</v>
      </c>
      <c r="K187" t="n">
        <v>0</v>
      </c>
      <c r="L187" t="n">
        <v>0</v>
      </c>
      <c r="M187" t="n">
        <v>0</v>
      </c>
      <c r="N187" t="n">
        <v>0</v>
      </c>
      <c r="O187" t="n">
        <v>0</v>
      </c>
      <c r="P187" t="n">
        <v>0</v>
      </c>
      <c r="Q187" t="n">
        <v>0</v>
      </c>
      <c r="R187" s="2" t="inlineStr"/>
    </row>
    <row r="188" ht="15" customHeight="1">
      <c r="A188" t="inlineStr">
        <is>
          <t>A 23082-2019</t>
        </is>
      </c>
      <c r="B188" s="1" t="n">
        <v>43591</v>
      </c>
      <c r="C188" s="1" t="n">
        <v>45844</v>
      </c>
      <c r="D188" t="inlineStr">
        <is>
          <t>NORRBOTTENS LÄN</t>
        </is>
      </c>
      <c r="E188" t="inlineStr">
        <is>
          <t>BODEN</t>
        </is>
      </c>
      <c r="F188" t="inlineStr">
        <is>
          <t>SCA</t>
        </is>
      </c>
      <c r="G188" t="n">
        <v>7.9</v>
      </c>
      <c r="H188" t="n">
        <v>0</v>
      </c>
      <c r="I188" t="n">
        <v>0</v>
      </c>
      <c r="J188" t="n">
        <v>0</v>
      </c>
      <c r="K188" t="n">
        <v>0</v>
      </c>
      <c r="L188" t="n">
        <v>0</v>
      </c>
      <c r="M188" t="n">
        <v>0</v>
      </c>
      <c r="N188" t="n">
        <v>0</v>
      </c>
      <c r="O188" t="n">
        <v>0</v>
      </c>
      <c r="P188" t="n">
        <v>0</v>
      </c>
      <c r="Q188" t="n">
        <v>0</v>
      </c>
      <c r="R188" s="2" t="inlineStr"/>
    </row>
    <row r="189" ht="15" customHeight="1">
      <c r="A189" t="inlineStr">
        <is>
          <t>A 23152-2019</t>
        </is>
      </c>
      <c r="B189" s="1" t="n">
        <v>43591</v>
      </c>
      <c r="C189" s="1" t="n">
        <v>45844</v>
      </c>
      <c r="D189" t="inlineStr">
        <is>
          <t>NORRBOTTENS LÄN</t>
        </is>
      </c>
      <c r="E189" t="inlineStr">
        <is>
          <t>BODEN</t>
        </is>
      </c>
      <c r="G189" t="n">
        <v>53</v>
      </c>
      <c r="H189" t="n">
        <v>0</v>
      </c>
      <c r="I189" t="n">
        <v>0</v>
      </c>
      <c r="J189" t="n">
        <v>0</v>
      </c>
      <c r="K189" t="n">
        <v>0</v>
      </c>
      <c r="L189" t="n">
        <v>0</v>
      </c>
      <c r="M189" t="n">
        <v>0</v>
      </c>
      <c r="N189" t="n">
        <v>0</v>
      </c>
      <c r="O189" t="n">
        <v>0</v>
      </c>
      <c r="P189" t="n">
        <v>0</v>
      </c>
      <c r="Q189" t="n">
        <v>0</v>
      </c>
      <c r="R189" s="2" t="inlineStr"/>
    </row>
    <row r="190" ht="15" customHeight="1">
      <c r="A190" t="inlineStr">
        <is>
          <t>A 23312-2019</t>
        </is>
      </c>
      <c r="B190" s="1" t="n">
        <v>43593</v>
      </c>
      <c r="C190" s="1" t="n">
        <v>45844</v>
      </c>
      <c r="D190" t="inlineStr">
        <is>
          <t>NORRBOTTENS LÄN</t>
        </is>
      </c>
      <c r="E190" t="inlineStr">
        <is>
          <t>BODEN</t>
        </is>
      </c>
      <c r="F190" t="inlineStr">
        <is>
          <t>Övriga Aktiebolag</t>
        </is>
      </c>
      <c r="G190" t="n">
        <v>2.7</v>
      </c>
      <c r="H190" t="n">
        <v>0</v>
      </c>
      <c r="I190" t="n">
        <v>0</v>
      </c>
      <c r="J190" t="n">
        <v>0</v>
      </c>
      <c r="K190" t="n">
        <v>0</v>
      </c>
      <c r="L190" t="n">
        <v>0</v>
      </c>
      <c r="M190" t="n">
        <v>0</v>
      </c>
      <c r="N190" t="n">
        <v>0</v>
      </c>
      <c r="O190" t="n">
        <v>0</v>
      </c>
      <c r="P190" t="n">
        <v>0</v>
      </c>
      <c r="Q190" t="n">
        <v>0</v>
      </c>
      <c r="R190" s="2" t="inlineStr"/>
      <c r="U190">
        <f>HYPERLINK("https://klasma.github.io/Logging_2582/knärot/A 23312-2019 karta knärot.png", "A 23312-2019")</f>
        <v/>
      </c>
      <c r="V190">
        <f>HYPERLINK("https://klasma.github.io/Logging_2582/klagomål/A 23312-2019 FSC-klagomål.docx", "A 23312-2019")</f>
        <v/>
      </c>
      <c r="W190">
        <f>HYPERLINK("https://klasma.github.io/Logging_2582/klagomålsmail/A 23312-2019 FSC-klagomål mail.docx", "A 23312-2019")</f>
        <v/>
      </c>
      <c r="X190">
        <f>HYPERLINK("https://klasma.github.io/Logging_2582/tillsyn/A 23312-2019 tillsynsbegäran.docx", "A 23312-2019")</f>
        <v/>
      </c>
      <c r="Y190">
        <f>HYPERLINK("https://klasma.github.io/Logging_2582/tillsynsmail/A 23312-2019 tillsynsbegäran mail.docx", "A 23312-2019")</f>
        <v/>
      </c>
    </row>
    <row r="191" ht="15" customHeight="1">
      <c r="A191" t="inlineStr">
        <is>
          <t>A 24156-2019</t>
        </is>
      </c>
      <c r="B191" s="1" t="n">
        <v>43598</v>
      </c>
      <c r="C191" s="1" t="n">
        <v>45844</v>
      </c>
      <c r="D191" t="inlineStr">
        <is>
          <t>NORRBOTTENS LÄN</t>
        </is>
      </c>
      <c r="E191" t="inlineStr">
        <is>
          <t>BODEN</t>
        </is>
      </c>
      <c r="G191" t="n">
        <v>8.6</v>
      </c>
      <c r="H191" t="n">
        <v>0</v>
      </c>
      <c r="I191" t="n">
        <v>0</v>
      </c>
      <c r="J191" t="n">
        <v>0</v>
      </c>
      <c r="K191" t="n">
        <v>0</v>
      </c>
      <c r="L191" t="n">
        <v>0</v>
      </c>
      <c r="M191" t="n">
        <v>0</v>
      </c>
      <c r="N191" t="n">
        <v>0</v>
      </c>
      <c r="O191" t="n">
        <v>0</v>
      </c>
      <c r="P191" t="n">
        <v>0</v>
      </c>
      <c r="Q191" t="n">
        <v>0</v>
      </c>
      <c r="R191" s="2" t="inlineStr"/>
    </row>
    <row r="192" ht="15" customHeight="1">
      <c r="A192" t="inlineStr">
        <is>
          <t>A 24564-2019</t>
        </is>
      </c>
      <c r="B192" s="1" t="n">
        <v>43600</v>
      </c>
      <c r="C192" s="1" t="n">
        <v>45844</v>
      </c>
      <c r="D192" t="inlineStr">
        <is>
          <t>NORRBOTTENS LÄN</t>
        </is>
      </c>
      <c r="E192" t="inlineStr">
        <is>
          <t>BODEN</t>
        </is>
      </c>
      <c r="F192" t="inlineStr">
        <is>
          <t>Sveaskog</t>
        </is>
      </c>
      <c r="G192" t="n">
        <v>10</v>
      </c>
      <c r="H192" t="n">
        <v>0</v>
      </c>
      <c r="I192" t="n">
        <v>0</v>
      </c>
      <c r="J192" t="n">
        <v>0</v>
      </c>
      <c r="K192" t="n">
        <v>0</v>
      </c>
      <c r="L192" t="n">
        <v>0</v>
      </c>
      <c r="M192" t="n">
        <v>0</v>
      </c>
      <c r="N192" t="n">
        <v>0</v>
      </c>
      <c r="O192" t="n">
        <v>0</v>
      </c>
      <c r="P192" t="n">
        <v>0</v>
      </c>
      <c r="Q192" t="n">
        <v>0</v>
      </c>
      <c r="R192" s="2" t="inlineStr"/>
    </row>
    <row r="193" ht="15" customHeight="1">
      <c r="A193" t="inlineStr">
        <is>
          <t>A 24837-2019</t>
        </is>
      </c>
      <c r="B193" s="1" t="n">
        <v>43602</v>
      </c>
      <c r="C193" s="1" t="n">
        <v>45844</v>
      </c>
      <c r="D193" t="inlineStr">
        <is>
          <t>NORRBOTTENS LÄN</t>
        </is>
      </c>
      <c r="E193" t="inlineStr">
        <is>
          <t>BODEN</t>
        </is>
      </c>
      <c r="F193" t="inlineStr">
        <is>
          <t>Övriga Aktiebolag</t>
        </is>
      </c>
      <c r="G193" t="n">
        <v>24.6</v>
      </c>
      <c r="H193" t="n">
        <v>0</v>
      </c>
      <c r="I193" t="n">
        <v>0</v>
      </c>
      <c r="J193" t="n">
        <v>0</v>
      </c>
      <c r="K193" t="n">
        <v>0</v>
      </c>
      <c r="L193" t="n">
        <v>0</v>
      </c>
      <c r="M193" t="n">
        <v>0</v>
      </c>
      <c r="N193" t="n">
        <v>0</v>
      </c>
      <c r="O193" t="n">
        <v>0</v>
      </c>
      <c r="P193" t="n">
        <v>0</v>
      </c>
      <c r="Q193" t="n">
        <v>0</v>
      </c>
      <c r="R193" s="2" t="inlineStr"/>
    </row>
    <row r="194" ht="15" customHeight="1">
      <c r="A194" t="inlineStr">
        <is>
          <t>A 24838-2019</t>
        </is>
      </c>
      <c r="B194" s="1" t="n">
        <v>43602</v>
      </c>
      <c r="C194" s="1" t="n">
        <v>45844</v>
      </c>
      <c r="D194" t="inlineStr">
        <is>
          <t>NORRBOTTENS LÄN</t>
        </is>
      </c>
      <c r="E194" t="inlineStr">
        <is>
          <t>BODEN</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26137-2019</t>
        </is>
      </c>
      <c r="B195" s="1" t="n">
        <v>43609</v>
      </c>
      <c r="C195" s="1" t="n">
        <v>45844</v>
      </c>
      <c r="D195" t="inlineStr">
        <is>
          <t>NORRBOTTENS LÄN</t>
        </is>
      </c>
      <c r="E195" t="inlineStr">
        <is>
          <t>BODEN</t>
        </is>
      </c>
      <c r="G195" t="n">
        <v>3.9</v>
      </c>
      <c r="H195" t="n">
        <v>0</v>
      </c>
      <c r="I195" t="n">
        <v>0</v>
      </c>
      <c r="J195" t="n">
        <v>0</v>
      </c>
      <c r="K195" t="n">
        <v>0</v>
      </c>
      <c r="L195" t="n">
        <v>0</v>
      </c>
      <c r="M195" t="n">
        <v>0</v>
      </c>
      <c r="N195" t="n">
        <v>0</v>
      </c>
      <c r="O195" t="n">
        <v>0</v>
      </c>
      <c r="P195" t="n">
        <v>0</v>
      </c>
      <c r="Q195" t="n">
        <v>0</v>
      </c>
      <c r="R195" s="2" t="inlineStr"/>
    </row>
    <row r="196" ht="15" customHeight="1">
      <c r="A196" t="inlineStr">
        <is>
          <t>A 26139-2019</t>
        </is>
      </c>
      <c r="B196" s="1" t="n">
        <v>43609</v>
      </c>
      <c r="C196" s="1" t="n">
        <v>45844</v>
      </c>
      <c r="D196" t="inlineStr">
        <is>
          <t>NORRBOTTENS LÄN</t>
        </is>
      </c>
      <c r="E196" t="inlineStr">
        <is>
          <t>BODEN</t>
        </is>
      </c>
      <c r="G196" t="n">
        <v>5.1</v>
      </c>
      <c r="H196" t="n">
        <v>0</v>
      </c>
      <c r="I196" t="n">
        <v>0</v>
      </c>
      <c r="J196" t="n">
        <v>0</v>
      </c>
      <c r="K196" t="n">
        <v>0</v>
      </c>
      <c r="L196" t="n">
        <v>0</v>
      </c>
      <c r="M196" t="n">
        <v>0</v>
      </c>
      <c r="N196" t="n">
        <v>0</v>
      </c>
      <c r="O196" t="n">
        <v>0</v>
      </c>
      <c r="P196" t="n">
        <v>0</v>
      </c>
      <c r="Q196" t="n">
        <v>0</v>
      </c>
      <c r="R196" s="2" t="inlineStr"/>
    </row>
    <row r="197" ht="15" customHeight="1">
      <c r="A197" t="inlineStr">
        <is>
          <t>A 26209-2019</t>
        </is>
      </c>
      <c r="B197" s="1" t="n">
        <v>43609</v>
      </c>
      <c r="C197" s="1" t="n">
        <v>45844</v>
      </c>
      <c r="D197" t="inlineStr">
        <is>
          <t>NORRBOTTENS LÄN</t>
        </is>
      </c>
      <c r="E197" t="inlineStr">
        <is>
          <t>BODEN</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28698-2019</t>
        </is>
      </c>
      <c r="B198" s="1" t="n">
        <v>43614</v>
      </c>
      <c r="C198" s="1" t="n">
        <v>45844</v>
      </c>
      <c r="D198" t="inlineStr">
        <is>
          <t>NORRBOTTENS LÄN</t>
        </is>
      </c>
      <c r="E198" t="inlineStr">
        <is>
          <t>BODEN</t>
        </is>
      </c>
      <c r="G198" t="n">
        <v>2.3</v>
      </c>
      <c r="H198" t="n">
        <v>0</v>
      </c>
      <c r="I198" t="n">
        <v>0</v>
      </c>
      <c r="J198" t="n">
        <v>0</v>
      </c>
      <c r="K198" t="n">
        <v>0</v>
      </c>
      <c r="L198" t="n">
        <v>0</v>
      </c>
      <c r="M198" t="n">
        <v>0</v>
      </c>
      <c r="N198" t="n">
        <v>0</v>
      </c>
      <c r="O198" t="n">
        <v>0</v>
      </c>
      <c r="P198" t="n">
        <v>0</v>
      </c>
      <c r="Q198" t="n">
        <v>0</v>
      </c>
      <c r="R198" s="2" t="inlineStr"/>
    </row>
    <row r="199" ht="15" customHeight="1">
      <c r="A199" t="inlineStr">
        <is>
          <t>A 27389-2019</t>
        </is>
      </c>
      <c r="B199" s="1" t="n">
        <v>43616</v>
      </c>
      <c r="C199" s="1" t="n">
        <v>45844</v>
      </c>
      <c r="D199" t="inlineStr">
        <is>
          <t>NORRBOTTENS LÄN</t>
        </is>
      </c>
      <c r="E199" t="inlineStr">
        <is>
          <t>BODEN</t>
        </is>
      </c>
      <c r="G199" t="n">
        <v>0.4</v>
      </c>
      <c r="H199" t="n">
        <v>0</v>
      </c>
      <c r="I199" t="n">
        <v>0</v>
      </c>
      <c r="J199" t="n">
        <v>0</v>
      </c>
      <c r="K199" t="n">
        <v>0</v>
      </c>
      <c r="L199" t="n">
        <v>0</v>
      </c>
      <c r="M199" t="n">
        <v>0</v>
      </c>
      <c r="N199" t="n">
        <v>0</v>
      </c>
      <c r="O199" t="n">
        <v>0</v>
      </c>
      <c r="P199" t="n">
        <v>0</v>
      </c>
      <c r="Q199" t="n">
        <v>0</v>
      </c>
      <c r="R199" s="2" t="inlineStr"/>
    </row>
    <row r="200" ht="15" customHeight="1">
      <c r="A200" t="inlineStr">
        <is>
          <t>A 28881-2019</t>
        </is>
      </c>
      <c r="B200" s="1" t="n">
        <v>43616</v>
      </c>
      <c r="C200" s="1" t="n">
        <v>45844</v>
      </c>
      <c r="D200" t="inlineStr">
        <is>
          <t>NORRBOTTENS LÄN</t>
        </is>
      </c>
      <c r="E200" t="inlineStr">
        <is>
          <t>BODEN</t>
        </is>
      </c>
      <c r="G200" t="n">
        <v>6.7</v>
      </c>
      <c r="H200" t="n">
        <v>0</v>
      </c>
      <c r="I200" t="n">
        <v>0</v>
      </c>
      <c r="J200" t="n">
        <v>0</v>
      </c>
      <c r="K200" t="n">
        <v>0</v>
      </c>
      <c r="L200" t="n">
        <v>0</v>
      </c>
      <c r="M200" t="n">
        <v>0</v>
      </c>
      <c r="N200" t="n">
        <v>0</v>
      </c>
      <c r="O200" t="n">
        <v>0</v>
      </c>
      <c r="P200" t="n">
        <v>0</v>
      </c>
      <c r="Q200" t="n">
        <v>0</v>
      </c>
      <c r="R200" s="2" t="inlineStr"/>
    </row>
    <row r="201" ht="15" customHeight="1">
      <c r="A201" t="inlineStr">
        <is>
          <t>A 28886-2019</t>
        </is>
      </c>
      <c r="B201" s="1" t="n">
        <v>43616</v>
      </c>
      <c r="C201" s="1" t="n">
        <v>45844</v>
      </c>
      <c r="D201" t="inlineStr">
        <is>
          <t>NORRBOTTENS LÄN</t>
        </is>
      </c>
      <c r="E201" t="inlineStr">
        <is>
          <t>BODEN</t>
        </is>
      </c>
      <c r="G201" t="n">
        <v>2.5</v>
      </c>
      <c r="H201" t="n">
        <v>0</v>
      </c>
      <c r="I201" t="n">
        <v>0</v>
      </c>
      <c r="J201" t="n">
        <v>0</v>
      </c>
      <c r="K201" t="n">
        <v>0</v>
      </c>
      <c r="L201" t="n">
        <v>0</v>
      </c>
      <c r="M201" t="n">
        <v>0</v>
      </c>
      <c r="N201" t="n">
        <v>0</v>
      </c>
      <c r="O201" t="n">
        <v>0</v>
      </c>
      <c r="P201" t="n">
        <v>0</v>
      </c>
      <c r="Q201" t="n">
        <v>0</v>
      </c>
      <c r="R201" s="2" t="inlineStr"/>
    </row>
    <row r="202" ht="15" customHeight="1">
      <c r="A202" t="inlineStr">
        <is>
          <t>A 28223-2019</t>
        </is>
      </c>
      <c r="B202" s="1" t="n">
        <v>43621</v>
      </c>
      <c r="C202" s="1" t="n">
        <v>45844</v>
      </c>
      <c r="D202" t="inlineStr">
        <is>
          <t>NORRBOTTENS LÄN</t>
        </is>
      </c>
      <c r="E202" t="inlineStr">
        <is>
          <t>BODEN</t>
        </is>
      </c>
      <c r="F202" t="inlineStr">
        <is>
          <t>SCA</t>
        </is>
      </c>
      <c r="G202" t="n">
        <v>38.1</v>
      </c>
      <c r="H202" t="n">
        <v>0</v>
      </c>
      <c r="I202" t="n">
        <v>0</v>
      </c>
      <c r="J202" t="n">
        <v>0</v>
      </c>
      <c r="K202" t="n">
        <v>0</v>
      </c>
      <c r="L202" t="n">
        <v>0</v>
      </c>
      <c r="M202" t="n">
        <v>0</v>
      </c>
      <c r="N202" t="n">
        <v>0</v>
      </c>
      <c r="O202" t="n">
        <v>0</v>
      </c>
      <c r="P202" t="n">
        <v>0</v>
      </c>
      <c r="Q202" t="n">
        <v>0</v>
      </c>
      <c r="R202" s="2" t="inlineStr"/>
      <c r="U202">
        <f>HYPERLINK("https://klasma.github.io/Logging_2582/knärot/A 28223-2019 karta knärot.png", "A 28223-2019")</f>
        <v/>
      </c>
      <c r="V202">
        <f>HYPERLINK("https://klasma.github.io/Logging_2582/klagomål/A 28223-2019 FSC-klagomål.docx", "A 28223-2019")</f>
        <v/>
      </c>
      <c r="W202">
        <f>HYPERLINK("https://klasma.github.io/Logging_2582/klagomålsmail/A 28223-2019 FSC-klagomål mail.docx", "A 28223-2019")</f>
        <v/>
      </c>
      <c r="X202">
        <f>HYPERLINK("https://klasma.github.io/Logging_2582/tillsyn/A 28223-2019 tillsynsbegäran.docx", "A 28223-2019")</f>
        <v/>
      </c>
      <c r="Y202">
        <f>HYPERLINK("https://klasma.github.io/Logging_2582/tillsynsmail/A 28223-2019 tillsynsbegäran mail.docx", "A 28223-2019")</f>
        <v/>
      </c>
    </row>
    <row r="203" ht="15" customHeight="1">
      <c r="A203" t="inlineStr">
        <is>
          <t>A 28224-2019</t>
        </is>
      </c>
      <c r="B203" s="1" t="n">
        <v>43621</v>
      </c>
      <c r="C203" s="1" t="n">
        <v>45844</v>
      </c>
      <c r="D203" t="inlineStr">
        <is>
          <t>NORRBOTTENS LÄN</t>
        </is>
      </c>
      <c r="E203" t="inlineStr">
        <is>
          <t>BODEN</t>
        </is>
      </c>
      <c r="F203" t="inlineStr">
        <is>
          <t>SCA</t>
        </is>
      </c>
      <c r="G203" t="n">
        <v>42.7</v>
      </c>
      <c r="H203" t="n">
        <v>0</v>
      </c>
      <c r="I203" t="n">
        <v>0</v>
      </c>
      <c r="J203" t="n">
        <v>0</v>
      </c>
      <c r="K203" t="n">
        <v>0</v>
      </c>
      <c r="L203" t="n">
        <v>0</v>
      </c>
      <c r="M203" t="n">
        <v>0</v>
      </c>
      <c r="N203" t="n">
        <v>0</v>
      </c>
      <c r="O203" t="n">
        <v>0</v>
      </c>
      <c r="P203" t="n">
        <v>0</v>
      </c>
      <c r="Q203" t="n">
        <v>0</v>
      </c>
      <c r="R203" s="2" t="inlineStr"/>
    </row>
    <row r="204" ht="15" customHeight="1">
      <c r="A204" t="inlineStr">
        <is>
          <t>A 28632-2019</t>
        </is>
      </c>
      <c r="B204" s="1" t="n">
        <v>43621</v>
      </c>
      <c r="C204" s="1" t="n">
        <v>45844</v>
      </c>
      <c r="D204" t="inlineStr">
        <is>
          <t>NORRBOTTENS LÄN</t>
        </is>
      </c>
      <c r="E204" t="inlineStr">
        <is>
          <t>BODEN</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28827-2019</t>
        </is>
      </c>
      <c r="B205" s="1" t="n">
        <v>43627</v>
      </c>
      <c r="C205" s="1" t="n">
        <v>45844</v>
      </c>
      <c r="D205" t="inlineStr">
        <is>
          <t>NORRBOTTENS LÄN</t>
        </is>
      </c>
      <c r="E205" t="inlineStr">
        <is>
          <t>BODEN</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29606-2019</t>
        </is>
      </c>
      <c r="B206" s="1" t="n">
        <v>43628</v>
      </c>
      <c r="C206" s="1" t="n">
        <v>45844</v>
      </c>
      <c r="D206" t="inlineStr">
        <is>
          <t>NORRBOTTENS LÄN</t>
        </is>
      </c>
      <c r="E206" t="inlineStr">
        <is>
          <t>BODEN</t>
        </is>
      </c>
      <c r="G206" t="n">
        <v>0.6</v>
      </c>
      <c r="H206" t="n">
        <v>0</v>
      </c>
      <c r="I206" t="n">
        <v>0</v>
      </c>
      <c r="J206" t="n">
        <v>0</v>
      </c>
      <c r="K206" t="n">
        <v>0</v>
      </c>
      <c r="L206" t="n">
        <v>0</v>
      </c>
      <c r="M206" t="n">
        <v>0</v>
      </c>
      <c r="N206" t="n">
        <v>0</v>
      </c>
      <c r="O206" t="n">
        <v>0</v>
      </c>
      <c r="P206" t="n">
        <v>0</v>
      </c>
      <c r="Q206" t="n">
        <v>0</v>
      </c>
      <c r="R206" s="2" t="inlineStr"/>
    </row>
    <row r="207" ht="15" customHeight="1">
      <c r="A207" t="inlineStr">
        <is>
          <t>A 29600-2019</t>
        </is>
      </c>
      <c r="B207" s="1" t="n">
        <v>43628</v>
      </c>
      <c r="C207" s="1" t="n">
        <v>45844</v>
      </c>
      <c r="D207" t="inlineStr">
        <is>
          <t>NORRBOTTENS LÄN</t>
        </is>
      </c>
      <c r="E207" t="inlineStr">
        <is>
          <t>BODEN</t>
        </is>
      </c>
      <c r="G207" t="n">
        <v>6.3</v>
      </c>
      <c r="H207" t="n">
        <v>0</v>
      </c>
      <c r="I207" t="n">
        <v>0</v>
      </c>
      <c r="J207" t="n">
        <v>0</v>
      </c>
      <c r="K207" t="n">
        <v>0</v>
      </c>
      <c r="L207" t="n">
        <v>0</v>
      </c>
      <c r="M207" t="n">
        <v>0</v>
      </c>
      <c r="N207" t="n">
        <v>0</v>
      </c>
      <c r="O207" t="n">
        <v>0</v>
      </c>
      <c r="P207" t="n">
        <v>0</v>
      </c>
      <c r="Q207" t="n">
        <v>0</v>
      </c>
      <c r="R207" s="2" t="inlineStr"/>
    </row>
    <row r="208" ht="15" customHeight="1">
      <c r="A208" t="inlineStr">
        <is>
          <t>A 29586-2019</t>
        </is>
      </c>
      <c r="B208" s="1" t="n">
        <v>43630</v>
      </c>
      <c r="C208" s="1" t="n">
        <v>45844</v>
      </c>
      <c r="D208" t="inlineStr">
        <is>
          <t>NORRBOTTENS LÄN</t>
        </is>
      </c>
      <c r="E208" t="inlineStr">
        <is>
          <t>BODEN</t>
        </is>
      </c>
      <c r="F208" t="inlineStr">
        <is>
          <t>Sveaskog</t>
        </is>
      </c>
      <c r="G208" t="n">
        <v>18.6</v>
      </c>
      <c r="H208" t="n">
        <v>0</v>
      </c>
      <c r="I208" t="n">
        <v>0</v>
      </c>
      <c r="J208" t="n">
        <v>0</v>
      </c>
      <c r="K208" t="n">
        <v>0</v>
      </c>
      <c r="L208" t="n">
        <v>0</v>
      </c>
      <c r="M208" t="n">
        <v>0</v>
      </c>
      <c r="N208" t="n">
        <v>0</v>
      </c>
      <c r="O208" t="n">
        <v>0</v>
      </c>
      <c r="P208" t="n">
        <v>0</v>
      </c>
      <c r="Q208" t="n">
        <v>0</v>
      </c>
      <c r="R208" s="2" t="inlineStr"/>
    </row>
    <row r="209" ht="15" customHeight="1">
      <c r="A209" t="inlineStr">
        <is>
          <t>A 30736-2019</t>
        </is>
      </c>
      <c r="B209" s="1" t="n">
        <v>43636</v>
      </c>
      <c r="C209" s="1" t="n">
        <v>45844</v>
      </c>
      <c r="D209" t="inlineStr">
        <is>
          <t>NORRBOTTENS LÄN</t>
        </is>
      </c>
      <c r="E209" t="inlineStr">
        <is>
          <t>BODEN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30794-2019</t>
        </is>
      </c>
      <c r="B210" s="1" t="n">
        <v>43636</v>
      </c>
      <c r="C210" s="1" t="n">
        <v>45844</v>
      </c>
      <c r="D210" t="inlineStr">
        <is>
          <t>NORRBOTTENS LÄN</t>
        </is>
      </c>
      <c r="E210" t="inlineStr">
        <is>
          <t>BODEN</t>
        </is>
      </c>
      <c r="G210" t="n">
        <v>16.6</v>
      </c>
      <c r="H210" t="n">
        <v>0</v>
      </c>
      <c r="I210" t="n">
        <v>0</v>
      </c>
      <c r="J210" t="n">
        <v>0</v>
      </c>
      <c r="K210" t="n">
        <v>0</v>
      </c>
      <c r="L210" t="n">
        <v>0</v>
      </c>
      <c r="M210" t="n">
        <v>0</v>
      </c>
      <c r="N210" t="n">
        <v>0</v>
      </c>
      <c r="O210" t="n">
        <v>0</v>
      </c>
      <c r="P210" t="n">
        <v>0</v>
      </c>
      <c r="Q210" t="n">
        <v>0</v>
      </c>
      <c r="R210" s="2" t="inlineStr"/>
    </row>
    <row r="211" ht="15" customHeight="1">
      <c r="A211" t="inlineStr">
        <is>
          <t>A 30801-2019</t>
        </is>
      </c>
      <c r="B211" s="1" t="n">
        <v>43636</v>
      </c>
      <c r="C211" s="1" t="n">
        <v>45844</v>
      </c>
      <c r="D211" t="inlineStr">
        <is>
          <t>NORRBOTTENS LÄN</t>
        </is>
      </c>
      <c r="E211" t="inlineStr">
        <is>
          <t>BODEN</t>
        </is>
      </c>
      <c r="G211" t="n">
        <v>14.4</v>
      </c>
      <c r="H211" t="n">
        <v>0</v>
      </c>
      <c r="I211" t="n">
        <v>0</v>
      </c>
      <c r="J211" t="n">
        <v>0</v>
      </c>
      <c r="K211" t="n">
        <v>0</v>
      </c>
      <c r="L211" t="n">
        <v>0</v>
      </c>
      <c r="M211" t="n">
        <v>0</v>
      </c>
      <c r="N211" t="n">
        <v>0</v>
      </c>
      <c r="O211" t="n">
        <v>0</v>
      </c>
      <c r="P211" t="n">
        <v>0</v>
      </c>
      <c r="Q211" t="n">
        <v>0</v>
      </c>
      <c r="R211" s="2" t="inlineStr"/>
    </row>
    <row r="212" ht="15" customHeight="1">
      <c r="A212" t="inlineStr">
        <is>
          <t>A 30957-2019</t>
        </is>
      </c>
      <c r="B212" s="1" t="n">
        <v>43639</v>
      </c>
      <c r="C212" s="1" t="n">
        <v>45844</v>
      </c>
      <c r="D212" t="inlineStr">
        <is>
          <t>NORRBOTTENS LÄN</t>
        </is>
      </c>
      <c r="E212" t="inlineStr">
        <is>
          <t>BODEN</t>
        </is>
      </c>
      <c r="G212" t="n">
        <v>7.5</v>
      </c>
      <c r="H212" t="n">
        <v>0</v>
      </c>
      <c r="I212" t="n">
        <v>0</v>
      </c>
      <c r="J212" t="n">
        <v>0</v>
      </c>
      <c r="K212" t="n">
        <v>0</v>
      </c>
      <c r="L212" t="n">
        <v>0</v>
      </c>
      <c r="M212" t="n">
        <v>0</v>
      </c>
      <c r="N212" t="n">
        <v>0</v>
      </c>
      <c r="O212" t="n">
        <v>0</v>
      </c>
      <c r="P212" t="n">
        <v>0</v>
      </c>
      <c r="Q212" t="n">
        <v>0</v>
      </c>
      <c r="R212" s="2" t="inlineStr"/>
    </row>
    <row r="213" ht="15" customHeight="1">
      <c r="A213" t="inlineStr">
        <is>
          <t>A 31295-2019</t>
        </is>
      </c>
      <c r="B213" s="1" t="n">
        <v>43640</v>
      </c>
      <c r="C213" s="1" t="n">
        <v>45844</v>
      </c>
      <c r="D213" t="inlineStr">
        <is>
          <t>NORRBOTTENS LÄN</t>
        </is>
      </c>
      <c r="E213" t="inlineStr">
        <is>
          <t>BODEN</t>
        </is>
      </c>
      <c r="G213" t="n">
        <v>0.9</v>
      </c>
      <c r="H213" t="n">
        <v>0</v>
      </c>
      <c r="I213" t="n">
        <v>0</v>
      </c>
      <c r="J213" t="n">
        <v>0</v>
      </c>
      <c r="K213" t="n">
        <v>0</v>
      </c>
      <c r="L213" t="n">
        <v>0</v>
      </c>
      <c r="M213" t="n">
        <v>0</v>
      </c>
      <c r="N213" t="n">
        <v>0</v>
      </c>
      <c r="O213" t="n">
        <v>0</v>
      </c>
      <c r="P213" t="n">
        <v>0</v>
      </c>
      <c r="Q213" t="n">
        <v>0</v>
      </c>
      <c r="R213" s="2" t="inlineStr"/>
    </row>
    <row r="214" ht="15" customHeight="1">
      <c r="A214" t="inlineStr">
        <is>
          <t>A 31864-2019</t>
        </is>
      </c>
      <c r="B214" s="1" t="n">
        <v>43641</v>
      </c>
      <c r="C214" s="1" t="n">
        <v>45844</v>
      </c>
      <c r="D214" t="inlineStr">
        <is>
          <t>NORRBOTTENS LÄN</t>
        </is>
      </c>
      <c r="E214" t="inlineStr">
        <is>
          <t>BODEN</t>
        </is>
      </c>
      <c r="G214" t="n">
        <v>12.4</v>
      </c>
      <c r="H214" t="n">
        <v>0</v>
      </c>
      <c r="I214" t="n">
        <v>0</v>
      </c>
      <c r="J214" t="n">
        <v>0</v>
      </c>
      <c r="K214" t="n">
        <v>0</v>
      </c>
      <c r="L214" t="n">
        <v>0</v>
      </c>
      <c r="M214" t="n">
        <v>0</v>
      </c>
      <c r="N214" t="n">
        <v>0</v>
      </c>
      <c r="O214" t="n">
        <v>0</v>
      </c>
      <c r="P214" t="n">
        <v>0</v>
      </c>
      <c r="Q214" t="n">
        <v>0</v>
      </c>
      <c r="R214" s="2" t="inlineStr"/>
    </row>
    <row r="215" ht="15" customHeight="1">
      <c r="A215" t="inlineStr">
        <is>
          <t>A 32161-2019</t>
        </is>
      </c>
      <c r="B215" s="1" t="n">
        <v>43643</v>
      </c>
      <c r="C215" s="1" t="n">
        <v>45844</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33707-2019</t>
        </is>
      </c>
      <c r="B216" s="1" t="n">
        <v>43644</v>
      </c>
      <c r="C216" s="1" t="n">
        <v>45844</v>
      </c>
      <c r="D216" t="inlineStr">
        <is>
          <t>NORRBOTTENS LÄN</t>
        </is>
      </c>
      <c r="E216" t="inlineStr">
        <is>
          <t>BODEN</t>
        </is>
      </c>
      <c r="F216" t="inlineStr">
        <is>
          <t>Kommuner</t>
        </is>
      </c>
      <c r="G216" t="n">
        <v>21.2</v>
      </c>
      <c r="H216" t="n">
        <v>0</v>
      </c>
      <c r="I216" t="n">
        <v>0</v>
      </c>
      <c r="J216" t="n">
        <v>0</v>
      </c>
      <c r="K216" t="n">
        <v>0</v>
      </c>
      <c r="L216" t="n">
        <v>0</v>
      </c>
      <c r="M216" t="n">
        <v>0</v>
      </c>
      <c r="N216" t="n">
        <v>0</v>
      </c>
      <c r="O216" t="n">
        <v>0</v>
      </c>
      <c r="P216" t="n">
        <v>0</v>
      </c>
      <c r="Q216" t="n">
        <v>0</v>
      </c>
      <c r="R216" s="2" t="inlineStr"/>
    </row>
    <row r="217" ht="15" customHeight="1">
      <c r="A217" t="inlineStr">
        <is>
          <t>A 34375-2019</t>
        </is>
      </c>
      <c r="B217" s="1" t="n">
        <v>43647</v>
      </c>
      <c r="C217" s="1" t="n">
        <v>45844</v>
      </c>
      <c r="D217" t="inlineStr">
        <is>
          <t>NORRBOTTENS LÄN</t>
        </is>
      </c>
      <c r="E217" t="inlineStr">
        <is>
          <t>BODEN</t>
        </is>
      </c>
      <c r="G217" t="n">
        <v>0.2</v>
      </c>
      <c r="H217" t="n">
        <v>0</v>
      </c>
      <c r="I217" t="n">
        <v>0</v>
      </c>
      <c r="J217" t="n">
        <v>0</v>
      </c>
      <c r="K217" t="n">
        <v>0</v>
      </c>
      <c r="L217" t="n">
        <v>0</v>
      </c>
      <c r="M217" t="n">
        <v>0</v>
      </c>
      <c r="N217" t="n">
        <v>0</v>
      </c>
      <c r="O217" t="n">
        <v>0</v>
      </c>
      <c r="P217" t="n">
        <v>0</v>
      </c>
      <c r="Q217" t="n">
        <v>0</v>
      </c>
      <c r="R217" s="2" t="inlineStr"/>
    </row>
    <row r="218" ht="15" customHeight="1">
      <c r="A218" t="inlineStr">
        <is>
          <t>A 33447-2019</t>
        </is>
      </c>
      <c r="B218" s="1" t="n">
        <v>43650</v>
      </c>
      <c r="C218" s="1" t="n">
        <v>45844</v>
      </c>
      <c r="D218" t="inlineStr">
        <is>
          <t>NORRBOTTENS LÄN</t>
        </is>
      </c>
      <c r="E218" t="inlineStr">
        <is>
          <t>BODEN</t>
        </is>
      </c>
      <c r="F218" t="inlineStr">
        <is>
          <t>Sveaskog</t>
        </is>
      </c>
      <c r="G218" t="n">
        <v>7</v>
      </c>
      <c r="H218" t="n">
        <v>0</v>
      </c>
      <c r="I218" t="n">
        <v>0</v>
      </c>
      <c r="J218" t="n">
        <v>0</v>
      </c>
      <c r="K218" t="n">
        <v>0</v>
      </c>
      <c r="L218" t="n">
        <v>0</v>
      </c>
      <c r="M218" t="n">
        <v>0</v>
      </c>
      <c r="N218" t="n">
        <v>0</v>
      </c>
      <c r="O218" t="n">
        <v>0</v>
      </c>
      <c r="P218" t="n">
        <v>0</v>
      </c>
      <c r="Q218" t="n">
        <v>0</v>
      </c>
      <c r="R218" s="2" t="inlineStr"/>
    </row>
    <row r="219" ht="15" customHeight="1">
      <c r="A219" t="inlineStr">
        <is>
          <t>A 33278-2019</t>
        </is>
      </c>
      <c r="B219" s="1" t="n">
        <v>43650</v>
      </c>
      <c r="C219" s="1" t="n">
        <v>45844</v>
      </c>
      <c r="D219" t="inlineStr">
        <is>
          <t>NORRBOTTENS LÄN</t>
        </is>
      </c>
      <c r="E219" t="inlineStr">
        <is>
          <t>BODEN</t>
        </is>
      </c>
      <c r="G219" t="n">
        <v>2.8</v>
      </c>
      <c r="H219" t="n">
        <v>0</v>
      </c>
      <c r="I219" t="n">
        <v>0</v>
      </c>
      <c r="J219" t="n">
        <v>0</v>
      </c>
      <c r="K219" t="n">
        <v>0</v>
      </c>
      <c r="L219" t="n">
        <v>0</v>
      </c>
      <c r="M219" t="n">
        <v>0</v>
      </c>
      <c r="N219" t="n">
        <v>0</v>
      </c>
      <c r="O219" t="n">
        <v>0</v>
      </c>
      <c r="P219" t="n">
        <v>0</v>
      </c>
      <c r="Q219" t="n">
        <v>0</v>
      </c>
      <c r="R219" s="2" t="inlineStr"/>
    </row>
    <row r="220" ht="15" customHeight="1">
      <c r="A220" t="inlineStr">
        <is>
          <t>A 34015-2019</t>
        </is>
      </c>
      <c r="B220" s="1" t="n">
        <v>43654</v>
      </c>
      <c r="C220" s="1" t="n">
        <v>45844</v>
      </c>
      <c r="D220" t="inlineStr">
        <is>
          <t>NORRBOTTENS LÄN</t>
        </is>
      </c>
      <c r="E220" t="inlineStr">
        <is>
          <t>BODEN</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34264-2019</t>
        </is>
      </c>
      <c r="B221" s="1" t="n">
        <v>43655</v>
      </c>
      <c r="C221" s="1" t="n">
        <v>45844</v>
      </c>
      <c r="D221" t="inlineStr">
        <is>
          <t>NORRBOTTENS LÄN</t>
        </is>
      </c>
      <c r="E221" t="inlineStr">
        <is>
          <t>BODEN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36050-2019</t>
        </is>
      </c>
      <c r="B222" s="1" t="n">
        <v>43657</v>
      </c>
      <c r="C222" s="1" t="n">
        <v>45844</v>
      </c>
      <c r="D222" t="inlineStr">
        <is>
          <t>NORRBOTTENS LÄN</t>
        </is>
      </c>
      <c r="E222" t="inlineStr">
        <is>
          <t>BODEN</t>
        </is>
      </c>
      <c r="G222" t="n">
        <v>32.3</v>
      </c>
      <c r="H222" t="n">
        <v>0</v>
      </c>
      <c r="I222" t="n">
        <v>0</v>
      </c>
      <c r="J222" t="n">
        <v>0</v>
      </c>
      <c r="K222" t="n">
        <v>0</v>
      </c>
      <c r="L222" t="n">
        <v>0</v>
      </c>
      <c r="M222" t="n">
        <v>0</v>
      </c>
      <c r="N222" t="n">
        <v>0</v>
      </c>
      <c r="O222" t="n">
        <v>0</v>
      </c>
      <c r="P222" t="n">
        <v>0</v>
      </c>
      <c r="Q222" t="n">
        <v>0</v>
      </c>
      <c r="R222" s="2" t="inlineStr"/>
    </row>
    <row r="223" ht="15" customHeight="1">
      <c r="A223" t="inlineStr">
        <is>
          <t>A 36052-2019</t>
        </is>
      </c>
      <c r="B223" s="1" t="n">
        <v>43657</v>
      </c>
      <c r="C223" s="1" t="n">
        <v>45844</v>
      </c>
      <c r="D223" t="inlineStr">
        <is>
          <t>NORRBOTTENS LÄN</t>
        </is>
      </c>
      <c r="E223" t="inlineStr">
        <is>
          <t>BODEN</t>
        </is>
      </c>
      <c r="G223" t="n">
        <v>0.9</v>
      </c>
      <c r="H223" t="n">
        <v>0</v>
      </c>
      <c r="I223" t="n">
        <v>0</v>
      </c>
      <c r="J223" t="n">
        <v>0</v>
      </c>
      <c r="K223" t="n">
        <v>0</v>
      </c>
      <c r="L223" t="n">
        <v>0</v>
      </c>
      <c r="M223" t="n">
        <v>0</v>
      </c>
      <c r="N223" t="n">
        <v>0</v>
      </c>
      <c r="O223" t="n">
        <v>0</v>
      </c>
      <c r="P223" t="n">
        <v>0</v>
      </c>
      <c r="Q223" t="n">
        <v>0</v>
      </c>
      <c r="R223" s="2" t="inlineStr"/>
    </row>
    <row r="224" ht="15" customHeight="1">
      <c r="A224" t="inlineStr">
        <is>
          <t>A 35103-2019</t>
        </is>
      </c>
      <c r="B224" s="1" t="n">
        <v>43661</v>
      </c>
      <c r="C224" s="1" t="n">
        <v>45844</v>
      </c>
      <c r="D224" t="inlineStr">
        <is>
          <t>NORRBOTTENS LÄN</t>
        </is>
      </c>
      <c r="E224" t="inlineStr">
        <is>
          <t>BODEN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35100-2019</t>
        </is>
      </c>
      <c r="B225" s="1" t="n">
        <v>43661</v>
      </c>
      <c r="C225" s="1" t="n">
        <v>45844</v>
      </c>
      <c r="D225" t="inlineStr">
        <is>
          <t>NORRBOTTENS LÄN</t>
        </is>
      </c>
      <c r="E225" t="inlineStr">
        <is>
          <t>BODEN</t>
        </is>
      </c>
      <c r="F225" t="inlineStr">
        <is>
          <t>Sveaskog</t>
        </is>
      </c>
      <c r="G225" t="n">
        <v>4</v>
      </c>
      <c r="H225" t="n">
        <v>0</v>
      </c>
      <c r="I225" t="n">
        <v>0</v>
      </c>
      <c r="J225" t="n">
        <v>0</v>
      </c>
      <c r="K225" t="n">
        <v>0</v>
      </c>
      <c r="L225" t="n">
        <v>0</v>
      </c>
      <c r="M225" t="n">
        <v>0</v>
      </c>
      <c r="N225" t="n">
        <v>0</v>
      </c>
      <c r="O225" t="n">
        <v>0</v>
      </c>
      <c r="P225" t="n">
        <v>0</v>
      </c>
      <c r="Q225" t="n">
        <v>0</v>
      </c>
      <c r="R225" s="2" t="inlineStr"/>
    </row>
    <row r="226" ht="15" customHeight="1">
      <c r="A226" t="inlineStr">
        <is>
          <t>A 35336-2019</t>
        </is>
      </c>
      <c r="B226" s="1" t="n">
        <v>43663</v>
      </c>
      <c r="C226" s="1" t="n">
        <v>45844</v>
      </c>
      <c r="D226" t="inlineStr">
        <is>
          <t>NORRBOTTENS LÄN</t>
        </is>
      </c>
      <c r="E226" t="inlineStr">
        <is>
          <t>BODEN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35338-2019</t>
        </is>
      </c>
      <c r="B227" s="1" t="n">
        <v>43663</v>
      </c>
      <c r="C227" s="1" t="n">
        <v>45844</v>
      </c>
      <c r="D227" t="inlineStr">
        <is>
          <t>NORRBOTTENS LÄN</t>
        </is>
      </c>
      <c r="E227" t="inlineStr">
        <is>
          <t>BODEN</t>
        </is>
      </c>
      <c r="F227" t="inlineStr">
        <is>
          <t>Sveaskog</t>
        </is>
      </c>
      <c r="G227" t="n">
        <v>7.3</v>
      </c>
      <c r="H227" t="n">
        <v>0</v>
      </c>
      <c r="I227" t="n">
        <v>0</v>
      </c>
      <c r="J227" t="n">
        <v>0</v>
      </c>
      <c r="K227" t="n">
        <v>0</v>
      </c>
      <c r="L227" t="n">
        <v>0</v>
      </c>
      <c r="M227" t="n">
        <v>0</v>
      </c>
      <c r="N227" t="n">
        <v>0</v>
      </c>
      <c r="O227" t="n">
        <v>0</v>
      </c>
      <c r="P227" t="n">
        <v>0</v>
      </c>
      <c r="Q227" t="n">
        <v>0</v>
      </c>
      <c r="R227" s="2" t="inlineStr"/>
    </row>
    <row r="228" ht="15" customHeight="1">
      <c r="A228" t="inlineStr">
        <is>
          <t>A 36399-2019</t>
        </is>
      </c>
      <c r="B228" s="1" t="n">
        <v>43663</v>
      </c>
      <c r="C228" s="1" t="n">
        <v>45844</v>
      </c>
      <c r="D228" t="inlineStr">
        <is>
          <t>NORRBOTTENS LÄN</t>
        </is>
      </c>
      <c r="E228" t="inlineStr">
        <is>
          <t>BODEN</t>
        </is>
      </c>
      <c r="G228" t="n">
        <v>1.7</v>
      </c>
      <c r="H228" t="n">
        <v>0</v>
      </c>
      <c r="I228" t="n">
        <v>0</v>
      </c>
      <c r="J228" t="n">
        <v>0</v>
      </c>
      <c r="K228" t="n">
        <v>0</v>
      </c>
      <c r="L228" t="n">
        <v>0</v>
      </c>
      <c r="M228" t="n">
        <v>0</v>
      </c>
      <c r="N228" t="n">
        <v>0</v>
      </c>
      <c r="O228" t="n">
        <v>0</v>
      </c>
      <c r="P228" t="n">
        <v>0</v>
      </c>
      <c r="Q228" t="n">
        <v>0</v>
      </c>
      <c r="R228" s="2" t="inlineStr"/>
    </row>
    <row r="229" ht="15" customHeight="1">
      <c r="A229" t="inlineStr">
        <is>
          <t>A 35692-2019</t>
        </is>
      </c>
      <c r="B229" s="1" t="n">
        <v>43664</v>
      </c>
      <c r="C229" s="1" t="n">
        <v>45844</v>
      </c>
      <c r="D229" t="inlineStr">
        <is>
          <t>NORRBOTTENS LÄN</t>
        </is>
      </c>
      <c r="E229" t="inlineStr">
        <is>
          <t>BODEN</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37428-2019</t>
        </is>
      </c>
      <c r="B230" s="1" t="n">
        <v>43678</v>
      </c>
      <c r="C230" s="1" t="n">
        <v>45844</v>
      </c>
      <c r="D230" t="inlineStr">
        <is>
          <t>NORRBOTTENS LÄN</t>
        </is>
      </c>
      <c r="E230" t="inlineStr">
        <is>
          <t>BODEN</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38529-2019</t>
        </is>
      </c>
      <c r="B231" s="1" t="n">
        <v>43685</v>
      </c>
      <c r="C231" s="1" t="n">
        <v>45844</v>
      </c>
      <c r="D231" t="inlineStr">
        <is>
          <t>NORRBOTTENS LÄN</t>
        </is>
      </c>
      <c r="E231" t="inlineStr">
        <is>
          <t>BODEN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38974-2019</t>
        </is>
      </c>
      <c r="B232" s="1" t="n">
        <v>43689</v>
      </c>
      <c r="C232" s="1" t="n">
        <v>45844</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38980-2019</t>
        </is>
      </c>
      <c r="B233" s="1" t="n">
        <v>43689</v>
      </c>
      <c r="C233" s="1" t="n">
        <v>45844</v>
      </c>
      <c r="D233" t="inlineStr">
        <is>
          <t>NORRBOTTENS LÄN</t>
        </is>
      </c>
      <c r="E233" t="inlineStr">
        <is>
          <t>BODEN</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39892-2019</t>
        </is>
      </c>
      <c r="B234" s="1" t="n">
        <v>43692</v>
      </c>
      <c r="C234" s="1" t="n">
        <v>45844</v>
      </c>
      <c r="D234" t="inlineStr">
        <is>
          <t>NORRBOTTENS LÄN</t>
        </is>
      </c>
      <c r="E234" t="inlineStr">
        <is>
          <t>BODEN</t>
        </is>
      </c>
      <c r="G234" t="n">
        <v>43.5</v>
      </c>
      <c r="H234" t="n">
        <v>0</v>
      </c>
      <c r="I234" t="n">
        <v>0</v>
      </c>
      <c r="J234" t="n">
        <v>0</v>
      </c>
      <c r="K234" t="n">
        <v>0</v>
      </c>
      <c r="L234" t="n">
        <v>0</v>
      </c>
      <c r="M234" t="n">
        <v>0</v>
      </c>
      <c r="N234" t="n">
        <v>0</v>
      </c>
      <c r="O234" t="n">
        <v>0</v>
      </c>
      <c r="P234" t="n">
        <v>0</v>
      </c>
      <c r="Q234" t="n">
        <v>0</v>
      </c>
      <c r="R234" s="2" t="inlineStr"/>
    </row>
    <row r="235" ht="15" customHeight="1">
      <c r="A235" t="inlineStr">
        <is>
          <t>A 39947-2019</t>
        </is>
      </c>
      <c r="B235" s="1" t="n">
        <v>43692</v>
      </c>
      <c r="C235" s="1" t="n">
        <v>45844</v>
      </c>
      <c r="D235" t="inlineStr">
        <is>
          <t>NORRBOTTENS LÄN</t>
        </is>
      </c>
      <c r="E235" t="inlineStr">
        <is>
          <t>BODEN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39966-2019</t>
        </is>
      </c>
      <c r="B236" s="1" t="n">
        <v>43692</v>
      </c>
      <c r="C236" s="1" t="n">
        <v>45844</v>
      </c>
      <c r="D236" t="inlineStr">
        <is>
          <t>NORRBOTTENS LÄN</t>
        </is>
      </c>
      <c r="E236" t="inlineStr">
        <is>
          <t>BODEN</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40631-2019</t>
        </is>
      </c>
      <c r="B237" s="1" t="n">
        <v>43696</v>
      </c>
      <c r="C237" s="1" t="n">
        <v>45844</v>
      </c>
      <c r="D237" t="inlineStr">
        <is>
          <t>NORRBOTTENS LÄN</t>
        </is>
      </c>
      <c r="E237" t="inlineStr">
        <is>
          <t>BODEN</t>
        </is>
      </c>
      <c r="F237" t="inlineStr">
        <is>
          <t>Sveaskog</t>
        </is>
      </c>
      <c r="G237" t="n">
        <v>3.6</v>
      </c>
      <c r="H237" t="n">
        <v>0</v>
      </c>
      <c r="I237" t="n">
        <v>0</v>
      </c>
      <c r="J237" t="n">
        <v>0</v>
      </c>
      <c r="K237" t="n">
        <v>0</v>
      </c>
      <c r="L237" t="n">
        <v>0</v>
      </c>
      <c r="M237" t="n">
        <v>0</v>
      </c>
      <c r="N237" t="n">
        <v>0</v>
      </c>
      <c r="O237" t="n">
        <v>0</v>
      </c>
      <c r="P237" t="n">
        <v>0</v>
      </c>
      <c r="Q237" t="n">
        <v>0</v>
      </c>
      <c r="R237" s="2" t="inlineStr"/>
    </row>
    <row r="238" ht="15" customHeight="1">
      <c r="A238" t="inlineStr">
        <is>
          <t>A 41351-2019</t>
        </is>
      </c>
      <c r="B238" s="1" t="n">
        <v>43698</v>
      </c>
      <c r="C238" s="1" t="n">
        <v>45844</v>
      </c>
      <c r="D238" t="inlineStr">
        <is>
          <t>NORRBOTTENS LÄN</t>
        </is>
      </c>
      <c r="E238" t="inlineStr">
        <is>
          <t>BODEN</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42403-2019</t>
        </is>
      </c>
      <c r="B239" s="1" t="n">
        <v>43703</v>
      </c>
      <c r="C239" s="1" t="n">
        <v>45844</v>
      </c>
      <c r="D239" t="inlineStr">
        <is>
          <t>NORRBOTTENS LÄN</t>
        </is>
      </c>
      <c r="E239" t="inlineStr">
        <is>
          <t>BODEN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42404-2019</t>
        </is>
      </c>
      <c r="B240" s="1" t="n">
        <v>43703</v>
      </c>
      <c r="C240" s="1" t="n">
        <v>45844</v>
      </c>
      <c r="D240" t="inlineStr">
        <is>
          <t>NORRBOTTENS LÄN</t>
        </is>
      </c>
      <c r="E240" t="inlineStr">
        <is>
          <t>BODEN</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42492-2019</t>
        </is>
      </c>
      <c r="B241" s="1" t="n">
        <v>43704</v>
      </c>
      <c r="C241" s="1" t="n">
        <v>45844</v>
      </c>
      <c r="D241" t="inlineStr">
        <is>
          <t>NORRBOTTENS LÄN</t>
        </is>
      </c>
      <c r="E241" t="inlineStr">
        <is>
          <t>BODEN</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43937-2019</t>
        </is>
      </c>
      <c r="B242" s="1" t="n">
        <v>43707</v>
      </c>
      <c r="C242" s="1" t="n">
        <v>45844</v>
      </c>
      <c r="D242" t="inlineStr">
        <is>
          <t>NORRBOTTENS LÄN</t>
        </is>
      </c>
      <c r="E242" t="inlineStr">
        <is>
          <t>BODEN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44894-2019</t>
        </is>
      </c>
      <c r="B243" s="1" t="n">
        <v>43712</v>
      </c>
      <c r="C243" s="1" t="n">
        <v>45844</v>
      </c>
      <c r="D243" t="inlineStr">
        <is>
          <t>NORRBOTTENS LÄN</t>
        </is>
      </c>
      <c r="E243" t="inlineStr">
        <is>
          <t>BODEN</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45186-2019</t>
        </is>
      </c>
      <c r="B244" s="1" t="n">
        <v>43713</v>
      </c>
      <c r="C244" s="1" t="n">
        <v>45844</v>
      </c>
      <c r="D244" t="inlineStr">
        <is>
          <t>NORRBOTTENS LÄN</t>
        </is>
      </c>
      <c r="E244" t="inlineStr">
        <is>
          <t>BODEN</t>
        </is>
      </c>
      <c r="G244" t="n">
        <v>9.9</v>
      </c>
      <c r="H244" t="n">
        <v>0</v>
      </c>
      <c r="I244" t="n">
        <v>0</v>
      </c>
      <c r="J244" t="n">
        <v>0</v>
      </c>
      <c r="K244" t="n">
        <v>0</v>
      </c>
      <c r="L244" t="n">
        <v>0</v>
      </c>
      <c r="M244" t="n">
        <v>0</v>
      </c>
      <c r="N244" t="n">
        <v>0</v>
      </c>
      <c r="O244" t="n">
        <v>0</v>
      </c>
      <c r="P244" t="n">
        <v>0</v>
      </c>
      <c r="Q244" t="n">
        <v>0</v>
      </c>
      <c r="R244" s="2" t="inlineStr"/>
    </row>
    <row r="245" ht="15" customHeight="1">
      <c r="A245" t="inlineStr">
        <is>
          <t>A 46517-2019</t>
        </is>
      </c>
      <c r="B245" s="1" t="n">
        <v>43719</v>
      </c>
      <c r="C245" s="1" t="n">
        <v>45844</v>
      </c>
      <c r="D245" t="inlineStr">
        <is>
          <t>NORRBOTTENS LÄN</t>
        </is>
      </c>
      <c r="E245" t="inlineStr">
        <is>
          <t>BODEN</t>
        </is>
      </c>
      <c r="F245" t="inlineStr">
        <is>
          <t>Sveaskog</t>
        </is>
      </c>
      <c r="G245" t="n">
        <v>10.6</v>
      </c>
      <c r="H245" t="n">
        <v>0</v>
      </c>
      <c r="I245" t="n">
        <v>0</v>
      </c>
      <c r="J245" t="n">
        <v>0</v>
      </c>
      <c r="K245" t="n">
        <v>0</v>
      </c>
      <c r="L245" t="n">
        <v>0</v>
      </c>
      <c r="M245" t="n">
        <v>0</v>
      </c>
      <c r="N245" t="n">
        <v>0</v>
      </c>
      <c r="O245" t="n">
        <v>0</v>
      </c>
      <c r="P245" t="n">
        <v>0</v>
      </c>
      <c r="Q245" t="n">
        <v>0</v>
      </c>
      <c r="R245" s="2" t="inlineStr"/>
    </row>
    <row r="246" ht="15" customHeight="1">
      <c r="A246" t="inlineStr">
        <is>
          <t>A 46622-2019</t>
        </is>
      </c>
      <c r="B246" s="1" t="n">
        <v>43719</v>
      </c>
      <c r="C246" s="1" t="n">
        <v>45844</v>
      </c>
      <c r="D246" t="inlineStr">
        <is>
          <t>NORRBOTTENS LÄN</t>
        </is>
      </c>
      <c r="E246" t="inlineStr">
        <is>
          <t>BODEN</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46720-2019</t>
        </is>
      </c>
      <c r="B247" s="1" t="n">
        <v>43719</v>
      </c>
      <c r="C247" s="1" t="n">
        <v>45844</v>
      </c>
      <c r="D247" t="inlineStr">
        <is>
          <t>NORRBOTTENS LÄN</t>
        </is>
      </c>
      <c r="E247" t="inlineStr">
        <is>
          <t>BODEN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46888-2019</t>
        </is>
      </c>
      <c r="B248" s="1" t="n">
        <v>43719</v>
      </c>
      <c r="C248" s="1" t="n">
        <v>45844</v>
      </c>
      <c r="D248" t="inlineStr">
        <is>
          <t>NORRBOTTENS LÄN</t>
        </is>
      </c>
      <c r="E248" t="inlineStr">
        <is>
          <t>BODEN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46721-2019</t>
        </is>
      </c>
      <c r="B249" s="1" t="n">
        <v>43719</v>
      </c>
      <c r="C249" s="1" t="n">
        <v>45844</v>
      </c>
      <c r="D249" t="inlineStr">
        <is>
          <t>NORRBOTTENS LÄN</t>
        </is>
      </c>
      <c r="E249" t="inlineStr">
        <is>
          <t>BODEN</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46385-2019</t>
        </is>
      </c>
      <c r="B250" s="1" t="n">
        <v>43719</v>
      </c>
      <c r="C250" s="1" t="n">
        <v>45844</v>
      </c>
      <c r="D250" t="inlineStr">
        <is>
          <t>NORRBOTTENS LÄN</t>
        </is>
      </c>
      <c r="E250" t="inlineStr">
        <is>
          <t>BODEN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46766-2019</t>
        </is>
      </c>
      <c r="B251" s="1" t="n">
        <v>43720</v>
      </c>
      <c r="C251" s="1" t="n">
        <v>45844</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47100-2019</t>
        </is>
      </c>
      <c r="B252" s="1" t="n">
        <v>43721</v>
      </c>
      <c r="C252" s="1" t="n">
        <v>45844</v>
      </c>
      <c r="D252" t="inlineStr">
        <is>
          <t>NORRBOTTENS LÄN</t>
        </is>
      </c>
      <c r="E252" t="inlineStr">
        <is>
          <t>BODEN</t>
        </is>
      </c>
      <c r="F252" t="inlineStr">
        <is>
          <t>SCA</t>
        </is>
      </c>
      <c r="G252" t="n">
        <v>4.4</v>
      </c>
      <c r="H252" t="n">
        <v>0</v>
      </c>
      <c r="I252" t="n">
        <v>0</v>
      </c>
      <c r="J252" t="n">
        <v>0</v>
      </c>
      <c r="K252" t="n">
        <v>0</v>
      </c>
      <c r="L252" t="n">
        <v>0</v>
      </c>
      <c r="M252" t="n">
        <v>0</v>
      </c>
      <c r="N252" t="n">
        <v>0</v>
      </c>
      <c r="O252" t="n">
        <v>0</v>
      </c>
      <c r="P252" t="n">
        <v>0</v>
      </c>
      <c r="Q252" t="n">
        <v>0</v>
      </c>
      <c r="R252" s="2" t="inlineStr"/>
    </row>
    <row r="253" ht="15" customHeight="1">
      <c r="A253" t="inlineStr">
        <is>
          <t>A 47821-2019</t>
        </is>
      </c>
      <c r="B253" s="1" t="n">
        <v>43725</v>
      </c>
      <c r="C253" s="1" t="n">
        <v>45844</v>
      </c>
      <c r="D253" t="inlineStr">
        <is>
          <t>NORRBOTTENS LÄN</t>
        </is>
      </c>
      <c r="E253" t="inlineStr">
        <is>
          <t>BODEN</t>
        </is>
      </c>
      <c r="F253" t="inlineStr">
        <is>
          <t>Sveaskog</t>
        </is>
      </c>
      <c r="G253" t="n">
        <v>6.7</v>
      </c>
      <c r="H253" t="n">
        <v>0</v>
      </c>
      <c r="I253" t="n">
        <v>0</v>
      </c>
      <c r="J253" t="n">
        <v>0</v>
      </c>
      <c r="K253" t="n">
        <v>0</v>
      </c>
      <c r="L253" t="n">
        <v>0</v>
      </c>
      <c r="M253" t="n">
        <v>0</v>
      </c>
      <c r="N253" t="n">
        <v>0</v>
      </c>
      <c r="O253" t="n">
        <v>0</v>
      </c>
      <c r="P253" t="n">
        <v>0</v>
      </c>
      <c r="Q253" t="n">
        <v>0</v>
      </c>
      <c r="R253" s="2" t="inlineStr"/>
    </row>
    <row r="254" ht="15" customHeight="1">
      <c r="A254" t="inlineStr">
        <is>
          <t>A 48023-2019</t>
        </is>
      </c>
      <c r="B254" s="1" t="n">
        <v>43725</v>
      </c>
      <c r="C254" s="1" t="n">
        <v>45844</v>
      </c>
      <c r="D254" t="inlineStr">
        <is>
          <t>NORRBOTTENS LÄN</t>
        </is>
      </c>
      <c r="E254" t="inlineStr">
        <is>
          <t>BODEN</t>
        </is>
      </c>
      <c r="G254" t="n">
        <v>2.5</v>
      </c>
      <c r="H254" t="n">
        <v>0</v>
      </c>
      <c r="I254" t="n">
        <v>0</v>
      </c>
      <c r="J254" t="n">
        <v>0</v>
      </c>
      <c r="K254" t="n">
        <v>0</v>
      </c>
      <c r="L254" t="n">
        <v>0</v>
      </c>
      <c r="M254" t="n">
        <v>0</v>
      </c>
      <c r="N254" t="n">
        <v>0</v>
      </c>
      <c r="O254" t="n">
        <v>0</v>
      </c>
      <c r="P254" t="n">
        <v>0</v>
      </c>
      <c r="Q254" t="n">
        <v>0</v>
      </c>
      <c r="R254" s="2" t="inlineStr"/>
    </row>
    <row r="255" ht="15" customHeight="1">
      <c r="A255" t="inlineStr">
        <is>
          <t>A 48586-2019</t>
        </is>
      </c>
      <c r="B255" s="1" t="n">
        <v>43727</v>
      </c>
      <c r="C255" s="1" t="n">
        <v>45844</v>
      </c>
      <c r="D255" t="inlineStr">
        <is>
          <t>NORRBOTTENS LÄN</t>
        </is>
      </c>
      <c r="E255" t="inlineStr">
        <is>
          <t>BODEN</t>
        </is>
      </c>
      <c r="F255" t="inlineStr">
        <is>
          <t>Sveaskog</t>
        </is>
      </c>
      <c r="G255" t="n">
        <v>5.8</v>
      </c>
      <c r="H255" t="n">
        <v>0</v>
      </c>
      <c r="I255" t="n">
        <v>0</v>
      </c>
      <c r="J255" t="n">
        <v>0</v>
      </c>
      <c r="K255" t="n">
        <v>0</v>
      </c>
      <c r="L255" t="n">
        <v>0</v>
      </c>
      <c r="M255" t="n">
        <v>0</v>
      </c>
      <c r="N255" t="n">
        <v>0</v>
      </c>
      <c r="O255" t="n">
        <v>0</v>
      </c>
      <c r="P255" t="n">
        <v>0</v>
      </c>
      <c r="Q255" t="n">
        <v>0</v>
      </c>
      <c r="R255" s="2" t="inlineStr"/>
    </row>
    <row r="256" ht="15" customHeight="1">
      <c r="A256" t="inlineStr">
        <is>
          <t>A 48796-2019</t>
        </is>
      </c>
      <c r="B256" s="1" t="n">
        <v>43727</v>
      </c>
      <c r="C256" s="1" t="n">
        <v>45844</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48627-2019</t>
        </is>
      </c>
      <c r="B257" s="1" t="n">
        <v>43727</v>
      </c>
      <c r="C257" s="1" t="n">
        <v>45844</v>
      </c>
      <c r="D257" t="inlineStr">
        <is>
          <t>NORRBOTTENS LÄN</t>
        </is>
      </c>
      <c r="E257" t="inlineStr">
        <is>
          <t>BODEN</t>
        </is>
      </c>
      <c r="G257" t="n">
        <v>8.9</v>
      </c>
      <c r="H257" t="n">
        <v>0</v>
      </c>
      <c r="I257" t="n">
        <v>0</v>
      </c>
      <c r="J257" t="n">
        <v>0</v>
      </c>
      <c r="K257" t="n">
        <v>0</v>
      </c>
      <c r="L257" t="n">
        <v>0</v>
      </c>
      <c r="M257" t="n">
        <v>0</v>
      </c>
      <c r="N257" t="n">
        <v>0</v>
      </c>
      <c r="O257" t="n">
        <v>0</v>
      </c>
      <c r="P257" t="n">
        <v>0</v>
      </c>
      <c r="Q257" t="n">
        <v>0</v>
      </c>
      <c r="R257" s="2" t="inlineStr"/>
    </row>
    <row r="258" ht="15" customHeight="1">
      <c r="A258" t="inlineStr">
        <is>
          <t>A 49655-2019</t>
        </is>
      </c>
      <c r="B258" s="1" t="n">
        <v>43732</v>
      </c>
      <c r="C258" s="1" t="n">
        <v>45844</v>
      </c>
      <c r="D258" t="inlineStr">
        <is>
          <t>NORRBOTTENS LÄN</t>
        </is>
      </c>
      <c r="E258" t="inlineStr">
        <is>
          <t>BODEN</t>
        </is>
      </c>
      <c r="F258" t="inlineStr">
        <is>
          <t>Sveaskog</t>
        </is>
      </c>
      <c r="G258" t="n">
        <v>25</v>
      </c>
      <c r="H258" t="n">
        <v>0</v>
      </c>
      <c r="I258" t="n">
        <v>0</v>
      </c>
      <c r="J258" t="n">
        <v>0</v>
      </c>
      <c r="K258" t="n">
        <v>0</v>
      </c>
      <c r="L258" t="n">
        <v>0</v>
      </c>
      <c r="M258" t="n">
        <v>0</v>
      </c>
      <c r="N258" t="n">
        <v>0</v>
      </c>
      <c r="O258" t="n">
        <v>0</v>
      </c>
      <c r="P258" t="n">
        <v>0</v>
      </c>
      <c r="Q258" t="n">
        <v>0</v>
      </c>
      <c r="R258" s="2" t="inlineStr"/>
    </row>
    <row r="259" ht="15" customHeight="1">
      <c r="A259" t="inlineStr">
        <is>
          <t>A 51207-2019</t>
        </is>
      </c>
      <c r="B259" s="1" t="n">
        <v>43732</v>
      </c>
      <c r="C259" s="1" t="n">
        <v>45844</v>
      </c>
      <c r="D259" t="inlineStr">
        <is>
          <t>NORRBOTTENS LÄN</t>
        </is>
      </c>
      <c r="E259" t="inlineStr">
        <is>
          <t>BODEN</t>
        </is>
      </c>
      <c r="G259" t="n">
        <v>5.9</v>
      </c>
      <c r="H259" t="n">
        <v>0</v>
      </c>
      <c r="I259" t="n">
        <v>0</v>
      </c>
      <c r="J259" t="n">
        <v>0</v>
      </c>
      <c r="K259" t="n">
        <v>0</v>
      </c>
      <c r="L259" t="n">
        <v>0</v>
      </c>
      <c r="M259" t="n">
        <v>0</v>
      </c>
      <c r="N259" t="n">
        <v>0</v>
      </c>
      <c r="O259" t="n">
        <v>0</v>
      </c>
      <c r="P259" t="n">
        <v>0</v>
      </c>
      <c r="Q259" t="n">
        <v>0</v>
      </c>
      <c r="R259" s="2" t="inlineStr"/>
    </row>
    <row r="260" ht="15" customHeight="1">
      <c r="A260" t="inlineStr">
        <is>
          <t>A 51177-2019</t>
        </is>
      </c>
      <c r="B260" s="1" t="n">
        <v>43732</v>
      </c>
      <c r="C260" s="1" t="n">
        <v>45844</v>
      </c>
      <c r="D260" t="inlineStr">
        <is>
          <t>NORRBOTTENS LÄN</t>
        </is>
      </c>
      <c r="E260" t="inlineStr">
        <is>
          <t>BODEN</t>
        </is>
      </c>
      <c r="G260" t="n">
        <v>26.5</v>
      </c>
      <c r="H260" t="n">
        <v>0</v>
      </c>
      <c r="I260" t="n">
        <v>0</v>
      </c>
      <c r="J260" t="n">
        <v>0</v>
      </c>
      <c r="K260" t="n">
        <v>0</v>
      </c>
      <c r="L260" t="n">
        <v>0</v>
      </c>
      <c r="M260" t="n">
        <v>0</v>
      </c>
      <c r="N260" t="n">
        <v>0</v>
      </c>
      <c r="O260" t="n">
        <v>0</v>
      </c>
      <c r="P260" t="n">
        <v>0</v>
      </c>
      <c r="Q260" t="n">
        <v>0</v>
      </c>
      <c r="R260" s="2" t="inlineStr"/>
    </row>
    <row r="261" ht="15" customHeight="1">
      <c r="A261" t="inlineStr">
        <is>
          <t>A 49903-2019</t>
        </is>
      </c>
      <c r="B261" s="1" t="n">
        <v>43733</v>
      </c>
      <c r="C261" s="1" t="n">
        <v>45844</v>
      </c>
      <c r="D261" t="inlineStr">
        <is>
          <t>NORRBOTTENS LÄN</t>
        </is>
      </c>
      <c r="E261" t="inlineStr">
        <is>
          <t>BODEN</t>
        </is>
      </c>
      <c r="F261" t="inlineStr">
        <is>
          <t>Sveaskog</t>
        </is>
      </c>
      <c r="G261" t="n">
        <v>7.4</v>
      </c>
      <c r="H261" t="n">
        <v>0</v>
      </c>
      <c r="I261" t="n">
        <v>0</v>
      </c>
      <c r="J261" t="n">
        <v>0</v>
      </c>
      <c r="K261" t="n">
        <v>0</v>
      </c>
      <c r="L261" t="n">
        <v>0</v>
      </c>
      <c r="M261" t="n">
        <v>0</v>
      </c>
      <c r="N261" t="n">
        <v>0</v>
      </c>
      <c r="O261" t="n">
        <v>0</v>
      </c>
      <c r="P261" t="n">
        <v>0</v>
      </c>
      <c r="Q261" t="n">
        <v>0</v>
      </c>
      <c r="R261" s="2" t="inlineStr"/>
    </row>
    <row r="262" ht="15" customHeight="1">
      <c r="A262" t="inlineStr">
        <is>
          <t>A 50819-2019</t>
        </is>
      </c>
      <c r="B262" s="1" t="n">
        <v>43738</v>
      </c>
      <c r="C262" s="1" t="n">
        <v>45844</v>
      </c>
      <c r="D262" t="inlineStr">
        <is>
          <t>NORRBOTTENS LÄN</t>
        </is>
      </c>
      <c r="E262" t="inlineStr">
        <is>
          <t>BODEN</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52225-2019</t>
        </is>
      </c>
      <c r="B263" s="1" t="n">
        <v>43742</v>
      </c>
      <c r="C263" s="1" t="n">
        <v>45844</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52223-2019</t>
        </is>
      </c>
      <c r="B264" s="1" t="n">
        <v>43742</v>
      </c>
      <c r="C264" s="1" t="n">
        <v>45844</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52229-2019</t>
        </is>
      </c>
      <c r="B265" s="1" t="n">
        <v>43742</v>
      </c>
      <c r="C265" s="1" t="n">
        <v>45844</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52228-2019</t>
        </is>
      </c>
      <c r="B266" s="1" t="n">
        <v>43742</v>
      </c>
      <c r="C266" s="1" t="n">
        <v>45844</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52220-2019</t>
        </is>
      </c>
      <c r="B267" s="1" t="n">
        <v>43742</v>
      </c>
      <c r="C267" s="1" t="n">
        <v>45844</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52207-2019</t>
        </is>
      </c>
      <c r="B268" s="1" t="n">
        <v>43742</v>
      </c>
      <c r="C268" s="1" t="n">
        <v>45844</v>
      </c>
      <c r="D268" t="inlineStr">
        <is>
          <t>NORRBOTTENS LÄN</t>
        </is>
      </c>
      <c r="E268" t="inlineStr">
        <is>
          <t>BODEN</t>
        </is>
      </c>
      <c r="G268" t="n">
        <v>2.7</v>
      </c>
      <c r="H268" t="n">
        <v>0</v>
      </c>
      <c r="I268" t="n">
        <v>0</v>
      </c>
      <c r="J268" t="n">
        <v>0</v>
      </c>
      <c r="K268" t="n">
        <v>0</v>
      </c>
      <c r="L268" t="n">
        <v>0</v>
      </c>
      <c r="M268" t="n">
        <v>0</v>
      </c>
      <c r="N268" t="n">
        <v>0</v>
      </c>
      <c r="O268" t="n">
        <v>0</v>
      </c>
      <c r="P268" t="n">
        <v>0</v>
      </c>
      <c r="Q268" t="n">
        <v>0</v>
      </c>
      <c r="R268" s="2" t="inlineStr"/>
    </row>
    <row r="269" ht="15" customHeight="1">
      <c r="A269" t="inlineStr">
        <is>
          <t>A 52224-2019</t>
        </is>
      </c>
      <c r="B269" s="1" t="n">
        <v>43742</v>
      </c>
      <c r="C269" s="1" t="n">
        <v>45844</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54419-2019</t>
        </is>
      </c>
      <c r="B270" s="1" t="n">
        <v>43753</v>
      </c>
      <c r="C270" s="1" t="n">
        <v>45844</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54656-2019</t>
        </is>
      </c>
      <c r="B271" s="1" t="n">
        <v>43754</v>
      </c>
      <c r="C271" s="1" t="n">
        <v>45844</v>
      </c>
      <c r="D271" t="inlineStr">
        <is>
          <t>NORRBOTTENS LÄN</t>
        </is>
      </c>
      <c r="E271" t="inlineStr">
        <is>
          <t>BODEN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54658-2019</t>
        </is>
      </c>
      <c r="B272" s="1" t="n">
        <v>43754</v>
      </c>
      <c r="C272" s="1" t="n">
        <v>45844</v>
      </c>
      <c r="D272" t="inlineStr">
        <is>
          <t>NORRBOTTENS LÄN</t>
        </is>
      </c>
      <c r="E272" t="inlineStr">
        <is>
          <t>BODEN</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55972-2019</t>
        </is>
      </c>
      <c r="B273" s="1" t="n">
        <v>43759</v>
      </c>
      <c r="C273" s="1" t="n">
        <v>45844</v>
      </c>
      <c r="D273" t="inlineStr">
        <is>
          <t>NORRBOTTENS LÄN</t>
        </is>
      </c>
      <c r="E273" t="inlineStr">
        <is>
          <t>BODEN</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55688-2019</t>
        </is>
      </c>
      <c r="B274" s="1" t="n">
        <v>43760</v>
      </c>
      <c r="C274" s="1" t="n">
        <v>45844</v>
      </c>
      <c r="D274" t="inlineStr">
        <is>
          <t>NORRBOTTENS LÄN</t>
        </is>
      </c>
      <c r="E274" t="inlineStr">
        <is>
          <t>BODEN</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55707-2019</t>
        </is>
      </c>
      <c r="B275" s="1" t="n">
        <v>43760</v>
      </c>
      <c r="C275" s="1" t="n">
        <v>45844</v>
      </c>
      <c r="D275" t="inlineStr">
        <is>
          <t>NORRBOTTENS LÄN</t>
        </is>
      </c>
      <c r="E275" t="inlineStr">
        <is>
          <t>BODEN</t>
        </is>
      </c>
      <c r="F275" t="inlineStr">
        <is>
          <t>SCA</t>
        </is>
      </c>
      <c r="G275" t="n">
        <v>7.4</v>
      </c>
      <c r="H275" t="n">
        <v>0</v>
      </c>
      <c r="I275" t="n">
        <v>0</v>
      </c>
      <c r="J275" t="n">
        <v>0</v>
      </c>
      <c r="K275" t="n">
        <v>0</v>
      </c>
      <c r="L275" t="n">
        <v>0</v>
      </c>
      <c r="M275" t="n">
        <v>0</v>
      </c>
      <c r="N275" t="n">
        <v>0</v>
      </c>
      <c r="O275" t="n">
        <v>0</v>
      </c>
      <c r="P275" t="n">
        <v>0</v>
      </c>
      <c r="Q275" t="n">
        <v>0</v>
      </c>
      <c r="R275" s="2" t="inlineStr"/>
    </row>
    <row r="276" ht="15" customHeight="1">
      <c r="A276" t="inlineStr">
        <is>
          <t>A 55708-2019</t>
        </is>
      </c>
      <c r="B276" s="1" t="n">
        <v>43760</v>
      </c>
      <c r="C276" s="1" t="n">
        <v>45844</v>
      </c>
      <c r="D276" t="inlineStr">
        <is>
          <t>NORRBOTTENS LÄN</t>
        </is>
      </c>
      <c r="E276" t="inlineStr">
        <is>
          <t>BODEN</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56444-2019</t>
        </is>
      </c>
      <c r="B277" s="1" t="n">
        <v>43762</v>
      </c>
      <c r="C277" s="1" t="n">
        <v>45844</v>
      </c>
      <c r="D277" t="inlineStr">
        <is>
          <t>NORRBOTTENS LÄN</t>
        </is>
      </c>
      <c r="E277" t="inlineStr">
        <is>
          <t>BODEN</t>
        </is>
      </c>
      <c r="F277" t="inlineStr">
        <is>
          <t>Sveaskog</t>
        </is>
      </c>
      <c r="G277" t="n">
        <v>3.3</v>
      </c>
      <c r="H277" t="n">
        <v>0</v>
      </c>
      <c r="I277" t="n">
        <v>0</v>
      </c>
      <c r="J277" t="n">
        <v>0</v>
      </c>
      <c r="K277" t="n">
        <v>0</v>
      </c>
      <c r="L277" t="n">
        <v>0</v>
      </c>
      <c r="M277" t="n">
        <v>0</v>
      </c>
      <c r="N277" t="n">
        <v>0</v>
      </c>
      <c r="O277" t="n">
        <v>0</v>
      </c>
      <c r="P277" t="n">
        <v>0</v>
      </c>
      <c r="Q277" t="n">
        <v>0</v>
      </c>
      <c r="R277" s="2" t="inlineStr"/>
    </row>
    <row r="278" ht="15" customHeight="1">
      <c r="A278" t="inlineStr">
        <is>
          <t>A 56442-2019</t>
        </is>
      </c>
      <c r="B278" s="1" t="n">
        <v>43762</v>
      </c>
      <c r="C278" s="1" t="n">
        <v>45844</v>
      </c>
      <c r="D278" t="inlineStr">
        <is>
          <t>NORRBOTTENS LÄN</t>
        </is>
      </c>
      <c r="E278" t="inlineStr">
        <is>
          <t>BODEN</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56807-2019</t>
        </is>
      </c>
      <c r="B279" s="1" t="n">
        <v>43763</v>
      </c>
      <c r="C279" s="1" t="n">
        <v>45844</v>
      </c>
      <c r="D279" t="inlineStr">
        <is>
          <t>NORRBOTTENS LÄN</t>
        </is>
      </c>
      <c r="E279" t="inlineStr">
        <is>
          <t>BODEN</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57012-2019</t>
        </is>
      </c>
      <c r="B280" s="1" t="n">
        <v>43766</v>
      </c>
      <c r="C280" s="1" t="n">
        <v>45844</v>
      </c>
      <c r="D280" t="inlineStr">
        <is>
          <t>NORRBOTTENS LÄN</t>
        </is>
      </c>
      <c r="E280" t="inlineStr">
        <is>
          <t>BODEN</t>
        </is>
      </c>
      <c r="G280" t="n">
        <v>4.6</v>
      </c>
      <c r="H280" t="n">
        <v>0</v>
      </c>
      <c r="I280" t="n">
        <v>0</v>
      </c>
      <c r="J280" t="n">
        <v>0</v>
      </c>
      <c r="K280" t="n">
        <v>0</v>
      </c>
      <c r="L280" t="n">
        <v>0</v>
      </c>
      <c r="M280" t="n">
        <v>0</v>
      </c>
      <c r="N280" t="n">
        <v>0</v>
      </c>
      <c r="O280" t="n">
        <v>0</v>
      </c>
      <c r="P280" t="n">
        <v>0</v>
      </c>
      <c r="Q280" t="n">
        <v>0</v>
      </c>
      <c r="R280" s="2" t="inlineStr"/>
    </row>
    <row r="281" ht="15" customHeight="1">
      <c r="A281" t="inlineStr">
        <is>
          <t>A 57170-2019</t>
        </is>
      </c>
      <c r="B281" s="1" t="n">
        <v>43766</v>
      </c>
      <c r="C281" s="1" t="n">
        <v>45844</v>
      </c>
      <c r="D281" t="inlineStr">
        <is>
          <t>NORRBOTTENS LÄN</t>
        </is>
      </c>
      <c r="E281" t="inlineStr">
        <is>
          <t>BODEN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59216-2019</t>
        </is>
      </c>
      <c r="B282" s="1" t="n">
        <v>43770</v>
      </c>
      <c r="C282" s="1" t="n">
        <v>45844</v>
      </c>
      <c r="D282" t="inlineStr">
        <is>
          <t>NORRBOTTENS LÄN</t>
        </is>
      </c>
      <c r="E282" t="inlineStr">
        <is>
          <t>BODEN</t>
        </is>
      </c>
      <c r="G282" t="n">
        <v>3.2</v>
      </c>
      <c r="H282" t="n">
        <v>0</v>
      </c>
      <c r="I282" t="n">
        <v>0</v>
      </c>
      <c r="J282" t="n">
        <v>0</v>
      </c>
      <c r="K282" t="n">
        <v>0</v>
      </c>
      <c r="L282" t="n">
        <v>0</v>
      </c>
      <c r="M282" t="n">
        <v>0</v>
      </c>
      <c r="N282" t="n">
        <v>0</v>
      </c>
      <c r="O282" t="n">
        <v>0</v>
      </c>
      <c r="P282" t="n">
        <v>0</v>
      </c>
      <c r="Q282" t="n">
        <v>0</v>
      </c>
      <c r="R282" s="2" t="inlineStr"/>
    </row>
    <row r="283" ht="15" customHeight="1">
      <c r="A283" t="inlineStr">
        <is>
          <t>A 58477-2019</t>
        </is>
      </c>
      <c r="B283" s="1" t="n">
        <v>43773</v>
      </c>
      <c r="C283" s="1" t="n">
        <v>45844</v>
      </c>
      <c r="D283" t="inlineStr">
        <is>
          <t>NORRBOTTENS LÄN</t>
        </is>
      </c>
      <c r="E283" t="inlineStr">
        <is>
          <t>BODEN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59081-2019</t>
        </is>
      </c>
      <c r="B284" s="1" t="n">
        <v>43774</v>
      </c>
      <c r="C284" s="1" t="n">
        <v>45844</v>
      </c>
      <c r="D284" t="inlineStr">
        <is>
          <t>NORRBOTTENS LÄN</t>
        </is>
      </c>
      <c r="E284" t="inlineStr">
        <is>
          <t>BODEN</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60599-2019</t>
        </is>
      </c>
      <c r="B285" s="1" t="n">
        <v>43777</v>
      </c>
      <c r="C285" s="1" t="n">
        <v>45844</v>
      </c>
      <c r="D285" t="inlineStr">
        <is>
          <t>NORRBOTTENS LÄN</t>
        </is>
      </c>
      <c r="E285" t="inlineStr">
        <is>
          <t>BODEN</t>
        </is>
      </c>
      <c r="G285" t="n">
        <v>2.7</v>
      </c>
      <c r="H285" t="n">
        <v>0</v>
      </c>
      <c r="I285" t="n">
        <v>0</v>
      </c>
      <c r="J285" t="n">
        <v>0</v>
      </c>
      <c r="K285" t="n">
        <v>0</v>
      </c>
      <c r="L285" t="n">
        <v>0</v>
      </c>
      <c r="M285" t="n">
        <v>0</v>
      </c>
      <c r="N285" t="n">
        <v>0</v>
      </c>
      <c r="O285" t="n">
        <v>0</v>
      </c>
      <c r="P285" t="n">
        <v>0</v>
      </c>
      <c r="Q285" t="n">
        <v>0</v>
      </c>
      <c r="R285" s="2" t="inlineStr"/>
    </row>
    <row r="286" ht="15" customHeight="1">
      <c r="A286" t="inlineStr">
        <is>
          <t>A 60576-2019</t>
        </is>
      </c>
      <c r="B286" s="1" t="n">
        <v>43781</v>
      </c>
      <c r="C286" s="1" t="n">
        <v>45844</v>
      </c>
      <c r="D286" t="inlineStr">
        <is>
          <t>NORRBOTTENS LÄN</t>
        </is>
      </c>
      <c r="E286" t="inlineStr">
        <is>
          <t>BODEN</t>
        </is>
      </c>
      <c r="G286" t="n">
        <v>2.8</v>
      </c>
      <c r="H286" t="n">
        <v>0</v>
      </c>
      <c r="I286" t="n">
        <v>0</v>
      </c>
      <c r="J286" t="n">
        <v>0</v>
      </c>
      <c r="K286" t="n">
        <v>0</v>
      </c>
      <c r="L286" t="n">
        <v>0</v>
      </c>
      <c r="M286" t="n">
        <v>0</v>
      </c>
      <c r="N286" t="n">
        <v>0</v>
      </c>
      <c r="O286" t="n">
        <v>0</v>
      </c>
      <c r="P286" t="n">
        <v>0</v>
      </c>
      <c r="Q286" t="n">
        <v>0</v>
      </c>
      <c r="R286" s="2" t="inlineStr"/>
    </row>
    <row r="287" ht="15" customHeight="1">
      <c r="A287" t="inlineStr">
        <is>
          <t>A 60856-2019</t>
        </is>
      </c>
      <c r="B287" s="1" t="n">
        <v>43781</v>
      </c>
      <c r="C287" s="1" t="n">
        <v>45844</v>
      </c>
      <c r="D287" t="inlineStr">
        <is>
          <t>NORRBOTTENS LÄN</t>
        </is>
      </c>
      <c r="E287" t="inlineStr">
        <is>
          <t>BODEN</t>
        </is>
      </c>
      <c r="G287" t="n">
        <v>0.5</v>
      </c>
      <c r="H287" t="n">
        <v>0</v>
      </c>
      <c r="I287" t="n">
        <v>0</v>
      </c>
      <c r="J287" t="n">
        <v>0</v>
      </c>
      <c r="K287" t="n">
        <v>0</v>
      </c>
      <c r="L287" t="n">
        <v>0</v>
      </c>
      <c r="M287" t="n">
        <v>0</v>
      </c>
      <c r="N287" t="n">
        <v>0</v>
      </c>
      <c r="O287" t="n">
        <v>0</v>
      </c>
      <c r="P287" t="n">
        <v>0</v>
      </c>
      <c r="Q287" t="n">
        <v>0</v>
      </c>
      <c r="R287" s="2" t="inlineStr"/>
    </row>
    <row r="288" ht="15" customHeight="1">
      <c r="A288" t="inlineStr">
        <is>
          <t>A 61199-2019</t>
        </is>
      </c>
      <c r="B288" s="1" t="n">
        <v>43782</v>
      </c>
      <c r="C288" s="1" t="n">
        <v>45844</v>
      </c>
      <c r="D288" t="inlineStr">
        <is>
          <t>NORRBOTTENS LÄN</t>
        </is>
      </c>
      <c r="E288" t="inlineStr">
        <is>
          <t>BODEN</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61770-2019</t>
        </is>
      </c>
      <c r="B289" s="1" t="n">
        <v>43784</v>
      </c>
      <c r="C289" s="1" t="n">
        <v>45844</v>
      </c>
      <c r="D289" t="inlineStr">
        <is>
          <t>NORRBOTTENS LÄN</t>
        </is>
      </c>
      <c r="E289" t="inlineStr">
        <is>
          <t>BODEN</t>
        </is>
      </c>
      <c r="G289" t="n">
        <v>2.5</v>
      </c>
      <c r="H289" t="n">
        <v>0</v>
      </c>
      <c r="I289" t="n">
        <v>0</v>
      </c>
      <c r="J289" t="n">
        <v>0</v>
      </c>
      <c r="K289" t="n">
        <v>0</v>
      </c>
      <c r="L289" t="n">
        <v>0</v>
      </c>
      <c r="M289" t="n">
        <v>0</v>
      </c>
      <c r="N289" t="n">
        <v>0</v>
      </c>
      <c r="O289" t="n">
        <v>0</v>
      </c>
      <c r="P289" t="n">
        <v>0</v>
      </c>
      <c r="Q289" t="n">
        <v>0</v>
      </c>
      <c r="R289" s="2" t="inlineStr"/>
    </row>
    <row r="290" ht="15" customHeight="1">
      <c r="A290" t="inlineStr">
        <is>
          <t>A 61769-2019</t>
        </is>
      </c>
      <c r="B290" s="1" t="n">
        <v>43784</v>
      </c>
      <c r="C290" s="1" t="n">
        <v>45844</v>
      </c>
      <c r="D290" t="inlineStr">
        <is>
          <t>NORRBOTTENS LÄN</t>
        </is>
      </c>
      <c r="E290" t="inlineStr">
        <is>
          <t>BODEN</t>
        </is>
      </c>
      <c r="G290" t="n">
        <v>0.6</v>
      </c>
      <c r="H290" t="n">
        <v>0</v>
      </c>
      <c r="I290" t="n">
        <v>0</v>
      </c>
      <c r="J290" t="n">
        <v>0</v>
      </c>
      <c r="K290" t="n">
        <v>0</v>
      </c>
      <c r="L290" t="n">
        <v>0</v>
      </c>
      <c r="M290" t="n">
        <v>0</v>
      </c>
      <c r="N290" t="n">
        <v>0</v>
      </c>
      <c r="O290" t="n">
        <v>0</v>
      </c>
      <c r="P290" t="n">
        <v>0</v>
      </c>
      <c r="Q290" t="n">
        <v>0</v>
      </c>
      <c r="R290" s="2" t="inlineStr"/>
    </row>
    <row r="291" ht="15" customHeight="1">
      <c r="A291" t="inlineStr">
        <is>
          <t>A 62164-2019</t>
        </is>
      </c>
      <c r="B291" s="1" t="n">
        <v>43787</v>
      </c>
      <c r="C291" s="1" t="n">
        <v>45844</v>
      </c>
      <c r="D291" t="inlineStr">
        <is>
          <t>NORRBOTTENS LÄN</t>
        </is>
      </c>
      <c r="E291" t="inlineStr">
        <is>
          <t>BODEN</t>
        </is>
      </c>
      <c r="F291" t="inlineStr">
        <is>
          <t>SCA</t>
        </is>
      </c>
      <c r="G291" t="n">
        <v>10.7</v>
      </c>
      <c r="H291" t="n">
        <v>0</v>
      </c>
      <c r="I291" t="n">
        <v>0</v>
      </c>
      <c r="J291" t="n">
        <v>0</v>
      </c>
      <c r="K291" t="n">
        <v>0</v>
      </c>
      <c r="L291" t="n">
        <v>0</v>
      </c>
      <c r="M291" t="n">
        <v>0</v>
      </c>
      <c r="N291" t="n">
        <v>0</v>
      </c>
      <c r="O291" t="n">
        <v>0</v>
      </c>
      <c r="P291" t="n">
        <v>0</v>
      </c>
      <c r="Q291" t="n">
        <v>0</v>
      </c>
      <c r="R291" s="2" t="inlineStr"/>
    </row>
    <row r="292" ht="15" customHeight="1">
      <c r="A292" t="inlineStr">
        <is>
          <t>A 62710-2019</t>
        </is>
      </c>
      <c r="B292" s="1" t="n">
        <v>43789</v>
      </c>
      <c r="C292" s="1" t="n">
        <v>45844</v>
      </c>
      <c r="D292" t="inlineStr">
        <is>
          <t>NORRBOTTENS LÄN</t>
        </is>
      </c>
      <c r="E292" t="inlineStr">
        <is>
          <t>BODEN</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64411-2019</t>
        </is>
      </c>
      <c r="B293" s="1" t="n">
        <v>43794</v>
      </c>
      <c r="C293" s="1" t="n">
        <v>45844</v>
      </c>
      <c r="D293" t="inlineStr">
        <is>
          <t>NORRBOTTENS LÄN</t>
        </is>
      </c>
      <c r="E293" t="inlineStr">
        <is>
          <t>BODEN</t>
        </is>
      </c>
      <c r="G293" t="n">
        <v>1.8</v>
      </c>
      <c r="H293" t="n">
        <v>0</v>
      </c>
      <c r="I293" t="n">
        <v>0</v>
      </c>
      <c r="J293" t="n">
        <v>0</v>
      </c>
      <c r="K293" t="n">
        <v>0</v>
      </c>
      <c r="L293" t="n">
        <v>0</v>
      </c>
      <c r="M293" t="n">
        <v>0</v>
      </c>
      <c r="N293" t="n">
        <v>0</v>
      </c>
      <c r="O293" t="n">
        <v>0</v>
      </c>
      <c r="P293" t="n">
        <v>0</v>
      </c>
      <c r="Q293" t="n">
        <v>0</v>
      </c>
      <c r="R293" s="2" t="inlineStr"/>
    </row>
    <row r="294" ht="15" customHeight="1">
      <c r="A294" t="inlineStr">
        <is>
          <t>A 64171-2019</t>
        </is>
      </c>
      <c r="B294" s="1" t="n">
        <v>43797</v>
      </c>
      <c r="C294" s="1" t="n">
        <v>45844</v>
      </c>
      <c r="D294" t="inlineStr">
        <is>
          <t>NORRBOTTENS LÄN</t>
        </is>
      </c>
      <c r="E294" t="inlineStr">
        <is>
          <t>BODEN</t>
        </is>
      </c>
      <c r="F294" t="inlineStr">
        <is>
          <t>Övriga Aktiebolag</t>
        </is>
      </c>
      <c r="G294" t="n">
        <v>4.7</v>
      </c>
      <c r="H294" t="n">
        <v>0</v>
      </c>
      <c r="I294" t="n">
        <v>0</v>
      </c>
      <c r="J294" t="n">
        <v>0</v>
      </c>
      <c r="K294" t="n">
        <v>0</v>
      </c>
      <c r="L294" t="n">
        <v>0</v>
      </c>
      <c r="M294" t="n">
        <v>0</v>
      </c>
      <c r="N294" t="n">
        <v>0</v>
      </c>
      <c r="O294" t="n">
        <v>0</v>
      </c>
      <c r="P294" t="n">
        <v>0</v>
      </c>
      <c r="Q294" t="n">
        <v>0</v>
      </c>
      <c r="R294" s="2" t="inlineStr"/>
    </row>
    <row r="295" ht="15" customHeight="1">
      <c r="A295" t="inlineStr">
        <is>
          <t>A 64352-2019</t>
        </is>
      </c>
      <c r="B295" s="1" t="n">
        <v>43797</v>
      </c>
      <c r="C295" s="1" t="n">
        <v>45844</v>
      </c>
      <c r="D295" t="inlineStr">
        <is>
          <t>NORRBOTTENS LÄN</t>
        </is>
      </c>
      <c r="E295" t="inlineStr">
        <is>
          <t>BODEN</t>
        </is>
      </c>
      <c r="F295" t="inlineStr">
        <is>
          <t>Övriga Aktiebolag</t>
        </is>
      </c>
      <c r="G295" t="n">
        <v>3.1</v>
      </c>
      <c r="H295" t="n">
        <v>0</v>
      </c>
      <c r="I295" t="n">
        <v>0</v>
      </c>
      <c r="J295" t="n">
        <v>0</v>
      </c>
      <c r="K295" t="n">
        <v>0</v>
      </c>
      <c r="L295" t="n">
        <v>0</v>
      </c>
      <c r="M295" t="n">
        <v>0</v>
      </c>
      <c r="N295" t="n">
        <v>0</v>
      </c>
      <c r="O295" t="n">
        <v>0</v>
      </c>
      <c r="P295" t="n">
        <v>0</v>
      </c>
      <c r="Q295" t="n">
        <v>0</v>
      </c>
      <c r="R295" s="2" t="inlineStr"/>
    </row>
    <row r="296" ht="15" customHeight="1">
      <c r="A296" t="inlineStr">
        <is>
          <t>A 65019-2019</t>
        </is>
      </c>
      <c r="B296" s="1" t="n">
        <v>43801</v>
      </c>
      <c r="C296" s="1" t="n">
        <v>45844</v>
      </c>
      <c r="D296" t="inlineStr">
        <is>
          <t>NORRBOTTENS LÄN</t>
        </is>
      </c>
      <c r="E296" t="inlineStr">
        <is>
          <t>BODEN</t>
        </is>
      </c>
      <c r="F296" t="inlineStr">
        <is>
          <t>Kommuner</t>
        </is>
      </c>
      <c r="G296" t="n">
        <v>9.1</v>
      </c>
      <c r="H296" t="n">
        <v>0</v>
      </c>
      <c r="I296" t="n">
        <v>0</v>
      </c>
      <c r="J296" t="n">
        <v>0</v>
      </c>
      <c r="K296" t="n">
        <v>0</v>
      </c>
      <c r="L296" t="n">
        <v>0</v>
      </c>
      <c r="M296" t="n">
        <v>0</v>
      </c>
      <c r="N296" t="n">
        <v>0</v>
      </c>
      <c r="O296" t="n">
        <v>0</v>
      </c>
      <c r="P296" t="n">
        <v>0</v>
      </c>
      <c r="Q296" t="n">
        <v>0</v>
      </c>
      <c r="R296" s="2" t="inlineStr"/>
    </row>
    <row r="297" ht="15" customHeight="1">
      <c r="A297" t="inlineStr">
        <is>
          <t>A 65099-2019</t>
        </is>
      </c>
      <c r="B297" s="1" t="n">
        <v>43802</v>
      </c>
      <c r="C297" s="1" t="n">
        <v>45844</v>
      </c>
      <c r="D297" t="inlineStr">
        <is>
          <t>NORRBOTTENS LÄN</t>
        </is>
      </c>
      <c r="E297" t="inlineStr">
        <is>
          <t>BODEN</t>
        </is>
      </c>
      <c r="G297" t="n">
        <v>4.2</v>
      </c>
      <c r="H297" t="n">
        <v>0</v>
      </c>
      <c r="I297" t="n">
        <v>0</v>
      </c>
      <c r="J297" t="n">
        <v>0</v>
      </c>
      <c r="K297" t="n">
        <v>0</v>
      </c>
      <c r="L297" t="n">
        <v>0</v>
      </c>
      <c r="M297" t="n">
        <v>0</v>
      </c>
      <c r="N297" t="n">
        <v>0</v>
      </c>
      <c r="O297" t="n">
        <v>0</v>
      </c>
      <c r="P297" t="n">
        <v>0</v>
      </c>
      <c r="Q297" t="n">
        <v>0</v>
      </c>
      <c r="R297" s="2" t="inlineStr"/>
    </row>
    <row r="298" ht="15" customHeight="1">
      <c r="A298" t="inlineStr">
        <is>
          <t>A 65753-2019</t>
        </is>
      </c>
      <c r="B298" s="1" t="n">
        <v>43804</v>
      </c>
      <c r="C298" s="1" t="n">
        <v>45844</v>
      </c>
      <c r="D298" t="inlineStr">
        <is>
          <t>NORRBOTTENS LÄN</t>
        </is>
      </c>
      <c r="E298" t="inlineStr">
        <is>
          <t>BODEN</t>
        </is>
      </c>
      <c r="F298" t="inlineStr">
        <is>
          <t>Kommuner</t>
        </is>
      </c>
      <c r="G298" t="n">
        <v>7.8</v>
      </c>
      <c r="H298" t="n">
        <v>0</v>
      </c>
      <c r="I298" t="n">
        <v>0</v>
      </c>
      <c r="J298" t="n">
        <v>0</v>
      </c>
      <c r="K298" t="n">
        <v>0</v>
      </c>
      <c r="L298" t="n">
        <v>0</v>
      </c>
      <c r="M298" t="n">
        <v>0</v>
      </c>
      <c r="N298" t="n">
        <v>0</v>
      </c>
      <c r="O298" t="n">
        <v>0</v>
      </c>
      <c r="P298" t="n">
        <v>0</v>
      </c>
      <c r="Q298" t="n">
        <v>0</v>
      </c>
      <c r="R298" s="2" t="inlineStr"/>
    </row>
    <row r="299" ht="15" customHeight="1">
      <c r="A299" t="inlineStr">
        <is>
          <t>A 67143-2019</t>
        </is>
      </c>
      <c r="B299" s="1" t="n">
        <v>43805</v>
      </c>
      <c r="C299" s="1" t="n">
        <v>45844</v>
      </c>
      <c r="D299" t="inlineStr">
        <is>
          <t>NORRBOTTENS LÄN</t>
        </is>
      </c>
      <c r="E299" t="inlineStr">
        <is>
          <t>BODEN</t>
        </is>
      </c>
      <c r="G299" t="n">
        <v>4</v>
      </c>
      <c r="H299" t="n">
        <v>0</v>
      </c>
      <c r="I299" t="n">
        <v>0</v>
      </c>
      <c r="J299" t="n">
        <v>0</v>
      </c>
      <c r="K299" t="n">
        <v>0</v>
      </c>
      <c r="L299" t="n">
        <v>0</v>
      </c>
      <c r="M299" t="n">
        <v>0</v>
      </c>
      <c r="N299" t="n">
        <v>0</v>
      </c>
      <c r="O299" t="n">
        <v>0</v>
      </c>
      <c r="P299" t="n">
        <v>0</v>
      </c>
      <c r="Q299" t="n">
        <v>0</v>
      </c>
      <c r="R299" s="2" t="inlineStr"/>
    </row>
    <row r="300" ht="15" customHeight="1">
      <c r="A300" t="inlineStr">
        <is>
          <t>A 66103-2019</t>
        </is>
      </c>
      <c r="B300" s="1" t="n">
        <v>43807</v>
      </c>
      <c r="C300" s="1" t="n">
        <v>45844</v>
      </c>
      <c r="D300" t="inlineStr">
        <is>
          <t>NORRBOTTENS LÄN</t>
        </is>
      </c>
      <c r="E300" t="inlineStr">
        <is>
          <t>BODEN</t>
        </is>
      </c>
      <c r="G300" t="n">
        <v>4.4</v>
      </c>
      <c r="H300" t="n">
        <v>0</v>
      </c>
      <c r="I300" t="n">
        <v>0</v>
      </c>
      <c r="J300" t="n">
        <v>0</v>
      </c>
      <c r="K300" t="n">
        <v>0</v>
      </c>
      <c r="L300" t="n">
        <v>0</v>
      </c>
      <c r="M300" t="n">
        <v>0</v>
      </c>
      <c r="N300" t="n">
        <v>0</v>
      </c>
      <c r="O300" t="n">
        <v>0</v>
      </c>
      <c r="P300" t="n">
        <v>0</v>
      </c>
      <c r="Q300" t="n">
        <v>0</v>
      </c>
      <c r="R300" s="2" t="inlineStr"/>
    </row>
    <row r="301" ht="15" customHeight="1">
      <c r="A301" t="inlineStr">
        <is>
          <t>A 66404-2019</t>
        </is>
      </c>
      <c r="B301" s="1" t="n">
        <v>43809</v>
      </c>
      <c r="C301" s="1" t="n">
        <v>45844</v>
      </c>
      <c r="D301" t="inlineStr">
        <is>
          <t>NORRBOTTENS LÄN</t>
        </is>
      </c>
      <c r="E301" t="inlineStr">
        <is>
          <t>BODEN</t>
        </is>
      </c>
      <c r="G301" t="n">
        <v>4.3</v>
      </c>
      <c r="H301" t="n">
        <v>0</v>
      </c>
      <c r="I301" t="n">
        <v>0</v>
      </c>
      <c r="J301" t="n">
        <v>0</v>
      </c>
      <c r="K301" t="n">
        <v>0</v>
      </c>
      <c r="L301" t="n">
        <v>0</v>
      </c>
      <c r="M301" t="n">
        <v>0</v>
      </c>
      <c r="N301" t="n">
        <v>0</v>
      </c>
      <c r="O301" t="n">
        <v>0</v>
      </c>
      <c r="P301" t="n">
        <v>0</v>
      </c>
      <c r="Q301" t="n">
        <v>0</v>
      </c>
      <c r="R301" s="2" t="inlineStr"/>
    </row>
    <row r="302" ht="15" customHeight="1">
      <c r="A302" t="inlineStr">
        <is>
          <t>A 66908-2019</t>
        </is>
      </c>
      <c r="B302" s="1" t="n">
        <v>43810</v>
      </c>
      <c r="C302" s="1" t="n">
        <v>45844</v>
      </c>
      <c r="D302" t="inlineStr">
        <is>
          <t>NORRBOTTENS LÄN</t>
        </is>
      </c>
      <c r="E302" t="inlineStr">
        <is>
          <t>BODEN</t>
        </is>
      </c>
      <c r="F302" t="inlineStr">
        <is>
          <t>Sveaskog</t>
        </is>
      </c>
      <c r="G302" t="n">
        <v>29.2</v>
      </c>
      <c r="H302" t="n">
        <v>0</v>
      </c>
      <c r="I302" t="n">
        <v>0</v>
      </c>
      <c r="J302" t="n">
        <v>0</v>
      </c>
      <c r="K302" t="n">
        <v>0</v>
      </c>
      <c r="L302" t="n">
        <v>0</v>
      </c>
      <c r="M302" t="n">
        <v>0</v>
      </c>
      <c r="N302" t="n">
        <v>0</v>
      </c>
      <c r="O302" t="n">
        <v>0</v>
      </c>
      <c r="P302" t="n">
        <v>0</v>
      </c>
      <c r="Q302" t="n">
        <v>0</v>
      </c>
      <c r="R302" s="2" t="inlineStr"/>
    </row>
    <row r="303" ht="15" customHeight="1">
      <c r="A303" t="inlineStr">
        <is>
          <t>A 67938-2019</t>
        </is>
      </c>
      <c r="B303" s="1" t="n">
        <v>43816</v>
      </c>
      <c r="C303" s="1" t="n">
        <v>45844</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687-2020</t>
        </is>
      </c>
      <c r="B304" s="1" t="n">
        <v>43819</v>
      </c>
      <c r="C304" s="1" t="n">
        <v>45844</v>
      </c>
      <c r="D304" t="inlineStr">
        <is>
          <t>NORRBOTTENS LÄN</t>
        </is>
      </c>
      <c r="E304" t="inlineStr">
        <is>
          <t>BODEN</t>
        </is>
      </c>
      <c r="G304" t="n">
        <v>0.5</v>
      </c>
      <c r="H304" t="n">
        <v>0</v>
      </c>
      <c r="I304" t="n">
        <v>0</v>
      </c>
      <c r="J304" t="n">
        <v>0</v>
      </c>
      <c r="K304" t="n">
        <v>0</v>
      </c>
      <c r="L304" t="n">
        <v>0</v>
      </c>
      <c r="M304" t="n">
        <v>0</v>
      </c>
      <c r="N304" t="n">
        <v>0</v>
      </c>
      <c r="O304" t="n">
        <v>0</v>
      </c>
      <c r="P304" t="n">
        <v>0</v>
      </c>
      <c r="Q304" t="n">
        <v>0</v>
      </c>
      <c r="R304" s="2" t="inlineStr"/>
    </row>
    <row r="305" ht="15" customHeight="1">
      <c r="A305" t="inlineStr">
        <is>
          <t>A 1560-2020</t>
        </is>
      </c>
      <c r="B305" s="1" t="n">
        <v>43843</v>
      </c>
      <c r="C305" s="1" t="n">
        <v>45844</v>
      </c>
      <c r="D305" t="inlineStr">
        <is>
          <t>NORRBOTTENS LÄN</t>
        </is>
      </c>
      <c r="E305" t="inlineStr">
        <is>
          <t>BODEN</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2901-2020</t>
        </is>
      </c>
      <c r="B306" s="1" t="n">
        <v>43850</v>
      </c>
      <c r="C306" s="1" t="n">
        <v>45844</v>
      </c>
      <c r="D306" t="inlineStr">
        <is>
          <t>NORRBOTTENS LÄN</t>
        </is>
      </c>
      <c r="E306" t="inlineStr">
        <is>
          <t>BODEN</t>
        </is>
      </c>
      <c r="F306" t="inlineStr">
        <is>
          <t>Övriga statliga verk och myndigheter</t>
        </is>
      </c>
      <c r="G306" t="n">
        <v>12.1</v>
      </c>
      <c r="H306" t="n">
        <v>0</v>
      </c>
      <c r="I306" t="n">
        <v>0</v>
      </c>
      <c r="J306" t="n">
        <v>0</v>
      </c>
      <c r="K306" t="n">
        <v>0</v>
      </c>
      <c r="L306" t="n">
        <v>0</v>
      </c>
      <c r="M306" t="n">
        <v>0</v>
      </c>
      <c r="N306" t="n">
        <v>0</v>
      </c>
      <c r="O306" t="n">
        <v>0</v>
      </c>
      <c r="P306" t="n">
        <v>0</v>
      </c>
      <c r="Q306" t="n">
        <v>0</v>
      </c>
      <c r="R306" s="2" t="inlineStr"/>
    </row>
    <row r="307" ht="15" customHeight="1">
      <c r="A307" t="inlineStr">
        <is>
          <t>A 2894-2020</t>
        </is>
      </c>
      <c r="B307" s="1" t="n">
        <v>43850</v>
      </c>
      <c r="C307" s="1" t="n">
        <v>45844</v>
      </c>
      <c r="D307" t="inlineStr">
        <is>
          <t>NORRBOTTENS LÄN</t>
        </is>
      </c>
      <c r="E307" t="inlineStr">
        <is>
          <t>BODEN</t>
        </is>
      </c>
      <c r="F307" t="inlineStr">
        <is>
          <t>Övriga statliga verk och myndigheter</t>
        </is>
      </c>
      <c r="G307" t="n">
        <v>19.1</v>
      </c>
      <c r="H307" t="n">
        <v>0</v>
      </c>
      <c r="I307" t="n">
        <v>0</v>
      </c>
      <c r="J307" t="n">
        <v>0</v>
      </c>
      <c r="K307" t="n">
        <v>0</v>
      </c>
      <c r="L307" t="n">
        <v>0</v>
      </c>
      <c r="M307" t="n">
        <v>0</v>
      </c>
      <c r="N307" t="n">
        <v>0</v>
      </c>
      <c r="O307" t="n">
        <v>0</v>
      </c>
      <c r="P307" t="n">
        <v>0</v>
      </c>
      <c r="Q307" t="n">
        <v>0</v>
      </c>
      <c r="R307" s="2" t="inlineStr"/>
    </row>
    <row r="308" ht="15" customHeight="1">
      <c r="A308" t="inlineStr">
        <is>
          <t>A 3669-2020</t>
        </is>
      </c>
      <c r="B308" s="1" t="n">
        <v>43853</v>
      </c>
      <c r="C308" s="1" t="n">
        <v>45844</v>
      </c>
      <c r="D308" t="inlineStr">
        <is>
          <t>NORRBOTTENS LÄN</t>
        </is>
      </c>
      <c r="E308" t="inlineStr">
        <is>
          <t>BODEN</t>
        </is>
      </c>
      <c r="G308" t="n">
        <v>6.3</v>
      </c>
      <c r="H308" t="n">
        <v>0</v>
      </c>
      <c r="I308" t="n">
        <v>0</v>
      </c>
      <c r="J308" t="n">
        <v>0</v>
      </c>
      <c r="K308" t="n">
        <v>0</v>
      </c>
      <c r="L308" t="n">
        <v>0</v>
      </c>
      <c r="M308" t="n">
        <v>0</v>
      </c>
      <c r="N308" t="n">
        <v>0</v>
      </c>
      <c r="O308" t="n">
        <v>0</v>
      </c>
      <c r="P308" t="n">
        <v>0</v>
      </c>
      <c r="Q308" t="n">
        <v>0</v>
      </c>
      <c r="R308" s="2" t="inlineStr"/>
    </row>
    <row r="309" ht="15" customHeight="1">
      <c r="A309" t="inlineStr">
        <is>
          <t>A 4223-2020</t>
        </is>
      </c>
      <c r="B309" s="1" t="n">
        <v>43854</v>
      </c>
      <c r="C309" s="1" t="n">
        <v>45844</v>
      </c>
      <c r="D309" t="inlineStr">
        <is>
          <t>NORRBOTTENS LÄN</t>
        </is>
      </c>
      <c r="E309" t="inlineStr">
        <is>
          <t>BODEN</t>
        </is>
      </c>
      <c r="G309" t="n">
        <v>3.8</v>
      </c>
      <c r="H309" t="n">
        <v>0</v>
      </c>
      <c r="I309" t="n">
        <v>0</v>
      </c>
      <c r="J309" t="n">
        <v>0</v>
      </c>
      <c r="K309" t="n">
        <v>0</v>
      </c>
      <c r="L309" t="n">
        <v>0</v>
      </c>
      <c r="M309" t="n">
        <v>0</v>
      </c>
      <c r="N309" t="n">
        <v>0</v>
      </c>
      <c r="O309" t="n">
        <v>0</v>
      </c>
      <c r="P309" t="n">
        <v>0</v>
      </c>
      <c r="Q309" t="n">
        <v>0</v>
      </c>
      <c r="R309" s="2" t="inlineStr"/>
    </row>
    <row r="310" ht="15" customHeight="1">
      <c r="A310" t="inlineStr">
        <is>
          <t>A 5526-2020</t>
        </is>
      </c>
      <c r="B310" s="1" t="n">
        <v>43859</v>
      </c>
      <c r="C310" s="1" t="n">
        <v>45844</v>
      </c>
      <c r="D310" t="inlineStr">
        <is>
          <t>NORRBOTTENS LÄN</t>
        </is>
      </c>
      <c r="E310" t="inlineStr">
        <is>
          <t>BODEN</t>
        </is>
      </c>
      <c r="G310" t="n">
        <v>7.8</v>
      </c>
      <c r="H310" t="n">
        <v>0</v>
      </c>
      <c r="I310" t="n">
        <v>0</v>
      </c>
      <c r="J310" t="n">
        <v>0</v>
      </c>
      <c r="K310" t="n">
        <v>0</v>
      </c>
      <c r="L310" t="n">
        <v>0</v>
      </c>
      <c r="M310" t="n">
        <v>0</v>
      </c>
      <c r="N310" t="n">
        <v>0</v>
      </c>
      <c r="O310" t="n">
        <v>0</v>
      </c>
      <c r="P310" t="n">
        <v>0</v>
      </c>
      <c r="Q310" t="n">
        <v>0</v>
      </c>
      <c r="R310" s="2" t="inlineStr"/>
    </row>
    <row r="311" ht="15" customHeight="1">
      <c r="A311" t="inlineStr">
        <is>
          <t>A 6516-2020</t>
        </is>
      </c>
      <c r="B311" s="1" t="n">
        <v>43865</v>
      </c>
      <c r="C311" s="1" t="n">
        <v>45844</v>
      </c>
      <c r="D311" t="inlineStr">
        <is>
          <t>NORRBOTTENS LÄN</t>
        </is>
      </c>
      <c r="E311" t="inlineStr">
        <is>
          <t>BODEN</t>
        </is>
      </c>
      <c r="G311" t="n">
        <v>5.5</v>
      </c>
      <c r="H311" t="n">
        <v>0</v>
      </c>
      <c r="I311" t="n">
        <v>0</v>
      </c>
      <c r="J311" t="n">
        <v>0</v>
      </c>
      <c r="K311" t="n">
        <v>0</v>
      </c>
      <c r="L311" t="n">
        <v>0</v>
      </c>
      <c r="M311" t="n">
        <v>0</v>
      </c>
      <c r="N311" t="n">
        <v>0</v>
      </c>
      <c r="O311" t="n">
        <v>0</v>
      </c>
      <c r="P311" t="n">
        <v>0</v>
      </c>
      <c r="Q311" t="n">
        <v>0</v>
      </c>
      <c r="R311" s="2" t="inlineStr"/>
    </row>
    <row r="312" ht="15" customHeight="1">
      <c r="A312" t="inlineStr">
        <is>
          <t>A 8096-2020</t>
        </is>
      </c>
      <c r="B312" s="1" t="n">
        <v>43874</v>
      </c>
      <c r="C312" s="1" t="n">
        <v>45844</v>
      </c>
      <c r="D312" t="inlineStr">
        <is>
          <t>NORRBOTTENS LÄN</t>
        </is>
      </c>
      <c r="E312" t="inlineStr">
        <is>
          <t>BODEN</t>
        </is>
      </c>
      <c r="F312" t="inlineStr">
        <is>
          <t>Övriga statliga verk och myndigheter</t>
        </is>
      </c>
      <c r="G312" t="n">
        <v>2.2</v>
      </c>
      <c r="H312" t="n">
        <v>0</v>
      </c>
      <c r="I312" t="n">
        <v>0</v>
      </c>
      <c r="J312" t="n">
        <v>0</v>
      </c>
      <c r="K312" t="n">
        <v>0</v>
      </c>
      <c r="L312" t="n">
        <v>0</v>
      </c>
      <c r="M312" t="n">
        <v>0</v>
      </c>
      <c r="N312" t="n">
        <v>0</v>
      </c>
      <c r="O312" t="n">
        <v>0</v>
      </c>
      <c r="P312" t="n">
        <v>0</v>
      </c>
      <c r="Q312" t="n">
        <v>0</v>
      </c>
      <c r="R312" s="2" t="inlineStr"/>
    </row>
    <row r="313" ht="15" customHeight="1">
      <c r="A313" t="inlineStr">
        <is>
          <t>A 10591-2020</t>
        </is>
      </c>
      <c r="B313" s="1" t="n">
        <v>43887</v>
      </c>
      <c r="C313" s="1" t="n">
        <v>45844</v>
      </c>
      <c r="D313" t="inlineStr">
        <is>
          <t>NORRBOTTENS LÄN</t>
        </is>
      </c>
      <c r="E313" t="inlineStr">
        <is>
          <t>BODEN</t>
        </is>
      </c>
      <c r="G313" t="n">
        <v>2.1</v>
      </c>
      <c r="H313" t="n">
        <v>0</v>
      </c>
      <c r="I313" t="n">
        <v>0</v>
      </c>
      <c r="J313" t="n">
        <v>0</v>
      </c>
      <c r="K313" t="n">
        <v>0</v>
      </c>
      <c r="L313" t="n">
        <v>0</v>
      </c>
      <c r="M313" t="n">
        <v>0</v>
      </c>
      <c r="N313" t="n">
        <v>0</v>
      </c>
      <c r="O313" t="n">
        <v>0</v>
      </c>
      <c r="P313" t="n">
        <v>0</v>
      </c>
      <c r="Q313" t="n">
        <v>0</v>
      </c>
      <c r="R313" s="2" t="inlineStr"/>
    </row>
    <row r="314" ht="15" customHeight="1">
      <c r="A314" t="inlineStr">
        <is>
          <t>A 12358-2020</t>
        </is>
      </c>
      <c r="B314" s="1" t="n">
        <v>43896</v>
      </c>
      <c r="C314" s="1" t="n">
        <v>45844</v>
      </c>
      <c r="D314" t="inlineStr">
        <is>
          <t>NORRBOTTENS LÄN</t>
        </is>
      </c>
      <c r="E314" t="inlineStr">
        <is>
          <t>BODEN</t>
        </is>
      </c>
      <c r="G314" t="n">
        <v>2.5</v>
      </c>
      <c r="H314" t="n">
        <v>0</v>
      </c>
      <c r="I314" t="n">
        <v>0</v>
      </c>
      <c r="J314" t="n">
        <v>0</v>
      </c>
      <c r="K314" t="n">
        <v>0</v>
      </c>
      <c r="L314" t="n">
        <v>0</v>
      </c>
      <c r="M314" t="n">
        <v>0</v>
      </c>
      <c r="N314" t="n">
        <v>0</v>
      </c>
      <c r="O314" t="n">
        <v>0</v>
      </c>
      <c r="P314" t="n">
        <v>0</v>
      </c>
      <c r="Q314" t="n">
        <v>0</v>
      </c>
      <c r="R314" s="2" t="inlineStr"/>
    </row>
    <row r="315" ht="15" customHeight="1">
      <c r="A315" t="inlineStr">
        <is>
          <t>A 13119-2020</t>
        </is>
      </c>
      <c r="B315" s="1" t="n">
        <v>43901</v>
      </c>
      <c r="C315" s="1" t="n">
        <v>45844</v>
      </c>
      <c r="D315" t="inlineStr">
        <is>
          <t>NORRBOTTENS LÄN</t>
        </is>
      </c>
      <c r="E315" t="inlineStr">
        <is>
          <t>BODEN</t>
        </is>
      </c>
      <c r="F315" t="inlineStr">
        <is>
          <t>Sveaskog</t>
        </is>
      </c>
      <c r="G315" t="n">
        <v>32.5</v>
      </c>
      <c r="H315" t="n">
        <v>0</v>
      </c>
      <c r="I315" t="n">
        <v>0</v>
      </c>
      <c r="J315" t="n">
        <v>0</v>
      </c>
      <c r="K315" t="n">
        <v>0</v>
      </c>
      <c r="L315" t="n">
        <v>0</v>
      </c>
      <c r="M315" t="n">
        <v>0</v>
      </c>
      <c r="N315" t="n">
        <v>0</v>
      </c>
      <c r="O315" t="n">
        <v>0</v>
      </c>
      <c r="P315" t="n">
        <v>0</v>
      </c>
      <c r="Q315" t="n">
        <v>0</v>
      </c>
      <c r="R315" s="2" t="inlineStr"/>
    </row>
    <row r="316" ht="15" customHeight="1">
      <c r="A316" t="inlineStr">
        <is>
          <t>A 13123-2020</t>
        </is>
      </c>
      <c r="B316" s="1" t="n">
        <v>43901</v>
      </c>
      <c r="C316" s="1" t="n">
        <v>45844</v>
      </c>
      <c r="D316" t="inlineStr">
        <is>
          <t>NORRBOTTENS LÄN</t>
        </is>
      </c>
      <c r="E316" t="inlineStr">
        <is>
          <t>BODEN</t>
        </is>
      </c>
      <c r="F316" t="inlineStr">
        <is>
          <t>Sveaskog</t>
        </is>
      </c>
      <c r="G316" t="n">
        <v>41.8</v>
      </c>
      <c r="H316" t="n">
        <v>0</v>
      </c>
      <c r="I316" t="n">
        <v>0</v>
      </c>
      <c r="J316" t="n">
        <v>0</v>
      </c>
      <c r="K316" t="n">
        <v>0</v>
      </c>
      <c r="L316" t="n">
        <v>0</v>
      </c>
      <c r="M316" t="n">
        <v>0</v>
      </c>
      <c r="N316" t="n">
        <v>0</v>
      </c>
      <c r="O316" t="n">
        <v>0</v>
      </c>
      <c r="P316" t="n">
        <v>0</v>
      </c>
      <c r="Q316" t="n">
        <v>0</v>
      </c>
      <c r="R316" s="2" t="inlineStr"/>
    </row>
    <row r="317" ht="15" customHeight="1">
      <c r="A317" t="inlineStr">
        <is>
          <t>A 13293-2020</t>
        </is>
      </c>
      <c r="B317" s="1" t="n">
        <v>43901</v>
      </c>
      <c r="C317" s="1" t="n">
        <v>45844</v>
      </c>
      <c r="D317" t="inlineStr">
        <is>
          <t>NORRBOTTENS LÄN</t>
        </is>
      </c>
      <c r="E317" t="inlineStr">
        <is>
          <t>BODEN</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13821-2020</t>
        </is>
      </c>
      <c r="B318" s="1" t="n">
        <v>43905</v>
      </c>
      <c r="C318" s="1" t="n">
        <v>45844</v>
      </c>
      <c r="D318" t="inlineStr">
        <is>
          <t>NORRBOTTENS LÄN</t>
        </is>
      </c>
      <c r="E318" t="inlineStr">
        <is>
          <t>BODEN</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14325-2020</t>
        </is>
      </c>
      <c r="B319" s="1" t="n">
        <v>43907</v>
      </c>
      <c r="C319" s="1" t="n">
        <v>45844</v>
      </c>
      <c r="D319" t="inlineStr">
        <is>
          <t>NORRBOTTENS LÄN</t>
        </is>
      </c>
      <c r="E319" t="inlineStr">
        <is>
          <t>BODEN</t>
        </is>
      </c>
      <c r="F319" t="inlineStr">
        <is>
          <t>SCA</t>
        </is>
      </c>
      <c r="G319" t="n">
        <v>1.6</v>
      </c>
      <c r="H319" t="n">
        <v>0</v>
      </c>
      <c r="I319" t="n">
        <v>0</v>
      </c>
      <c r="J319" t="n">
        <v>0</v>
      </c>
      <c r="K319" t="n">
        <v>0</v>
      </c>
      <c r="L319" t="n">
        <v>0</v>
      </c>
      <c r="M319" t="n">
        <v>0</v>
      </c>
      <c r="N319" t="n">
        <v>0</v>
      </c>
      <c r="O319" t="n">
        <v>0</v>
      </c>
      <c r="P319" t="n">
        <v>0</v>
      </c>
      <c r="Q319" t="n">
        <v>0</v>
      </c>
      <c r="R319" s="2" t="inlineStr"/>
      <c r="U319">
        <f>HYPERLINK("https://klasma.github.io/Logging_2582/knärot/A 14325-2020 karta knärot.png", "A 14325-2020")</f>
        <v/>
      </c>
      <c r="V319">
        <f>HYPERLINK("https://klasma.github.io/Logging_2582/klagomål/A 14325-2020 FSC-klagomål.docx", "A 14325-2020")</f>
        <v/>
      </c>
      <c r="W319">
        <f>HYPERLINK("https://klasma.github.io/Logging_2582/klagomålsmail/A 14325-2020 FSC-klagomål mail.docx", "A 14325-2020")</f>
        <v/>
      </c>
      <c r="X319">
        <f>HYPERLINK("https://klasma.github.io/Logging_2582/tillsyn/A 14325-2020 tillsynsbegäran.docx", "A 14325-2020")</f>
        <v/>
      </c>
      <c r="Y319">
        <f>HYPERLINK("https://klasma.github.io/Logging_2582/tillsynsmail/A 14325-2020 tillsynsbegäran mail.docx", "A 14325-2020")</f>
        <v/>
      </c>
    </row>
    <row r="320" ht="15" customHeight="1">
      <c r="A320" t="inlineStr">
        <is>
          <t>A 17746-2020</t>
        </is>
      </c>
      <c r="B320" s="1" t="n">
        <v>43922</v>
      </c>
      <c r="C320" s="1" t="n">
        <v>45844</v>
      </c>
      <c r="D320" t="inlineStr">
        <is>
          <t>NORRBOTTENS LÄN</t>
        </is>
      </c>
      <c r="E320" t="inlineStr">
        <is>
          <t>BODEN</t>
        </is>
      </c>
      <c r="G320" t="n">
        <v>12.6</v>
      </c>
      <c r="H320" t="n">
        <v>0</v>
      </c>
      <c r="I320" t="n">
        <v>0</v>
      </c>
      <c r="J320" t="n">
        <v>0</v>
      </c>
      <c r="K320" t="n">
        <v>0</v>
      </c>
      <c r="L320" t="n">
        <v>0</v>
      </c>
      <c r="M320" t="n">
        <v>0</v>
      </c>
      <c r="N320" t="n">
        <v>0</v>
      </c>
      <c r="O320" t="n">
        <v>0</v>
      </c>
      <c r="P320" t="n">
        <v>0</v>
      </c>
      <c r="Q320" t="n">
        <v>0</v>
      </c>
      <c r="R320" s="2" t="inlineStr"/>
    </row>
    <row r="321" ht="15" customHeight="1">
      <c r="A321" t="inlineStr">
        <is>
          <t>A 18031-2020</t>
        </is>
      </c>
      <c r="B321" s="1" t="n">
        <v>43927</v>
      </c>
      <c r="C321" s="1" t="n">
        <v>45844</v>
      </c>
      <c r="D321" t="inlineStr">
        <is>
          <t>NORRBOTTENS LÄN</t>
        </is>
      </c>
      <c r="E321" t="inlineStr">
        <is>
          <t>BODEN</t>
        </is>
      </c>
      <c r="F321" t="inlineStr">
        <is>
          <t>Övriga statliga verk och myndigheter</t>
        </is>
      </c>
      <c r="G321" t="n">
        <v>10.3</v>
      </c>
      <c r="H321" t="n">
        <v>0</v>
      </c>
      <c r="I321" t="n">
        <v>0</v>
      </c>
      <c r="J321" t="n">
        <v>0</v>
      </c>
      <c r="K321" t="n">
        <v>0</v>
      </c>
      <c r="L321" t="n">
        <v>0</v>
      </c>
      <c r="M321" t="n">
        <v>0</v>
      </c>
      <c r="N321" t="n">
        <v>0</v>
      </c>
      <c r="O321" t="n">
        <v>0</v>
      </c>
      <c r="P321" t="n">
        <v>0</v>
      </c>
      <c r="Q321" t="n">
        <v>0</v>
      </c>
      <c r="R321" s="2" t="inlineStr"/>
    </row>
    <row r="322" ht="15" customHeight="1">
      <c r="A322" t="inlineStr">
        <is>
          <t>A 18027-2020</t>
        </is>
      </c>
      <c r="B322" s="1" t="n">
        <v>43927</v>
      </c>
      <c r="C322" s="1" t="n">
        <v>45844</v>
      </c>
      <c r="D322" t="inlineStr">
        <is>
          <t>NORRBOTTENS LÄN</t>
        </is>
      </c>
      <c r="E322" t="inlineStr">
        <is>
          <t>BODEN</t>
        </is>
      </c>
      <c r="F322" t="inlineStr">
        <is>
          <t>Övriga statliga verk och myndigheter</t>
        </is>
      </c>
      <c r="G322" t="n">
        <v>17.8</v>
      </c>
      <c r="H322" t="n">
        <v>0</v>
      </c>
      <c r="I322" t="n">
        <v>0</v>
      </c>
      <c r="J322" t="n">
        <v>0</v>
      </c>
      <c r="K322" t="n">
        <v>0</v>
      </c>
      <c r="L322" t="n">
        <v>0</v>
      </c>
      <c r="M322" t="n">
        <v>0</v>
      </c>
      <c r="N322" t="n">
        <v>0</v>
      </c>
      <c r="O322" t="n">
        <v>0</v>
      </c>
      <c r="P322" t="n">
        <v>0</v>
      </c>
      <c r="Q322" t="n">
        <v>0</v>
      </c>
      <c r="R322" s="2" t="inlineStr"/>
    </row>
    <row r="323" ht="15" customHeight="1">
      <c r="A323" t="inlineStr">
        <is>
          <t>A 19068-2020</t>
        </is>
      </c>
      <c r="B323" s="1" t="n">
        <v>43936</v>
      </c>
      <c r="C323" s="1" t="n">
        <v>45844</v>
      </c>
      <c r="D323" t="inlineStr">
        <is>
          <t>NORRBOTTENS LÄN</t>
        </is>
      </c>
      <c r="E323" t="inlineStr">
        <is>
          <t>BODEN</t>
        </is>
      </c>
      <c r="G323" t="n">
        <v>5.2</v>
      </c>
      <c r="H323" t="n">
        <v>0</v>
      </c>
      <c r="I323" t="n">
        <v>0</v>
      </c>
      <c r="J323" t="n">
        <v>0</v>
      </c>
      <c r="K323" t="n">
        <v>0</v>
      </c>
      <c r="L323" t="n">
        <v>0</v>
      </c>
      <c r="M323" t="n">
        <v>0</v>
      </c>
      <c r="N323" t="n">
        <v>0</v>
      </c>
      <c r="O323" t="n">
        <v>0</v>
      </c>
      <c r="P323" t="n">
        <v>0</v>
      </c>
      <c r="Q323" t="n">
        <v>0</v>
      </c>
      <c r="R323" s="2" t="inlineStr"/>
    </row>
    <row r="324" ht="15" customHeight="1">
      <c r="A324" t="inlineStr">
        <is>
          <t>A 22426-2020</t>
        </is>
      </c>
      <c r="B324" s="1" t="n">
        <v>43958</v>
      </c>
      <c r="C324" s="1" t="n">
        <v>45844</v>
      </c>
      <c r="D324" t="inlineStr">
        <is>
          <t>NORRBOTTENS LÄN</t>
        </is>
      </c>
      <c r="E324" t="inlineStr">
        <is>
          <t>BODEN</t>
        </is>
      </c>
      <c r="G324" t="n">
        <v>2.2</v>
      </c>
      <c r="H324" t="n">
        <v>0</v>
      </c>
      <c r="I324" t="n">
        <v>0</v>
      </c>
      <c r="J324" t="n">
        <v>0</v>
      </c>
      <c r="K324" t="n">
        <v>0</v>
      </c>
      <c r="L324" t="n">
        <v>0</v>
      </c>
      <c r="M324" t="n">
        <v>0</v>
      </c>
      <c r="N324" t="n">
        <v>0</v>
      </c>
      <c r="O324" t="n">
        <v>0</v>
      </c>
      <c r="P324" t="n">
        <v>0</v>
      </c>
      <c r="Q324" t="n">
        <v>0</v>
      </c>
      <c r="R324" s="2" t="inlineStr"/>
    </row>
    <row r="325" ht="15" customHeight="1">
      <c r="A325" t="inlineStr">
        <is>
          <t>A 22844-2020</t>
        </is>
      </c>
      <c r="B325" s="1" t="n">
        <v>43964</v>
      </c>
      <c r="C325" s="1" t="n">
        <v>45844</v>
      </c>
      <c r="D325" t="inlineStr">
        <is>
          <t>NORRBOTTENS LÄN</t>
        </is>
      </c>
      <c r="E325" t="inlineStr">
        <is>
          <t>BODEN</t>
        </is>
      </c>
      <c r="G325" t="n">
        <v>3.1</v>
      </c>
      <c r="H325" t="n">
        <v>0</v>
      </c>
      <c r="I325" t="n">
        <v>0</v>
      </c>
      <c r="J325" t="n">
        <v>0</v>
      </c>
      <c r="K325" t="n">
        <v>0</v>
      </c>
      <c r="L325" t="n">
        <v>0</v>
      </c>
      <c r="M325" t="n">
        <v>0</v>
      </c>
      <c r="N325" t="n">
        <v>0</v>
      </c>
      <c r="O325" t="n">
        <v>0</v>
      </c>
      <c r="P325" t="n">
        <v>0</v>
      </c>
      <c r="Q325" t="n">
        <v>0</v>
      </c>
      <c r="R325" s="2" t="inlineStr"/>
    </row>
    <row r="326" ht="15" customHeight="1">
      <c r="A326" t="inlineStr">
        <is>
          <t>A 22846-2020</t>
        </is>
      </c>
      <c r="B326" s="1" t="n">
        <v>43964</v>
      </c>
      <c r="C326" s="1" t="n">
        <v>45844</v>
      </c>
      <c r="D326" t="inlineStr">
        <is>
          <t>NORRBOTTENS LÄN</t>
        </is>
      </c>
      <c r="E326" t="inlineStr">
        <is>
          <t>BODEN</t>
        </is>
      </c>
      <c r="G326" t="n">
        <v>4.4</v>
      </c>
      <c r="H326" t="n">
        <v>0</v>
      </c>
      <c r="I326" t="n">
        <v>0</v>
      </c>
      <c r="J326" t="n">
        <v>0</v>
      </c>
      <c r="K326" t="n">
        <v>0</v>
      </c>
      <c r="L326" t="n">
        <v>0</v>
      </c>
      <c r="M326" t="n">
        <v>0</v>
      </c>
      <c r="N326" t="n">
        <v>0</v>
      </c>
      <c r="O326" t="n">
        <v>0</v>
      </c>
      <c r="P326" t="n">
        <v>0</v>
      </c>
      <c r="Q326" t="n">
        <v>0</v>
      </c>
      <c r="R326" s="2" t="inlineStr"/>
    </row>
    <row r="327" ht="15" customHeight="1">
      <c r="A327" t="inlineStr">
        <is>
          <t>A 23105-2020</t>
        </is>
      </c>
      <c r="B327" s="1" t="n">
        <v>43965</v>
      </c>
      <c r="C327" s="1" t="n">
        <v>45844</v>
      </c>
      <c r="D327" t="inlineStr">
        <is>
          <t>NORRBOTTENS LÄN</t>
        </is>
      </c>
      <c r="E327" t="inlineStr">
        <is>
          <t>BODEN</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24026-2020</t>
        </is>
      </c>
      <c r="B328" s="1" t="n">
        <v>43971</v>
      </c>
      <c r="C328" s="1" t="n">
        <v>45844</v>
      </c>
      <c r="D328" t="inlineStr">
        <is>
          <t>NORRBOTTENS LÄN</t>
        </is>
      </c>
      <c r="E328" t="inlineStr">
        <is>
          <t>BODEN</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25105-2020</t>
        </is>
      </c>
      <c r="B329" s="1" t="n">
        <v>43979</v>
      </c>
      <c r="C329" s="1" t="n">
        <v>45844</v>
      </c>
      <c r="D329" t="inlineStr">
        <is>
          <t>NORRBOTTENS LÄN</t>
        </is>
      </c>
      <c r="E329" t="inlineStr">
        <is>
          <t>BODEN</t>
        </is>
      </c>
      <c r="G329" t="n">
        <v>4.7</v>
      </c>
      <c r="H329" t="n">
        <v>0</v>
      </c>
      <c r="I329" t="n">
        <v>0</v>
      </c>
      <c r="J329" t="n">
        <v>0</v>
      </c>
      <c r="K329" t="n">
        <v>0</v>
      </c>
      <c r="L329" t="n">
        <v>0</v>
      </c>
      <c r="M329" t="n">
        <v>0</v>
      </c>
      <c r="N329" t="n">
        <v>0</v>
      </c>
      <c r="O329" t="n">
        <v>0</v>
      </c>
      <c r="P329" t="n">
        <v>0</v>
      </c>
      <c r="Q329" t="n">
        <v>0</v>
      </c>
      <c r="R329" s="2" t="inlineStr"/>
    </row>
    <row r="330" ht="15" customHeight="1">
      <c r="A330" t="inlineStr">
        <is>
          <t>A 25439-2020</t>
        </is>
      </c>
      <c r="B330" s="1" t="n">
        <v>43983</v>
      </c>
      <c r="C330" s="1" t="n">
        <v>45844</v>
      </c>
      <c r="D330" t="inlineStr">
        <is>
          <t>NORRBOTTENS LÄN</t>
        </is>
      </c>
      <c r="E330" t="inlineStr">
        <is>
          <t>BODEN</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25541-2020</t>
        </is>
      </c>
      <c r="B331" s="1" t="n">
        <v>43983</v>
      </c>
      <c r="C331" s="1" t="n">
        <v>45844</v>
      </c>
      <c r="D331" t="inlineStr">
        <is>
          <t>NORRBOTTENS LÄN</t>
        </is>
      </c>
      <c r="E331" t="inlineStr">
        <is>
          <t>BODEN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25446-2020</t>
        </is>
      </c>
      <c r="B332" s="1" t="n">
        <v>43983</v>
      </c>
      <c r="C332" s="1" t="n">
        <v>45844</v>
      </c>
      <c r="D332" t="inlineStr">
        <is>
          <t>NORRBOTTENS LÄN</t>
        </is>
      </c>
      <c r="E332" t="inlineStr">
        <is>
          <t>BODEN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25449-2020</t>
        </is>
      </c>
      <c r="B333" s="1" t="n">
        <v>43983</v>
      </c>
      <c r="C333" s="1" t="n">
        <v>45844</v>
      </c>
      <c r="D333" t="inlineStr">
        <is>
          <t>NORRBOTTENS LÄN</t>
        </is>
      </c>
      <c r="E333" t="inlineStr">
        <is>
          <t>BODEN</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26916-2020</t>
        </is>
      </c>
      <c r="B334" s="1" t="n">
        <v>43990</v>
      </c>
      <c r="C334" s="1" t="n">
        <v>45844</v>
      </c>
      <c r="D334" t="inlineStr">
        <is>
          <t>NORRBOTTENS LÄN</t>
        </is>
      </c>
      <c r="E334" t="inlineStr">
        <is>
          <t>BODEN</t>
        </is>
      </c>
      <c r="G334" t="n">
        <v>0.5</v>
      </c>
      <c r="H334" t="n">
        <v>0</v>
      </c>
      <c r="I334" t="n">
        <v>0</v>
      </c>
      <c r="J334" t="n">
        <v>0</v>
      </c>
      <c r="K334" t="n">
        <v>0</v>
      </c>
      <c r="L334" t="n">
        <v>0</v>
      </c>
      <c r="M334" t="n">
        <v>0</v>
      </c>
      <c r="N334" t="n">
        <v>0</v>
      </c>
      <c r="O334" t="n">
        <v>0</v>
      </c>
      <c r="P334" t="n">
        <v>0</v>
      </c>
      <c r="Q334" t="n">
        <v>0</v>
      </c>
      <c r="R334" s="2" t="inlineStr"/>
    </row>
    <row r="335" ht="15" customHeight="1">
      <c r="A335" t="inlineStr">
        <is>
          <t>A 27876-2020</t>
        </is>
      </c>
      <c r="B335" s="1" t="n">
        <v>43994</v>
      </c>
      <c r="C335" s="1" t="n">
        <v>45844</v>
      </c>
      <c r="D335" t="inlineStr">
        <is>
          <t>NORRBOTTENS LÄN</t>
        </is>
      </c>
      <c r="E335" t="inlineStr">
        <is>
          <t>BODEN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28202-2020</t>
        </is>
      </c>
      <c r="B336" s="1" t="n">
        <v>43997</v>
      </c>
      <c r="C336" s="1" t="n">
        <v>45844</v>
      </c>
      <c r="D336" t="inlineStr">
        <is>
          <t>NORRBOTTENS LÄN</t>
        </is>
      </c>
      <c r="E336" t="inlineStr">
        <is>
          <t>BODEN</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28488-2020</t>
        </is>
      </c>
      <c r="B337" s="1" t="n">
        <v>43998</v>
      </c>
      <c r="C337" s="1" t="n">
        <v>45844</v>
      </c>
      <c r="D337" t="inlineStr">
        <is>
          <t>NORRBOTTENS LÄN</t>
        </is>
      </c>
      <c r="E337" t="inlineStr">
        <is>
          <t>BODEN</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29247-2020</t>
        </is>
      </c>
      <c r="B338" s="1" t="n">
        <v>44004</v>
      </c>
      <c r="C338" s="1" t="n">
        <v>45844</v>
      </c>
      <c r="D338" t="inlineStr">
        <is>
          <t>NORRBOTTENS LÄN</t>
        </is>
      </c>
      <c r="E338" t="inlineStr">
        <is>
          <t>BODEN</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29567-2020</t>
        </is>
      </c>
      <c r="B339" s="1" t="n">
        <v>44005</v>
      </c>
      <c r="C339" s="1" t="n">
        <v>45844</v>
      </c>
      <c r="D339" t="inlineStr">
        <is>
          <t>NORRBOTTENS LÄN</t>
        </is>
      </c>
      <c r="E339" t="inlineStr">
        <is>
          <t>BODEN</t>
        </is>
      </c>
      <c r="G339" t="n">
        <v>0.2</v>
      </c>
      <c r="H339" t="n">
        <v>0</v>
      </c>
      <c r="I339" t="n">
        <v>0</v>
      </c>
      <c r="J339" t="n">
        <v>0</v>
      </c>
      <c r="K339" t="n">
        <v>0</v>
      </c>
      <c r="L339" t="n">
        <v>0</v>
      </c>
      <c r="M339" t="n">
        <v>0</v>
      </c>
      <c r="N339" t="n">
        <v>0</v>
      </c>
      <c r="O339" t="n">
        <v>0</v>
      </c>
      <c r="P339" t="n">
        <v>0</v>
      </c>
      <c r="Q339" t="n">
        <v>0</v>
      </c>
      <c r="R339" s="2" t="inlineStr"/>
    </row>
    <row r="340" ht="15" customHeight="1">
      <c r="A340" t="inlineStr">
        <is>
          <t>A 29610-2020</t>
        </is>
      </c>
      <c r="B340" s="1" t="n">
        <v>44005</v>
      </c>
      <c r="C340" s="1" t="n">
        <v>45844</v>
      </c>
      <c r="D340" t="inlineStr">
        <is>
          <t>NORRBOTTENS LÄN</t>
        </is>
      </c>
      <c r="E340" t="inlineStr">
        <is>
          <t>BODEN</t>
        </is>
      </c>
      <c r="G340" t="n">
        <v>2.4</v>
      </c>
      <c r="H340" t="n">
        <v>0</v>
      </c>
      <c r="I340" t="n">
        <v>0</v>
      </c>
      <c r="J340" t="n">
        <v>0</v>
      </c>
      <c r="K340" t="n">
        <v>0</v>
      </c>
      <c r="L340" t="n">
        <v>0</v>
      </c>
      <c r="M340" t="n">
        <v>0</v>
      </c>
      <c r="N340" t="n">
        <v>0</v>
      </c>
      <c r="O340" t="n">
        <v>0</v>
      </c>
      <c r="P340" t="n">
        <v>0</v>
      </c>
      <c r="Q340" t="n">
        <v>0</v>
      </c>
      <c r="R340" s="2" t="inlineStr"/>
    </row>
    <row r="341" ht="15" customHeight="1">
      <c r="A341" t="inlineStr">
        <is>
          <t>A 29659-2020</t>
        </is>
      </c>
      <c r="B341" s="1" t="n">
        <v>44005</v>
      </c>
      <c r="C341" s="1" t="n">
        <v>45844</v>
      </c>
      <c r="D341" t="inlineStr">
        <is>
          <t>NORRBOTTENS LÄN</t>
        </is>
      </c>
      <c r="E341" t="inlineStr">
        <is>
          <t>BODEN</t>
        </is>
      </c>
      <c r="F341" t="inlineStr">
        <is>
          <t>Sveaskog</t>
        </is>
      </c>
      <c r="G341" t="n">
        <v>66.90000000000001</v>
      </c>
      <c r="H341" t="n">
        <v>0</v>
      </c>
      <c r="I341" t="n">
        <v>0</v>
      </c>
      <c r="J341" t="n">
        <v>0</v>
      </c>
      <c r="K341" t="n">
        <v>0</v>
      </c>
      <c r="L341" t="n">
        <v>0</v>
      </c>
      <c r="M341" t="n">
        <v>0</v>
      </c>
      <c r="N341" t="n">
        <v>0</v>
      </c>
      <c r="O341" t="n">
        <v>0</v>
      </c>
      <c r="P341" t="n">
        <v>0</v>
      </c>
      <c r="Q341" t="n">
        <v>0</v>
      </c>
      <c r="R341" s="2" t="inlineStr"/>
    </row>
    <row r="342" ht="15" customHeight="1">
      <c r="A342" t="inlineStr">
        <is>
          <t>A 29622-2020</t>
        </is>
      </c>
      <c r="B342" s="1" t="n">
        <v>44005</v>
      </c>
      <c r="C342" s="1" t="n">
        <v>45844</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30334-2020</t>
        </is>
      </c>
      <c r="B343" s="1" t="n">
        <v>44007</v>
      </c>
      <c r="C343" s="1" t="n">
        <v>45844</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30307-2020</t>
        </is>
      </c>
      <c r="B344" s="1" t="n">
        <v>44007</v>
      </c>
      <c r="C344" s="1" t="n">
        <v>45844</v>
      </c>
      <c r="D344" t="inlineStr">
        <is>
          <t>NORRBOTTENS LÄN</t>
        </is>
      </c>
      <c r="E344" t="inlineStr">
        <is>
          <t>BODEN</t>
        </is>
      </c>
      <c r="G344" t="n">
        <v>10.6</v>
      </c>
      <c r="H344" t="n">
        <v>0</v>
      </c>
      <c r="I344" t="n">
        <v>0</v>
      </c>
      <c r="J344" t="n">
        <v>0</v>
      </c>
      <c r="K344" t="n">
        <v>0</v>
      </c>
      <c r="L344" t="n">
        <v>0</v>
      </c>
      <c r="M344" t="n">
        <v>0</v>
      </c>
      <c r="N344" t="n">
        <v>0</v>
      </c>
      <c r="O344" t="n">
        <v>0</v>
      </c>
      <c r="P344" t="n">
        <v>0</v>
      </c>
      <c r="Q344" t="n">
        <v>0</v>
      </c>
      <c r="R344" s="2" t="inlineStr"/>
    </row>
    <row r="345" ht="15" customHeight="1">
      <c r="A345" t="inlineStr">
        <is>
          <t>A 30326-2020</t>
        </is>
      </c>
      <c r="B345" s="1" t="n">
        <v>44007</v>
      </c>
      <c r="C345" s="1" t="n">
        <v>45844</v>
      </c>
      <c r="D345" t="inlineStr">
        <is>
          <t>NORRBOTTENS LÄN</t>
        </is>
      </c>
      <c r="E345" t="inlineStr">
        <is>
          <t>BODEN</t>
        </is>
      </c>
      <c r="G345" t="n">
        <v>3.5</v>
      </c>
      <c r="H345" t="n">
        <v>0</v>
      </c>
      <c r="I345" t="n">
        <v>0</v>
      </c>
      <c r="J345" t="n">
        <v>0</v>
      </c>
      <c r="K345" t="n">
        <v>0</v>
      </c>
      <c r="L345" t="n">
        <v>0</v>
      </c>
      <c r="M345" t="n">
        <v>0</v>
      </c>
      <c r="N345" t="n">
        <v>0</v>
      </c>
      <c r="O345" t="n">
        <v>0</v>
      </c>
      <c r="P345" t="n">
        <v>0</v>
      </c>
      <c r="Q345" t="n">
        <v>0</v>
      </c>
      <c r="R345" s="2" t="inlineStr"/>
    </row>
    <row r="346" ht="15" customHeight="1">
      <c r="A346" t="inlineStr">
        <is>
          <t>A 30565-2020</t>
        </is>
      </c>
      <c r="B346" s="1" t="n">
        <v>44008</v>
      </c>
      <c r="C346" s="1" t="n">
        <v>45844</v>
      </c>
      <c r="D346" t="inlineStr">
        <is>
          <t>NORRBOTTENS LÄN</t>
        </is>
      </c>
      <c r="E346" t="inlineStr">
        <is>
          <t>BODEN</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31429-2020</t>
        </is>
      </c>
      <c r="B347" s="1" t="n">
        <v>44013</v>
      </c>
      <c r="C347" s="1" t="n">
        <v>45844</v>
      </c>
      <c r="D347" t="inlineStr">
        <is>
          <t>NORRBOTTENS LÄN</t>
        </is>
      </c>
      <c r="E347" t="inlineStr">
        <is>
          <t>BODEN</t>
        </is>
      </c>
      <c r="F347" t="inlineStr">
        <is>
          <t>Kommuner</t>
        </is>
      </c>
      <c r="G347" t="n">
        <v>1.3</v>
      </c>
      <c r="H347" t="n">
        <v>0</v>
      </c>
      <c r="I347" t="n">
        <v>0</v>
      </c>
      <c r="J347" t="n">
        <v>0</v>
      </c>
      <c r="K347" t="n">
        <v>0</v>
      </c>
      <c r="L347" t="n">
        <v>0</v>
      </c>
      <c r="M347" t="n">
        <v>0</v>
      </c>
      <c r="N347" t="n">
        <v>0</v>
      </c>
      <c r="O347" t="n">
        <v>0</v>
      </c>
      <c r="P347" t="n">
        <v>0</v>
      </c>
      <c r="Q347" t="n">
        <v>0</v>
      </c>
      <c r="R347" s="2" t="inlineStr"/>
    </row>
    <row r="348" ht="15" customHeight="1">
      <c r="A348" t="inlineStr">
        <is>
          <t>A 31978-2020</t>
        </is>
      </c>
      <c r="B348" s="1" t="n">
        <v>44015</v>
      </c>
      <c r="C348" s="1" t="n">
        <v>45844</v>
      </c>
      <c r="D348" t="inlineStr">
        <is>
          <t>NORRBOTTENS LÄN</t>
        </is>
      </c>
      <c r="E348" t="inlineStr">
        <is>
          <t>BODEN</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32151-2020</t>
        </is>
      </c>
      <c r="B349" s="1" t="n">
        <v>44015</v>
      </c>
      <c r="C349" s="1" t="n">
        <v>45844</v>
      </c>
      <c r="D349" t="inlineStr">
        <is>
          <t>NORRBOTTENS LÄN</t>
        </is>
      </c>
      <c r="E349" t="inlineStr">
        <is>
          <t>BODEN</t>
        </is>
      </c>
      <c r="G349" t="n">
        <v>0.5</v>
      </c>
      <c r="H349" t="n">
        <v>0</v>
      </c>
      <c r="I349" t="n">
        <v>0</v>
      </c>
      <c r="J349" t="n">
        <v>0</v>
      </c>
      <c r="K349" t="n">
        <v>0</v>
      </c>
      <c r="L349" t="n">
        <v>0</v>
      </c>
      <c r="M349" t="n">
        <v>0</v>
      </c>
      <c r="N349" t="n">
        <v>0</v>
      </c>
      <c r="O349" t="n">
        <v>0</v>
      </c>
      <c r="P349" t="n">
        <v>0</v>
      </c>
      <c r="Q349" t="n">
        <v>0</v>
      </c>
      <c r="R349" s="2" t="inlineStr"/>
    </row>
    <row r="350" ht="15" customHeight="1">
      <c r="A350" t="inlineStr">
        <is>
          <t>A 32424-2020</t>
        </is>
      </c>
      <c r="B350" s="1" t="n">
        <v>44015</v>
      </c>
      <c r="C350" s="1" t="n">
        <v>45844</v>
      </c>
      <c r="D350" t="inlineStr">
        <is>
          <t>NORRBOTTENS LÄN</t>
        </is>
      </c>
      <c r="E350" t="inlineStr">
        <is>
          <t>BODEN</t>
        </is>
      </c>
      <c r="G350" t="n">
        <v>9.1</v>
      </c>
      <c r="H350" t="n">
        <v>0</v>
      </c>
      <c r="I350" t="n">
        <v>0</v>
      </c>
      <c r="J350" t="n">
        <v>0</v>
      </c>
      <c r="K350" t="n">
        <v>0</v>
      </c>
      <c r="L350" t="n">
        <v>0</v>
      </c>
      <c r="M350" t="n">
        <v>0</v>
      </c>
      <c r="N350" t="n">
        <v>0</v>
      </c>
      <c r="O350" t="n">
        <v>0</v>
      </c>
      <c r="P350" t="n">
        <v>0</v>
      </c>
      <c r="Q350" t="n">
        <v>0</v>
      </c>
      <c r="R350" s="2" t="inlineStr"/>
    </row>
    <row r="351" ht="15" customHeight="1">
      <c r="A351" t="inlineStr">
        <is>
          <t>A 32985-2020</t>
        </is>
      </c>
      <c r="B351" s="1" t="n">
        <v>44020</v>
      </c>
      <c r="C351" s="1" t="n">
        <v>45844</v>
      </c>
      <c r="D351" t="inlineStr">
        <is>
          <t>NORRBOTTENS LÄN</t>
        </is>
      </c>
      <c r="E351" t="inlineStr">
        <is>
          <t>BODEN</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33034-2020</t>
        </is>
      </c>
      <c r="B352" s="1" t="n">
        <v>44021</v>
      </c>
      <c r="C352" s="1" t="n">
        <v>45844</v>
      </c>
      <c r="D352" t="inlineStr">
        <is>
          <t>NORRBOTTENS LÄN</t>
        </is>
      </c>
      <c r="E352" t="inlineStr">
        <is>
          <t>BODEN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33319-2020</t>
        </is>
      </c>
      <c r="B353" s="1" t="n">
        <v>44022</v>
      </c>
      <c r="C353" s="1" t="n">
        <v>45844</v>
      </c>
      <c r="D353" t="inlineStr">
        <is>
          <t>NORRBOTTENS LÄN</t>
        </is>
      </c>
      <c r="E353" t="inlineStr">
        <is>
          <t>BODEN</t>
        </is>
      </c>
      <c r="F353" t="inlineStr">
        <is>
          <t>Sveaskog</t>
        </is>
      </c>
      <c r="G353" t="n">
        <v>13.5</v>
      </c>
      <c r="H353" t="n">
        <v>0</v>
      </c>
      <c r="I353" t="n">
        <v>0</v>
      </c>
      <c r="J353" t="n">
        <v>0</v>
      </c>
      <c r="K353" t="n">
        <v>0</v>
      </c>
      <c r="L353" t="n">
        <v>0</v>
      </c>
      <c r="M353" t="n">
        <v>0</v>
      </c>
      <c r="N353" t="n">
        <v>0</v>
      </c>
      <c r="O353" t="n">
        <v>0</v>
      </c>
      <c r="P353" t="n">
        <v>0</v>
      </c>
      <c r="Q353" t="n">
        <v>0</v>
      </c>
      <c r="R353" s="2" t="inlineStr"/>
    </row>
    <row r="354" ht="15" customHeight="1">
      <c r="A354" t="inlineStr">
        <is>
          <t>A 34264-2020</t>
        </is>
      </c>
      <c r="B354" s="1" t="n">
        <v>44029</v>
      </c>
      <c r="C354" s="1" t="n">
        <v>45844</v>
      </c>
      <c r="D354" t="inlineStr">
        <is>
          <t>NORRBOTTENS LÄN</t>
        </is>
      </c>
      <c r="E354" t="inlineStr">
        <is>
          <t>BODEN</t>
        </is>
      </c>
      <c r="F354" t="inlineStr">
        <is>
          <t>SCA</t>
        </is>
      </c>
      <c r="G354" t="n">
        <v>9</v>
      </c>
      <c r="H354" t="n">
        <v>0</v>
      </c>
      <c r="I354" t="n">
        <v>0</v>
      </c>
      <c r="J354" t="n">
        <v>0</v>
      </c>
      <c r="K354" t="n">
        <v>0</v>
      </c>
      <c r="L354" t="n">
        <v>0</v>
      </c>
      <c r="M354" t="n">
        <v>0</v>
      </c>
      <c r="N354" t="n">
        <v>0</v>
      </c>
      <c r="O354" t="n">
        <v>0</v>
      </c>
      <c r="P354" t="n">
        <v>0</v>
      </c>
      <c r="Q354" t="n">
        <v>0</v>
      </c>
      <c r="R354" s="2" t="inlineStr"/>
    </row>
    <row r="355" ht="15" customHeight="1">
      <c r="A355" t="inlineStr">
        <is>
          <t>A 34267-2020</t>
        </is>
      </c>
      <c r="B355" s="1" t="n">
        <v>44029</v>
      </c>
      <c r="C355" s="1" t="n">
        <v>45844</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34266-2020</t>
        </is>
      </c>
      <c r="B356" s="1" t="n">
        <v>44029</v>
      </c>
      <c r="C356" s="1" t="n">
        <v>45844</v>
      </c>
      <c r="D356" t="inlineStr">
        <is>
          <t>NORRBOTTENS LÄN</t>
        </is>
      </c>
      <c r="E356" t="inlineStr">
        <is>
          <t>BODEN</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34790-2020</t>
        </is>
      </c>
      <c r="B357" s="1" t="n">
        <v>44035</v>
      </c>
      <c r="C357" s="1" t="n">
        <v>45844</v>
      </c>
      <c r="D357" t="inlineStr">
        <is>
          <t>NORRBOTTENS LÄN</t>
        </is>
      </c>
      <c r="E357" t="inlineStr">
        <is>
          <t>BODEN</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34786-2020</t>
        </is>
      </c>
      <c r="B358" s="1" t="n">
        <v>44035</v>
      </c>
      <c r="C358" s="1" t="n">
        <v>45844</v>
      </c>
      <c r="D358" t="inlineStr">
        <is>
          <t>NORRBOTTENS LÄN</t>
        </is>
      </c>
      <c r="E358" t="inlineStr">
        <is>
          <t>BODEN</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34791-2020</t>
        </is>
      </c>
      <c r="B359" s="1" t="n">
        <v>44035</v>
      </c>
      <c r="C359" s="1" t="n">
        <v>45844</v>
      </c>
      <c r="D359" t="inlineStr">
        <is>
          <t>NORRBOTTENS LÄN</t>
        </is>
      </c>
      <c r="E359" t="inlineStr">
        <is>
          <t>BODEN</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34788-2020</t>
        </is>
      </c>
      <c r="B360" s="1" t="n">
        <v>44035</v>
      </c>
      <c r="C360" s="1" t="n">
        <v>45844</v>
      </c>
      <c r="D360" t="inlineStr">
        <is>
          <t>NORRBOTTENS LÄN</t>
        </is>
      </c>
      <c r="E360" t="inlineStr">
        <is>
          <t>BODEN</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34792-2020</t>
        </is>
      </c>
      <c r="B361" s="1" t="n">
        <v>44035</v>
      </c>
      <c r="C361" s="1" t="n">
        <v>45844</v>
      </c>
      <c r="D361" t="inlineStr">
        <is>
          <t>NORRBOTTENS LÄN</t>
        </is>
      </c>
      <c r="E361" t="inlineStr">
        <is>
          <t>BODEN</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34795-2020</t>
        </is>
      </c>
      <c r="B362" s="1" t="n">
        <v>44035</v>
      </c>
      <c r="C362" s="1" t="n">
        <v>45844</v>
      </c>
      <c r="D362" t="inlineStr">
        <is>
          <t>NORRBOTTENS LÄN</t>
        </is>
      </c>
      <c r="E362" t="inlineStr">
        <is>
          <t>BODEN</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34789-2020</t>
        </is>
      </c>
      <c r="B363" s="1" t="n">
        <v>44035</v>
      </c>
      <c r="C363" s="1" t="n">
        <v>45844</v>
      </c>
      <c r="D363" t="inlineStr">
        <is>
          <t>NORRBOTTENS LÄN</t>
        </is>
      </c>
      <c r="E363" t="inlineStr">
        <is>
          <t>BODEN</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34793-2020</t>
        </is>
      </c>
      <c r="B364" s="1" t="n">
        <v>44035</v>
      </c>
      <c r="C364" s="1" t="n">
        <v>45844</v>
      </c>
      <c r="D364" t="inlineStr">
        <is>
          <t>NORRBOTTENS LÄN</t>
        </is>
      </c>
      <c r="E364" t="inlineStr">
        <is>
          <t>BODEN</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35701-2020</t>
        </is>
      </c>
      <c r="B365" s="1" t="n">
        <v>44046</v>
      </c>
      <c r="C365" s="1" t="n">
        <v>45844</v>
      </c>
      <c r="D365" t="inlineStr">
        <is>
          <t>NORRBOTTENS LÄN</t>
        </is>
      </c>
      <c r="E365" t="inlineStr">
        <is>
          <t>BODEN</t>
        </is>
      </c>
      <c r="G365" t="n">
        <v>0.5</v>
      </c>
      <c r="H365" t="n">
        <v>0</v>
      </c>
      <c r="I365" t="n">
        <v>0</v>
      </c>
      <c r="J365" t="n">
        <v>0</v>
      </c>
      <c r="K365" t="n">
        <v>0</v>
      </c>
      <c r="L365" t="n">
        <v>0</v>
      </c>
      <c r="M365" t="n">
        <v>0</v>
      </c>
      <c r="N365" t="n">
        <v>0</v>
      </c>
      <c r="O365" t="n">
        <v>0</v>
      </c>
      <c r="P365" t="n">
        <v>0</v>
      </c>
      <c r="Q365" t="n">
        <v>0</v>
      </c>
      <c r="R365" s="2" t="inlineStr"/>
    </row>
    <row r="366" ht="15" customHeight="1">
      <c r="A366" t="inlineStr">
        <is>
          <t>A 35903-2020</t>
        </is>
      </c>
      <c r="B366" s="1" t="n">
        <v>44047</v>
      </c>
      <c r="C366" s="1" t="n">
        <v>45844</v>
      </c>
      <c r="D366" t="inlineStr">
        <is>
          <t>NORRBOTTENS LÄN</t>
        </is>
      </c>
      <c r="E366" t="inlineStr">
        <is>
          <t>BODEN</t>
        </is>
      </c>
      <c r="F366" t="inlineStr">
        <is>
          <t>Sveaskog</t>
        </is>
      </c>
      <c r="G366" t="n">
        <v>3.5</v>
      </c>
      <c r="H366" t="n">
        <v>0</v>
      </c>
      <c r="I366" t="n">
        <v>0</v>
      </c>
      <c r="J366" t="n">
        <v>0</v>
      </c>
      <c r="K366" t="n">
        <v>0</v>
      </c>
      <c r="L366" t="n">
        <v>0</v>
      </c>
      <c r="M366" t="n">
        <v>0</v>
      </c>
      <c r="N366" t="n">
        <v>0</v>
      </c>
      <c r="O366" t="n">
        <v>0</v>
      </c>
      <c r="P366" t="n">
        <v>0</v>
      </c>
      <c r="Q366" t="n">
        <v>0</v>
      </c>
      <c r="R366" s="2" t="inlineStr"/>
    </row>
    <row r="367" ht="15" customHeight="1">
      <c r="A367" t="inlineStr">
        <is>
          <t>A 36651-2020</t>
        </is>
      </c>
      <c r="B367" s="1" t="n">
        <v>44050</v>
      </c>
      <c r="C367" s="1" t="n">
        <v>45844</v>
      </c>
      <c r="D367" t="inlineStr">
        <is>
          <t>NORRBOTTENS LÄN</t>
        </is>
      </c>
      <c r="E367" t="inlineStr">
        <is>
          <t>BODEN</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36515-2020</t>
        </is>
      </c>
      <c r="B368" s="1" t="n">
        <v>44050</v>
      </c>
      <c r="C368" s="1" t="n">
        <v>45844</v>
      </c>
      <c r="D368" t="inlineStr">
        <is>
          <t>NORRBOTTENS LÄN</t>
        </is>
      </c>
      <c r="E368" t="inlineStr">
        <is>
          <t>BODEN</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36653-2020</t>
        </is>
      </c>
      <c r="B369" s="1" t="n">
        <v>44051</v>
      </c>
      <c r="C369" s="1" t="n">
        <v>45844</v>
      </c>
      <c r="D369" t="inlineStr">
        <is>
          <t>NORRBOTTENS LÄN</t>
        </is>
      </c>
      <c r="E369" t="inlineStr">
        <is>
          <t>BODEN</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36960-2020</t>
        </is>
      </c>
      <c r="B370" s="1" t="n">
        <v>44053</v>
      </c>
      <c r="C370" s="1" t="n">
        <v>45844</v>
      </c>
      <c r="D370" t="inlineStr">
        <is>
          <t>NORRBOTTENS LÄN</t>
        </is>
      </c>
      <c r="E370" t="inlineStr">
        <is>
          <t>BODEN</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36984-2020</t>
        </is>
      </c>
      <c r="B371" s="1" t="n">
        <v>44054</v>
      </c>
      <c r="C371" s="1" t="n">
        <v>45844</v>
      </c>
      <c r="D371" t="inlineStr">
        <is>
          <t>NORRBOTTENS LÄN</t>
        </is>
      </c>
      <c r="E371" t="inlineStr">
        <is>
          <t>BODEN</t>
        </is>
      </c>
      <c r="F371" t="inlineStr">
        <is>
          <t>Övriga Aktiebolag</t>
        </is>
      </c>
      <c r="G371" t="n">
        <v>44.4</v>
      </c>
      <c r="H371" t="n">
        <v>0</v>
      </c>
      <c r="I371" t="n">
        <v>0</v>
      </c>
      <c r="J371" t="n">
        <v>0</v>
      </c>
      <c r="K371" t="n">
        <v>0</v>
      </c>
      <c r="L371" t="n">
        <v>0</v>
      </c>
      <c r="M371" t="n">
        <v>0</v>
      </c>
      <c r="N371" t="n">
        <v>0</v>
      </c>
      <c r="O371" t="n">
        <v>0</v>
      </c>
      <c r="P371" t="n">
        <v>0</v>
      </c>
      <c r="Q371" t="n">
        <v>0</v>
      </c>
      <c r="R371" s="2" t="inlineStr"/>
    </row>
    <row r="372" ht="15" customHeight="1">
      <c r="A372" t="inlineStr">
        <is>
          <t>A 37886-2020</t>
        </is>
      </c>
      <c r="B372" s="1" t="n">
        <v>44057</v>
      </c>
      <c r="C372" s="1" t="n">
        <v>45844</v>
      </c>
      <c r="D372" t="inlineStr">
        <is>
          <t>NORRBOTTENS LÄN</t>
        </is>
      </c>
      <c r="E372" t="inlineStr">
        <is>
          <t>BODEN</t>
        </is>
      </c>
      <c r="G372" t="n">
        <v>3</v>
      </c>
      <c r="H372" t="n">
        <v>0</v>
      </c>
      <c r="I372" t="n">
        <v>0</v>
      </c>
      <c r="J372" t="n">
        <v>0</v>
      </c>
      <c r="K372" t="n">
        <v>0</v>
      </c>
      <c r="L372" t="n">
        <v>0</v>
      </c>
      <c r="M372" t="n">
        <v>0</v>
      </c>
      <c r="N372" t="n">
        <v>0</v>
      </c>
      <c r="O372" t="n">
        <v>0</v>
      </c>
      <c r="P372" t="n">
        <v>0</v>
      </c>
      <c r="Q372" t="n">
        <v>0</v>
      </c>
      <c r="R372" s="2" t="inlineStr"/>
    </row>
    <row r="373" ht="15" customHeight="1">
      <c r="A373" t="inlineStr">
        <is>
          <t>A 38991-2020</t>
        </is>
      </c>
      <c r="B373" s="1" t="n">
        <v>44062</v>
      </c>
      <c r="C373" s="1" t="n">
        <v>45844</v>
      </c>
      <c r="D373" t="inlineStr">
        <is>
          <t>NORRBOTTENS LÄN</t>
        </is>
      </c>
      <c r="E373" t="inlineStr">
        <is>
          <t>BODEN</t>
        </is>
      </c>
      <c r="G373" t="n">
        <v>9.5</v>
      </c>
      <c r="H373" t="n">
        <v>0</v>
      </c>
      <c r="I373" t="n">
        <v>0</v>
      </c>
      <c r="J373" t="n">
        <v>0</v>
      </c>
      <c r="K373" t="n">
        <v>0</v>
      </c>
      <c r="L373" t="n">
        <v>0</v>
      </c>
      <c r="M373" t="n">
        <v>0</v>
      </c>
      <c r="N373" t="n">
        <v>0</v>
      </c>
      <c r="O373" t="n">
        <v>0</v>
      </c>
      <c r="P373" t="n">
        <v>0</v>
      </c>
      <c r="Q373" t="n">
        <v>0</v>
      </c>
      <c r="R373" s="2" t="inlineStr"/>
    </row>
    <row r="374" ht="15" customHeight="1">
      <c r="A374" t="inlineStr">
        <is>
          <t>A 39843-2020</t>
        </is>
      </c>
      <c r="B374" s="1" t="n">
        <v>44064</v>
      </c>
      <c r="C374" s="1" t="n">
        <v>45844</v>
      </c>
      <c r="D374" t="inlineStr">
        <is>
          <t>NORRBOTTENS LÄN</t>
        </is>
      </c>
      <c r="E374" t="inlineStr">
        <is>
          <t>BODEN</t>
        </is>
      </c>
      <c r="G374" t="n">
        <v>1.3</v>
      </c>
      <c r="H374" t="n">
        <v>0</v>
      </c>
      <c r="I374" t="n">
        <v>0</v>
      </c>
      <c r="J374" t="n">
        <v>0</v>
      </c>
      <c r="K374" t="n">
        <v>0</v>
      </c>
      <c r="L374" t="n">
        <v>0</v>
      </c>
      <c r="M374" t="n">
        <v>0</v>
      </c>
      <c r="N374" t="n">
        <v>0</v>
      </c>
      <c r="O374" t="n">
        <v>0</v>
      </c>
      <c r="P374" t="n">
        <v>0</v>
      </c>
      <c r="Q374" t="n">
        <v>0</v>
      </c>
      <c r="R374" s="2" t="inlineStr"/>
    </row>
    <row r="375" ht="15" customHeight="1">
      <c r="A375" t="inlineStr">
        <is>
          <t>A 40282-2020</t>
        </is>
      </c>
      <c r="B375" s="1" t="n">
        <v>44067</v>
      </c>
      <c r="C375" s="1" t="n">
        <v>45844</v>
      </c>
      <c r="D375" t="inlineStr">
        <is>
          <t>NORRBOTTENS LÄN</t>
        </is>
      </c>
      <c r="E375" t="inlineStr">
        <is>
          <t>BODEN</t>
        </is>
      </c>
      <c r="G375" t="n">
        <v>2.4</v>
      </c>
      <c r="H375" t="n">
        <v>0</v>
      </c>
      <c r="I375" t="n">
        <v>0</v>
      </c>
      <c r="J375" t="n">
        <v>0</v>
      </c>
      <c r="K375" t="n">
        <v>0</v>
      </c>
      <c r="L375" t="n">
        <v>0</v>
      </c>
      <c r="M375" t="n">
        <v>0</v>
      </c>
      <c r="N375" t="n">
        <v>0</v>
      </c>
      <c r="O375" t="n">
        <v>0</v>
      </c>
      <c r="P375" t="n">
        <v>0</v>
      </c>
      <c r="Q375" t="n">
        <v>0</v>
      </c>
      <c r="R375" s="2" t="inlineStr"/>
    </row>
    <row r="376" ht="15" customHeight="1">
      <c r="A376" t="inlineStr">
        <is>
          <t>A 41021-2020</t>
        </is>
      </c>
      <c r="B376" s="1" t="n">
        <v>44070</v>
      </c>
      <c r="C376" s="1" t="n">
        <v>45844</v>
      </c>
      <c r="D376" t="inlineStr">
        <is>
          <t>NORRBOTTENS LÄN</t>
        </is>
      </c>
      <c r="E376" t="inlineStr">
        <is>
          <t>BODEN</t>
        </is>
      </c>
      <c r="F376" t="inlineStr">
        <is>
          <t>Sveaskog</t>
        </is>
      </c>
      <c r="G376" t="n">
        <v>6.7</v>
      </c>
      <c r="H376" t="n">
        <v>0</v>
      </c>
      <c r="I376" t="n">
        <v>0</v>
      </c>
      <c r="J376" t="n">
        <v>0</v>
      </c>
      <c r="K376" t="n">
        <v>0</v>
      </c>
      <c r="L376" t="n">
        <v>0</v>
      </c>
      <c r="M376" t="n">
        <v>0</v>
      </c>
      <c r="N376" t="n">
        <v>0</v>
      </c>
      <c r="O376" t="n">
        <v>0</v>
      </c>
      <c r="P376" t="n">
        <v>0</v>
      </c>
      <c r="Q376" t="n">
        <v>0</v>
      </c>
      <c r="R376" s="2" t="inlineStr"/>
    </row>
    <row r="377" ht="15" customHeight="1">
      <c r="A377" t="inlineStr">
        <is>
          <t>A 41985-2020</t>
        </is>
      </c>
      <c r="B377" s="1" t="n">
        <v>44075</v>
      </c>
      <c r="C377" s="1" t="n">
        <v>45844</v>
      </c>
      <c r="D377" t="inlineStr">
        <is>
          <t>NORRBOTTENS LÄN</t>
        </is>
      </c>
      <c r="E377" t="inlineStr">
        <is>
          <t>BODEN</t>
        </is>
      </c>
      <c r="G377" t="n">
        <v>1.1</v>
      </c>
      <c r="H377" t="n">
        <v>0</v>
      </c>
      <c r="I377" t="n">
        <v>0</v>
      </c>
      <c r="J377" t="n">
        <v>0</v>
      </c>
      <c r="K377" t="n">
        <v>0</v>
      </c>
      <c r="L377" t="n">
        <v>0</v>
      </c>
      <c r="M377" t="n">
        <v>0</v>
      </c>
      <c r="N377" t="n">
        <v>0</v>
      </c>
      <c r="O377" t="n">
        <v>0</v>
      </c>
      <c r="P377" t="n">
        <v>0</v>
      </c>
      <c r="Q377" t="n">
        <v>0</v>
      </c>
      <c r="R377" s="2" t="inlineStr"/>
    </row>
    <row r="378" ht="15" customHeight="1">
      <c r="A378" t="inlineStr">
        <is>
          <t>A 42624-2020</t>
        </is>
      </c>
      <c r="B378" s="1" t="n">
        <v>44077</v>
      </c>
      <c r="C378" s="1" t="n">
        <v>45844</v>
      </c>
      <c r="D378" t="inlineStr">
        <is>
          <t>NORRBOTTENS LÄN</t>
        </is>
      </c>
      <c r="E378" t="inlineStr">
        <is>
          <t>BODEN</t>
        </is>
      </c>
      <c r="F378" t="inlineStr">
        <is>
          <t>Sveaskog</t>
        </is>
      </c>
      <c r="G378" t="n">
        <v>1.9</v>
      </c>
      <c r="H378" t="n">
        <v>0</v>
      </c>
      <c r="I378" t="n">
        <v>0</v>
      </c>
      <c r="J378" t="n">
        <v>0</v>
      </c>
      <c r="K378" t="n">
        <v>0</v>
      </c>
      <c r="L378" t="n">
        <v>0</v>
      </c>
      <c r="M378" t="n">
        <v>0</v>
      </c>
      <c r="N378" t="n">
        <v>0</v>
      </c>
      <c r="O378" t="n">
        <v>0</v>
      </c>
      <c r="P378" t="n">
        <v>0</v>
      </c>
      <c r="Q378" t="n">
        <v>0</v>
      </c>
      <c r="R378" s="2" t="inlineStr"/>
    </row>
    <row r="379" ht="15" customHeight="1">
      <c r="A379" t="inlineStr">
        <is>
          <t>A 42618-2020</t>
        </is>
      </c>
      <c r="B379" s="1" t="n">
        <v>44077</v>
      </c>
      <c r="C379" s="1" t="n">
        <v>45844</v>
      </c>
      <c r="D379" t="inlineStr">
        <is>
          <t>NORRBOTTENS LÄN</t>
        </is>
      </c>
      <c r="E379" t="inlineStr">
        <is>
          <t>BODEN</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45676-2020</t>
        </is>
      </c>
      <c r="B380" s="1" t="n">
        <v>44090</v>
      </c>
      <c r="C380" s="1" t="n">
        <v>45844</v>
      </c>
      <c r="D380" t="inlineStr">
        <is>
          <t>NORRBOTTENS LÄN</t>
        </is>
      </c>
      <c r="E380" t="inlineStr">
        <is>
          <t>BODEN</t>
        </is>
      </c>
      <c r="G380" t="n">
        <v>0.2</v>
      </c>
      <c r="H380" t="n">
        <v>0</v>
      </c>
      <c r="I380" t="n">
        <v>0</v>
      </c>
      <c r="J380" t="n">
        <v>0</v>
      </c>
      <c r="K380" t="n">
        <v>0</v>
      </c>
      <c r="L380" t="n">
        <v>0</v>
      </c>
      <c r="M380" t="n">
        <v>0</v>
      </c>
      <c r="N380" t="n">
        <v>0</v>
      </c>
      <c r="O380" t="n">
        <v>0</v>
      </c>
      <c r="P380" t="n">
        <v>0</v>
      </c>
      <c r="Q380" t="n">
        <v>0</v>
      </c>
      <c r="R380" s="2" t="inlineStr"/>
    </row>
    <row r="381" ht="15" customHeight="1">
      <c r="A381" t="inlineStr">
        <is>
          <t>A 46292-2020</t>
        </is>
      </c>
      <c r="B381" s="1" t="n">
        <v>44092</v>
      </c>
      <c r="C381" s="1" t="n">
        <v>45844</v>
      </c>
      <c r="D381" t="inlineStr">
        <is>
          <t>NORRBOTTENS LÄN</t>
        </is>
      </c>
      <c r="E381" t="inlineStr">
        <is>
          <t>BODEN</t>
        </is>
      </c>
      <c r="F381" t="inlineStr">
        <is>
          <t>Sveaskog</t>
        </is>
      </c>
      <c r="G381" t="n">
        <v>7.6</v>
      </c>
      <c r="H381" t="n">
        <v>0</v>
      </c>
      <c r="I381" t="n">
        <v>0</v>
      </c>
      <c r="J381" t="n">
        <v>0</v>
      </c>
      <c r="K381" t="n">
        <v>0</v>
      </c>
      <c r="L381" t="n">
        <v>0</v>
      </c>
      <c r="M381" t="n">
        <v>0</v>
      </c>
      <c r="N381" t="n">
        <v>0</v>
      </c>
      <c r="O381" t="n">
        <v>0</v>
      </c>
      <c r="P381" t="n">
        <v>0</v>
      </c>
      <c r="Q381" t="n">
        <v>0</v>
      </c>
      <c r="R381" s="2" t="inlineStr"/>
    </row>
    <row r="382" ht="15" customHeight="1">
      <c r="A382" t="inlineStr">
        <is>
          <t>A 48777-2020</t>
        </is>
      </c>
      <c r="B382" s="1" t="n">
        <v>44099</v>
      </c>
      <c r="C382" s="1" t="n">
        <v>45844</v>
      </c>
      <c r="D382" t="inlineStr">
        <is>
          <t>NORRBOTTENS LÄN</t>
        </is>
      </c>
      <c r="E382" t="inlineStr">
        <is>
          <t>BODEN</t>
        </is>
      </c>
      <c r="G382" t="n">
        <v>2.3</v>
      </c>
      <c r="H382" t="n">
        <v>0</v>
      </c>
      <c r="I382" t="n">
        <v>0</v>
      </c>
      <c r="J382" t="n">
        <v>0</v>
      </c>
      <c r="K382" t="n">
        <v>0</v>
      </c>
      <c r="L382" t="n">
        <v>0</v>
      </c>
      <c r="M382" t="n">
        <v>0</v>
      </c>
      <c r="N382" t="n">
        <v>0</v>
      </c>
      <c r="O382" t="n">
        <v>0</v>
      </c>
      <c r="P382" t="n">
        <v>0</v>
      </c>
      <c r="Q382" t="n">
        <v>0</v>
      </c>
      <c r="R382" s="2" t="inlineStr"/>
    </row>
    <row r="383" ht="15" customHeight="1">
      <c r="A383" t="inlineStr">
        <is>
          <t>A 50526-2020</t>
        </is>
      </c>
      <c r="B383" s="1" t="n">
        <v>44110</v>
      </c>
      <c r="C383" s="1" t="n">
        <v>45844</v>
      </c>
      <c r="D383" t="inlineStr">
        <is>
          <t>NORRBOTTENS LÄN</t>
        </is>
      </c>
      <c r="E383" t="inlineStr">
        <is>
          <t>BODEN</t>
        </is>
      </c>
      <c r="G383" t="n">
        <v>5</v>
      </c>
      <c r="H383" t="n">
        <v>0</v>
      </c>
      <c r="I383" t="n">
        <v>0</v>
      </c>
      <c r="J383" t="n">
        <v>0</v>
      </c>
      <c r="K383" t="n">
        <v>0</v>
      </c>
      <c r="L383" t="n">
        <v>0</v>
      </c>
      <c r="M383" t="n">
        <v>0</v>
      </c>
      <c r="N383" t="n">
        <v>0</v>
      </c>
      <c r="O383" t="n">
        <v>0</v>
      </c>
      <c r="P383" t="n">
        <v>0</v>
      </c>
      <c r="Q383" t="n">
        <v>0</v>
      </c>
      <c r="R383" s="2" t="inlineStr"/>
    </row>
    <row r="384" ht="15" customHeight="1">
      <c r="A384" t="inlineStr">
        <is>
          <t>A 50545-2020</t>
        </is>
      </c>
      <c r="B384" s="1" t="n">
        <v>44110</v>
      </c>
      <c r="C384" s="1" t="n">
        <v>45844</v>
      </c>
      <c r="D384" t="inlineStr">
        <is>
          <t>NORRBOTTENS LÄN</t>
        </is>
      </c>
      <c r="E384" t="inlineStr">
        <is>
          <t>BODEN</t>
        </is>
      </c>
      <c r="G384" t="n">
        <v>4.2</v>
      </c>
      <c r="H384" t="n">
        <v>0</v>
      </c>
      <c r="I384" t="n">
        <v>0</v>
      </c>
      <c r="J384" t="n">
        <v>0</v>
      </c>
      <c r="K384" t="n">
        <v>0</v>
      </c>
      <c r="L384" t="n">
        <v>0</v>
      </c>
      <c r="M384" t="n">
        <v>0</v>
      </c>
      <c r="N384" t="n">
        <v>0</v>
      </c>
      <c r="O384" t="n">
        <v>0</v>
      </c>
      <c r="P384" t="n">
        <v>0</v>
      </c>
      <c r="Q384" t="n">
        <v>0</v>
      </c>
      <c r="R384" s="2" t="inlineStr"/>
    </row>
    <row r="385" ht="15" customHeight="1">
      <c r="A385" t="inlineStr">
        <is>
          <t>A 50621-2020</t>
        </is>
      </c>
      <c r="B385" s="1" t="n">
        <v>44110</v>
      </c>
      <c r="C385" s="1" t="n">
        <v>45844</v>
      </c>
      <c r="D385" t="inlineStr">
        <is>
          <t>NORRBOTTENS LÄN</t>
        </is>
      </c>
      <c r="E385" t="inlineStr">
        <is>
          <t>BODEN</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50618-2020</t>
        </is>
      </c>
      <c r="B386" s="1" t="n">
        <v>44110</v>
      </c>
      <c r="C386" s="1" t="n">
        <v>45844</v>
      </c>
      <c r="D386" t="inlineStr">
        <is>
          <t>NORRBOTTENS LÄN</t>
        </is>
      </c>
      <c r="E386" t="inlineStr">
        <is>
          <t>BODEN</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50623-2020</t>
        </is>
      </c>
      <c r="B387" s="1" t="n">
        <v>44110</v>
      </c>
      <c r="C387" s="1" t="n">
        <v>45844</v>
      </c>
      <c r="D387" t="inlineStr">
        <is>
          <t>NORRBOTTENS LÄN</t>
        </is>
      </c>
      <c r="E387" t="inlineStr">
        <is>
          <t>BODEN</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50617-2020</t>
        </is>
      </c>
      <c r="B388" s="1" t="n">
        <v>44110</v>
      </c>
      <c r="C388" s="1" t="n">
        <v>45844</v>
      </c>
      <c r="D388" t="inlineStr">
        <is>
          <t>NORRBOTTENS LÄN</t>
        </is>
      </c>
      <c r="E388" t="inlineStr">
        <is>
          <t>BODEN</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50736-2020</t>
        </is>
      </c>
      <c r="B389" s="1" t="n">
        <v>44111</v>
      </c>
      <c r="C389" s="1" t="n">
        <v>45844</v>
      </c>
      <c r="D389" t="inlineStr">
        <is>
          <t>NORRBOTTENS LÄN</t>
        </is>
      </c>
      <c r="E389" t="inlineStr">
        <is>
          <t>BODEN</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52591-2020</t>
        </is>
      </c>
      <c r="B390" s="1" t="n">
        <v>44116</v>
      </c>
      <c r="C390" s="1" t="n">
        <v>45844</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52903-2020</t>
        </is>
      </c>
      <c r="B391" s="1" t="n">
        <v>44119</v>
      </c>
      <c r="C391" s="1" t="n">
        <v>45844</v>
      </c>
      <c r="D391" t="inlineStr">
        <is>
          <t>NORRBOTTENS LÄN</t>
        </is>
      </c>
      <c r="E391" t="inlineStr">
        <is>
          <t>BODEN</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53102-2020</t>
        </is>
      </c>
      <c r="B392" s="1" t="n">
        <v>44120</v>
      </c>
      <c r="C392" s="1" t="n">
        <v>45844</v>
      </c>
      <c r="D392" t="inlineStr">
        <is>
          <t>NORRBOTTENS LÄN</t>
        </is>
      </c>
      <c r="E392" t="inlineStr">
        <is>
          <t>BODEN</t>
        </is>
      </c>
      <c r="G392" t="n">
        <v>0.8</v>
      </c>
      <c r="H392" t="n">
        <v>0</v>
      </c>
      <c r="I392" t="n">
        <v>0</v>
      </c>
      <c r="J392" t="n">
        <v>0</v>
      </c>
      <c r="K392" t="n">
        <v>0</v>
      </c>
      <c r="L392" t="n">
        <v>0</v>
      </c>
      <c r="M392" t="n">
        <v>0</v>
      </c>
      <c r="N392" t="n">
        <v>0</v>
      </c>
      <c r="O392" t="n">
        <v>0</v>
      </c>
      <c r="P392" t="n">
        <v>0</v>
      </c>
      <c r="Q392" t="n">
        <v>0</v>
      </c>
      <c r="R392" s="2" t="inlineStr"/>
    </row>
    <row r="393" ht="15" customHeight="1">
      <c r="A393" t="inlineStr">
        <is>
          <t>A 53065-2020</t>
        </is>
      </c>
      <c r="B393" s="1" t="n">
        <v>44120</v>
      </c>
      <c r="C393" s="1" t="n">
        <v>45844</v>
      </c>
      <c r="D393" t="inlineStr">
        <is>
          <t>NORRBOTTENS LÄN</t>
        </is>
      </c>
      <c r="E393" t="inlineStr">
        <is>
          <t>BODEN</t>
        </is>
      </c>
      <c r="G393" t="n">
        <v>3</v>
      </c>
      <c r="H393" t="n">
        <v>0</v>
      </c>
      <c r="I393" t="n">
        <v>0</v>
      </c>
      <c r="J393" t="n">
        <v>0</v>
      </c>
      <c r="K393" t="n">
        <v>0</v>
      </c>
      <c r="L393" t="n">
        <v>0</v>
      </c>
      <c r="M393" t="n">
        <v>0</v>
      </c>
      <c r="N393" t="n">
        <v>0</v>
      </c>
      <c r="O393" t="n">
        <v>0</v>
      </c>
      <c r="P393" t="n">
        <v>0</v>
      </c>
      <c r="Q393" t="n">
        <v>0</v>
      </c>
      <c r="R393" s="2" t="inlineStr"/>
    </row>
    <row r="394" ht="15" customHeight="1">
      <c r="A394" t="inlineStr">
        <is>
          <t>A 53069-2020</t>
        </is>
      </c>
      <c r="B394" s="1" t="n">
        <v>44120</v>
      </c>
      <c r="C394" s="1" t="n">
        <v>45844</v>
      </c>
      <c r="D394" t="inlineStr">
        <is>
          <t>NORRBOTTENS LÄN</t>
        </is>
      </c>
      <c r="E394" t="inlineStr">
        <is>
          <t>BODEN</t>
        </is>
      </c>
      <c r="G394" t="n">
        <v>2.8</v>
      </c>
      <c r="H394" t="n">
        <v>0</v>
      </c>
      <c r="I394" t="n">
        <v>0</v>
      </c>
      <c r="J394" t="n">
        <v>0</v>
      </c>
      <c r="K394" t="n">
        <v>0</v>
      </c>
      <c r="L394" t="n">
        <v>0</v>
      </c>
      <c r="M394" t="n">
        <v>0</v>
      </c>
      <c r="N394" t="n">
        <v>0</v>
      </c>
      <c r="O394" t="n">
        <v>0</v>
      </c>
      <c r="P394" t="n">
        <v>0</v>
      </c>
      <c r="Q394" t="n">
        <v>0</v>
      </c>
      <c r="R394" s="2" t="inlineStr"/>
    </row>
    <row r="395" ht="15" customHeight="1">
      <c r="A395" t="inlineStr">
        <is>
          <t>A 53829-2020</t>
        </is>
      </c>
      <c r="B395" s="1" t="n">
        <v>44124</v>
      </c>
      <c r="C395" s="1" t="n">
        <v>45844</v>
      </c>
      <c r="D395" t="inlineStr">
        <is>
          <t>NORRBOTTENS LÄN</t>
        </is>
      </c>
      <c r="E395" t="inlineStr">
        <is>
          <t>BODEN</t>
        </is>
      </c>
      <c r="G395" t="n">
        <v>3.2</v>
      </c>
      <c r="H395" t="n">
        <v>0</v>
      </c>
      <c r="I395" t="n">
        <v>0</v>
      </c>
      <c r="J395" t="n">
        <v>0</v>
      </c>
      <c r="K395" t="n">
        <v>0</v>
      </c>
      <c r="L395" t="n">
        <v>0</v>
      </c>
      <c r="M395" t="n">
        <v>0</v>
      </c>
      <c r="N395" t="n">
        <v>0</v>
      </c>
      <c r="O395" t="n">
        <v>0</v>
      </c>
      <c r="P395" t="n">
        <v>0</v>
      </c>
      <c r="Q395" t="n">
        <v>0</v>
      </c>
      <c r="R395" s="2" t="inlineStr"/>
    </row>
    <row r="396" ht="15" customHeight="1">
      <c r="A396" t="inlineStr">
        <is>
          <t>A 53744-2020</t>
        </is>
      </c>
      <c r="B396" s="1" t="n">
        <v>44124</v>
      </c>
      <c r="C396" s="1" t="n">
        <v>45844</v>
      </c>
      <c r="D396" t="inlineStr">
        <is>
          <t>NORRBOTTENS LÄN</t>
        </is>
      </c>
      <c r="E396" t="inlineStr">
        <is>
          <t>BODEN</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53859-2020</t>
        </is>
      </c>
      <c r="B397" s="1" t="n">
        <v>44125</v>
      </c>
      <c r="C397" s="1" t="n">
        <v>45844</v>
      </c>
      <c r="D397" t="inlineStr">
        <is>
          <t>NORRBOTTENS LÄN</t>
        </is>
      </c>
      <c r="E397" t="inlineStr">
        <is>
          <t>BODEN</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54451-2020</t>
        </is>
      </c>
      <c r="B398" s="1" t="n">
        <v>44126</v>
      </c>
      <c r="C398" s="1" t="n">
        <v>45844</v>
      </c>
      <c r="D398" t="inlineStr">
        <is>
          <t>NORRBOTTENS LÄN</t>
        </is>
      </c>
      <c r="E398" t="inlineStr">
        <is>
          <t>BODEN</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54614-2020</t>
        </is>
      </c>
      <c r="B399" s="1" t="n">
        <v>44127</v>
      </c>
      <c r="C399" s="1" t="n">
        <v>45844</v>
      </c>
      <c r="D399" t="inlineStr">
        <is>
          <t>NORRBOTTENS LÄN</t>
        </is>
      </c>
      <c r="E399" t="inlineStr">
        <is>
          <t>BODEN</t>
        </is>
      </c>
      <c r="G399" t="n">
        <v>49.1</v>
      </c>
      <c r="H399" t="n">
        <v>0</v>
      </c>
      <c r="I399" t="n">
        <v>0</v>
      </c>
      <c r="J399" t="n">
        <v>0</v>
      </c>
      <c r="K399" t="n">
        <v>0</v>
      </c>
      <c r="L399" t="n">
        <v>0</v>
      </c>
      <c r="M399" t="n">
        <v>0</v>
      </c>
      <c r="N399" t="n">
        <v>0</v>
      </c>
      <c r="O399" t="n">
        <v>0</v>
      </c>
      <c r="P399" t="n">
        <v>0</v>
      </c>
      <c r="Q399" t="n">
        <v>0</v>
      </c>
      <c r="R399" s="2" t="inlineStr"/>
    </row>
    <row r="400" ht="15" customHeight="1">
      <c r="A400" t="inlineStr">
        <is>
          <t>A 55059-2020</t>
        </is>
      </c>
      <c r="B400" s="1" t="n">
        <v>44130</v>
      </c>
      <c r="C400" s="1" t="n">
        <v>45844</v>
      </c>
      <c r="D400" t="inlineStr">
        <is>
          <t>NORRBOTTENS LÄN</t>
        </is>
      </c>
      <c r="E400" t="inlineStr">
        <is>
          <t>BODEN</t>
        </is>
      </c>
      <c r="G400" t="n">
        <v>1.1</v>
      </c>
      <c r="H400" t="n">
        <v>0</v>
      </c>
      <c r="I400" t="n">
        <v>0</v>
      </c>
      <c r="J400" t="n">
        <v>0</v>
      </c>
      <c r="K400" t="n">
        <v>0</v>
      </c>
      <c r="L400" t="n">
        <v>0</v>
      </c>
      <c r="M400" t="n">
        <v>0</v>
      </c>
      <c r="N400" t="n">
        <v>0</v>
      </c>
      <c r="O400" t="n">
        <v>0</v>
      </c>
      <c r="P400" t="n">
        <v>0</v>
      </c>
      <c r="Q400" t="n">
        <v>0</v>
      </c>
      <c r="R400" s="2" t="inlineStr"/>
    </row>
    <row r="401" ht="15" customHeight="1">
      <c r="A401" t="inlineStr">
        <is>
          <t>A 57089-2020</t>
        </is>
      </c>
      <c r="B401" s="1" t="n">
        <v>44138</v>
      </c>
      <c r="C401" s="1" t="n">
        <v>45844</v>
      </c>
      <c r="D401" t="inlineStr">
        <is>
          <t>NORRBOTTENS LÄN</t>
        </is>
      </c>
      <c r="E401" t="inlineStr">
        <is>
          <t>BODEN</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57988-2020</t>
        </is>
      </c>
      <c r="B402" s="1" t="n">
        <v>44143</v>
      </c>
      <c r="C402" s="1" t="n">
        <v>45844</v>
      </c>
      <c r="D402" t="inlineStr">
        <is>
          <t>NORRBOTTENS LÄN</t>
        </is>
      </c>
      <c r="E402" t="inlineStr">
        <is>
          <t>BODEN</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59775-2020</t>
        </is>
      </c>
      <c r="B403" s="1" t="n">
        <v>44151</v>
      </c>
      <c r="C403" s="1" t="n">
        <v>45844</v>
      </c>
      <c r="D403" t="inlineStr">
        <is>
          <t>NORRBOTTENS LÄN</t>
        </is>
      </c>
      <c r="E403" t="inlineStr">
        <is>
          <t>BODEN</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60047-2020</t>
        </is>
      </c>
      <c r="B404" s="1" t="n">
        <v>44151</v>
      </c>
      <c r="C404" s="1" t="n">
        <v>45844</v>
      </c>
      <c r="D404" t="inlineStr">
        <is>
          <t>NORRBOTTENS LÄN</t>
        </is>
      </c>
      <c r="E404" t="inlineStr">
        <is>
          <t>BODEN</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60984-2020</t>
        </is>
      </c>
      <c r="B405" s="1" t="n">
        <v>44153</v>
      </c>
      <c r="C405" s="1" t="n">
        <v>45844</v>
      </c>
      <c r="D405" t="inlineStr">
        <is>
          <t>NORRBOTTENS LÄN</t>
        </is>
      </c>
      <c r="E405" t="inlineStr">
        <is>
          <t>BODEN</t>
        </is>
      </c>
      <c r="F405" t="inlineStr">
        <is>
          <t>Kyrkan</t>
        </is>
      </c>
      <c r="G405" t="n">
        <v>3.6</v>
      </c>
      <c r="H405" t="n">
        <v>0</v>
      </c>
      <c r="I405" t="n">
        <v>0</v>
      </c>
      <c r="J405" t="n">
        <v>0</v>
      </c>
      <c r="K405" t="n">
        <v>0</v>
      </c>
      <c r="L405" t="n">
        <v>0</v>
      </c>
      <c r="M405" t="n">
        <v>0</v>
      </c>
      <c r="N405" t="n">
        <v>0</v>
      </c>
      <c r="O405" t="n">
        <v>0</v>
      </c>
      <c r="P405" t="n">
        <v>0</v>
      </c>
      <c r="Q405" t="n">
        <v>0</v>
      </c>
      <c r="R405" s="2" t="inlineStr"/>
    </row>
    <row r="406" ht="15" customHeight="1">
      <c r="A406" t="inlineStr">
        <is>
          <t>A 61328-2020</t>
        </is>
      </c>
      <c r="B406" s="1" t="n">
        <v>44154</v>
      </c>
      <c r="C406" s="1" t="n">
        <v>45844</v>
      </c>
      <c r="D406" t="inlineStr">
        <is>
          <t>NORRBOTTENS LÄN</t>
        </is>
      </c>
      <c r="E406" t="inlineStr">
        <is>
          <t>BODEN</t>
        </is>
      </c>
      <c r="G406" t="n">
        <v>4.7</v>
      </c>
      <c r="H406" t="n">
        <v>0</v>
      </c>
      <c r="I406" t="n">
        <v>0</v>
      </c>
      <c r="J406" t="n">
        <v>0</v>
      </c>
      <c r="K406" t="n">
        <v>0</v>
      </c>
      <c r="L406" t="n">
        <v>0</v>
      </c>
      <c r="M406" t="n">
        <v>0</v>
      </c>
      <c r="N406" t="n">
        <v>0</v>
      </c>
      <c r="O406" t="n">
        <v>0</v>
      </c>
      <c r="P406" t="n">
        <v>0</v>
      </c>
      <c r="Q406" t="n">
        <v>0</v>
      </c>
      <c r="R406" s="2" t="inlineStr"/>
    </row>
    <row r="407" ht="15" customHeight="1">
      <c r="A407" t="inlineStr">
        <is>
          <t>A 62066-2020</t>
        </is>
      </c>
      <c r="B407" s="1" t="n">
        <v>44158</v>
      </c>
      <c r="C407" s="1" t="n">
        <v>45844</v>
      </c>
      <c r="D407" t="inlineStr">
        <is>
          <t>NORRBOTTENS LÄN</t>
        </is>
      </c>
      <c r="E407" t="inlineStr">
        <is>
          <t>BODEN</t>
        </is>
      </c>
      <c r="G407" t="n">
        <v>2.5</v>
      </c>
      <c r="H407" t="n">
        <v>0</v>
      </c>
      <c r="I407" t="n">
        <v>0</v>
      </c>
      <c r="J407" t="n">
        <v>0</v>
      </c>
      <c r="K407" t="n">
        <v>0</v>
      </c>
      <c r="L407" t="n">
        <v>0</v>
      </c>
      <c r="M407" t="n">
        <v>0</v>
      </c>
      <c r="N407" t="n">
        <v>0</v>
      </c>
      <c r="O407" t="n">
        <v>0</v>
      </c>
      <c r="P407" t="n">
        <v>0</v>
      </c>
      <c r="Q407" t="n">
        <v>0</v>
      </c>
      <c r="R407" s="2" t="inlineStr"/>
    </row>
    <row r="408" ht="15" customHeight="1">
      <c r="A408" t="inlineStr">
        <is>
          <t>A 62079-2020</t>
        </is>
      </c>
      <c r="B408" s="1" t="n">
        <v>44158</v>
      </c>
      <c r="C408" s="1" t="n">
        <v>45844</v>
      </c>
      <c r="D408" t="inlineStr">
        <is>
          <t>NORRBOTTENS LÄN</t>
        </is>
      </c>
      <c r="E408" t="inlineStr">
        <is>
          <t>BODEN</t>
        </is>
      </c>
      <c r="G408" t="n">
        <v>5.5</v>
      </c>
      <c r="H408" t="n">
        <v>0</v>
      </c>
      <c r="I408" t="n">
        <v>0</v>
      </c>
      <c r="J408" t="n">
        <v>0</v>
      </c>
      <c r="K408" t="n">
        <v>0</v>
      </c>
      <c r="L408" t="n">
        <v>0</v>
      </c>
      <c r="M408" t="n">
        <v>0</v>
      </c>
      <c r="N408" t="n">
        <v>0</v>
      </c>
      <c r="O408" t="n">
        <v>0</v>
      </c>
      <c r="P408" t="n">
        <v>0</v>
      </c>
      <c r="Q408" t="n">
        <v>0</v>
      </c>
      <c r="R408" s="2" t="inlineStr"/>
    </row>
    <row r="409" ht="15" customHeight="1">
      <c r="A409" t="inlineStr">
        <is>
          <t>A 62321-2020</t>
        </is>
      </c>
      <c r="B409" s="1" t="n">
        <v>44158</v>
      </c>
      <c r="C409" s="1" t="n">
        <v>45844</v>
      </c>
      <c r="D409" t="inlineStr">
        <is>
          <t>NORRBOTTENS LÄN</t>
        </is>
      </c>
      <c r="E409" t="inlineStr">
        <is>
          <t>BODEN</t>
        </is>
      </c>
      <c r="G409" t="n">
        <v>3.2</v>
      </c>
      <c r="H409" t="n">
        <v>0</v>
      </c>
      <c r="I409" t="n">
        <v>0</v>
      </c>
      <c r="J409" t="n">
        <v>0</v>
      </c>
      <c r="K409" t="n">
        <v>0</v>
      </c>
      <c r="L409" t="n">
        <v>0</v>
      </c>
      <c r="M409" t="n">
        <v>0</v>
      </c>
      <c r="N409" t="n">
        <v>0</v>
      </c>
      <c r="O409" t="n">
        <v>0</v>
      </c>
      <c r="P409" t="n">
        <v>0</v>
      </c>
      <c r="Q409" t="n">
        <v>0</v>
      </c>
      <c r="R409" s="2" t="inlineStr"/>
    </row>
    <row r="410" ht="15" customHeight="1">
      <c r="A410" t="inlineStr">
        <is>
          <t>A 62068-2020</t>
        </is>
      </c>
      <c r="B410" s="1" t="n">
        <v>44158</v>
      </c>
      <c r="C410" s="1" t="n">
        <v>45844</v>
      </c>
      <c r="D410" t="inlineStr">
        <is>
          <t>NORRBOTTENS LÄN</t>
        </is>
      </c>
      <c r="E410" t="inlineStr">
        <is>
          <t>BODEN</t>
        </is>
      </c>
      <c r="G410" t="n">
        <v>7.5</v>
      </c>
      <c r="H410" t="n">
        <v>0</v>
      </c>
      <c r="I410" t="n">
        <v>0</v>
      </c>
      <c r="J410" t="n">
        <v>0</v>
      </c>
      <c r="K410" t="n">
        <v>0</v>
      </c>
      <c r="L410" t="n">
        <v>0</v>
      </c>
      <c r="M410" t="n">
        <v>0</v>
      </c>
      <c r="N410" t="n">
        <v>0</v>
      </c>
      <c r="O410" t="n">
        <v>0</v>
      </c>
      <c r="P410" t="n">
        <v>0</v>
      </c>
      <c r="Q410" t="n">
        <v>0</v>
      </c>
      <c r="R410" s="2" t="inlineStr"/>
    </row>
    <row r="411" ht="15" customHeight="1">
      <c r="A411" t="inlineStr">
        <is>
          <t>A 63264-2020</t>
        </is>
      </c>
      <c r="B411" s="1" t="n">
        <v>44164</v>
      </c>
      <c r="C411" s="1" t="n">
        <v>45844</v>
      </c>
      <c r="D411" t="inlineStr">
        <is>
          <t>NORRBOTTENS LÄN</t>
        </is>
      </c>
      <c r="E411" t="inlineStr">
        <is>
          <t>BODEN</t>
        </is>
      </c>
      <c r="F411" t="inlineStr">
        <is>
          <t>Kommuner</t>
        </is>
      </c>
      <c r="G411" t="n">
        <v>6.8</v>
      </c>
      <c r="H411" t="n">
        <v>0</v>
      </c>
      <c r="I411" t="n">
        <v>0</v>
      </c>
      <c r="J411" t="n">
        <v>0</v>
      </c>
      <c r="K411" t="n">
        <v>0</v>
      </c>
      <c r="L411" t="n">
        <v>0</v>
      </c>
      <c r="M411" t="n">
        <v>0</v>
      </c>
      <c r="N411" t="n">
        <v>0</v>
      </c>
      <c r="O411" t="n">
        <v>0</v>
      </c>
      <c r="P411" t="n">
        <v>0</v>
      </c>
      <c r="Q411" t="n">
        <v>0</v>
      </c>
      <c r="R411" s="2" t="inlineStr"/>
    </row>
    <row r="412" ht="15" customHeight="1">
      <c r="A412" t="inlineStr">
        <is>
          <t>A 63286-2020</t>
        </is>
      </c>
      <c r="B412" s="1" t="n">
        <v>44165</v>
      </c>
      <c r="C412" s="1" t="n">
        <v>45844</v>
      </c>
      <c r="D412" t="inlineStr">
        <is>
          <t>NORRBOTTENS LÄN</t>
        </is>
      </c>
      <c r="E412" t="inlineStr">
        <is>
          <t>BODEN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63772-2020</t>
        </is>
      </c>
      <c r="B413" s="1" t="n">
        <v>44165</v>
      </c>
      <c r="C413" s="1" t="n">
        <v>45844</v>
      </c>
      <c r="D413" t="inlineStr">
        <is>
          <t>NORRBOTTENS LÄN</t>
        </is>
      </c>
      <c r="E413" t="inlineStr">
        <is>
          <t>BODEN</t>
        </is>
      </c>
      <c r="G413" t="n">
        <v>1.8</v>
      </c>
      <c r="H413" t="n">
        <v>0</v>
      </c>
      <c r="I413" t="n">
        <v>0</v>
      </c>
      <c r="J413" t="n">
        <v>0</v>
      </c>
      <c r="K413" t="n">
        <v>0</v>
      </c>
      <c r="L413" t="n">
        <v>0</v>
      </c>
      <c r="M413" t="n">
        <v>0</v>
      </c>
      <c r="N413" t="n">
        <v>0</v>
      </c>
      <c r="O413" t="n">
        <v>0</v>
      </c>
      <c r="P413" t="n">
        <v>0</v>
      </c>
      <c r="Q413" t="n">
        <v>0</v>
      </c>
      <c r="R413" s="2" t="inlineStr"/>
    </row>
    <row r="414" ht="15" customHeight="1">
      <c r="A414" t="inlineStr">
        <is>
          <t>A 64354-2020</t>
        </is>
      </c>
      <c r="B414" s="1" t="n">
        <v>44168</v>
      </c>
      <c r="C414" s="1" t="n">
        <v>45844</v>
      </c>
      <c r="D414" t="inlineStr">
        <is>
          <t>NORRBOTTENS LÄN</t>
        </is>
      </c>
      <c r="E414" t="inlineStr">
        <is>
          <t>BODEN</t>
        </is>
      </c>
      <c r="F414" t="inlineStr">
        <is>
          <t>Sveaskog</t>
        </is>
      </c>
      <c r="G414" t="n">
        <v>58.6</v>
      </c>
      <c r="H414" t="n">
        <v>0</v>
      </c>
      <c r="I414" t="n">
        <v>0</v>
      </c>
      <c r="J414" t="n">
        <v>0</v>
      </c>
      <c r="K414" t="n">
        <v>0</v>
      </c>
      <c r="L414" t="n">
        <v>0</v>
      </c>
      <c r="M414" t="n">
        <v>0</v>
      </c>
      <c r="N414" t="n">
        <v>0</v>
      </c>
      <c r="O414" t="n">
        <v>0</v>
      </c>
      <c r="P414" t="n">
        <v>0</v>
      </c>
      <c r="Q414" t="n">
        <v>0</v>
      </c>
      <c r="R414" s="2" t="inlineStr"/>
    </row>
    <row r="415" ht="15" customHeight="1">
      <c r="A415" t="inlineStr">
        <is>
          <t>A 65378-2020</t>
        </is>
      </c>
      <c r="B415" s="1" t="n">
        <v>44168</v>
      </c>
      <c r="C415" s="1" t="n">
        <v>45844</v>
      </c>
      <c r="D415" t="inlineStr">
        <is>
          <t>NORRBOTTENS LÄN</t>
        </is>
      </c>
      <c r="E415" t="inlineStr">
        <is>
          <t>BODEN</t>
        </is>
      </c>
      <c r="G415" t="n">
        <v>10.8</v>
      </c>
      <c r="H415" t="n">
        <v>0</v>
      </c>
      <c r="I415" t="n">
        <v>0</v>
      </c>
      <c r="J415" t="n">
        <v>0</v>
      </c>
      <c r="K415" t="n">
        <v>0</v>
      </c>
      <c r="L415" t="n">
        <v>0</v>
      </c>
      <c r="M415" t="n">
        <v>0</v>
      </c>
      <c r="N415" t="n">
        <v>0</v>
      </c>
      <c r="O415" t="n">
        <v>0</v>
      </c>
      <c r="P415" t="n">
        <v>0</v>
      </c>
      <c r="Q415" t="n">
        <v>0</v>
      </c>
      <c r="R415" s="2" t="inlineStr"/>
    </row>
    <row r="416" ht="15" customHeight="1">
      <c r="A416" t="inlineStr">
        <is>
          <t>A 65634-2020</t>
        </is>
      </c>
      <c r="B416" s="1" t="n">
        <v>44173</v>
      </c>
      <c r="C416" s="1" t="n">
        <v>45844</v>
      </c>
      <c r="D416" t="inlineStr">
        <is>
          <t>NORRBOTTENS LÄN</t>
        </is>
      </c>
      <c r="E416" t="inlineStr">
        <is>
          <t>BODEN</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65635-2020</t>
        </is>
      </c>
      <c r="B417" s="1" t="n">
        <v>44173</v>
      </c>
      <c r="C417" s="1" t="n">
        <v>45844</v>
      </c>
      <c r="D417" t="inlineStr">
        <is>
          <t>NORRBOTTENS LÄN</t>
        </is>
      </c>
      <c r="E417" t="inlineStr">
        <is>
          <t>BODEN</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65717-2020</t>
        </is>
      </c>
      <c r="B418" s="1" t="n">
        <v>44174</v>
      </c>
      <c r="C418" s="1" t="n">
        <v>45844</v>
      </c>
      <c r="D418" t="inlineStr">
        <is>
          <t>NORRBOTTENS LÄN</t>
        </is>
      </c>
      <c r="E418" t="inlineStr">
        <is>
          <t>BODEN</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66696-2020</t>
        </is>
      </c>
      <c r="B419" s="1" t="n">
        <v>44174</v>
      </c>
      <c r="C419" s="1" t="n">
        <v>45844</v>
      </c>
      <c r="D419" t="inlineStr">
        <is>
          <t>NORRBOTTENS LÄN</t>
        </is>
      </c>
      <c r="E419" t="inlineStr">
        <is>
          <t>BODEN</t>
        </is>
      </c>
      <c r="G419" t="n">
        <v>1.6</v>
      </c>
      <c r="H419" t="n">
        <v>0</v>
      </c>
      <c r="I419" t="n">
        <v>0</v>
      </c>
      <c r="J419" t="n">
        <v>0</v>
      </c>
      <c r="K419" t="n">
        <v>0</v>
      </c>
      <c r="L419" t="n">
        <v>0</v>
      </c>
      <c r="M419" t="n">
        <v>0</v>
      </c>
      <c r="N419" t="n">
        <v>0</v>
      </c>
      <c r="O419" t="n">
        <v>0</v>
      </c>
      <c r="P419" t="n">
        <v>0</v>
      </c>
      <c r="Q419" t="n">
        <v>0</v>
      </c>
      <c r="R419" s="2" t="inlineStr"/>
      <c r="U419">
        <f>HYPERLINK("https://klasma.github.io/Logging_2582/knärot/A 66696-2020 karta knärot.png", "A 66696-2020")</f>
        <v/>
      </c>
      <c r="V419">
        <f>HYPERLINK("https://klasma.github.io/Logging_2582/klagomål/A 66696-2020 FSC-klagomål.docx", "A 66696-2020")</f>
        <v/>
      </c>
      <c r="W419">
        <f>HYPERLINK("https://klasma.github.io/Logging_2582/klagomålsmail/A 66696-2020 FSC-klagomål mail.docx", "A 66696-2020")</f>
        <v/>
      </c>
      <c r="X419">
        <f>HYPERLINK("https://klasma.github.io/Logging_2582/tillsyn/A 66696-2020 tillsynsbegäran.docx", "A 66696-2020")</f>
        <v/>
      </c>
      <c r="Y419">
        <f>HYPERLINK("https://klasma.github.io/Logging_2582/tillsynsmail/A 66696-2020 tillsynsbegäran mail.docx", "A 66696-2020")</f>
        <v/>
      </c>
    </row>
    <row r="420" ht="15" customHeight="1">
      <c r="A420" t="inlineStr">
        <is>
          <t>A 68205-2020</t>
        </is>
      </c>
      <c r="B420" s="1" t="n">
        <v>44182</v>
      </c>
      <c r="C420" s="1" t="n">
        <v>45844</v>
      </c>
      <c r="D420" t="inlineStr">
        <is>
          <t>NORRBOTTENS LÄN</t>
        </is>
      </c>
      <c r="E420" t="inlineStr">
        <is>
          <t>BODEN</t>
        </is>
      </c>
      <c r="G420" t="n">
        <v>0.8</v>
      </c>
      <c r="H420" t="n">
        <v>0</v>
      </c>
      <c r="I420" t="n">
        <v>0</v>
      </c>
      <c r="J420" t="n">
        <v>0</v>
      </c>
      <c r="K420" t="n">
        <v>0</v>
      </c>
      <c r="L420" t="n">
        <v>0</v>
      </c>
      <c r="M420" t="n">
        <v>0</v>
      </c>
      <c r="N420" t="n">
        <v>0</v>
      </c>
      <c r="O420" t="n">
        <v>0</v>
      </c>
      <c r="P420" t="n">
        <v>0</v>
      </c>
      <c r="Q420" t="n">
        <v>0</v>
      </c>
      <c r="R420" s="2" t="inlineStr"/>
    </row>
    <row r="421" ht="15" customHeight="1">
      <c r="A421" t="inlineStr">
        <is>
          <t>A 68210-2020</t>
        </is>
      </c>
      <c r="B421" s="1" t="n">
        <v>44182</v>
      </c>
      <c r="C421" s="1" t="n">
        <v>45844</v>
      </c>
      <c r="D421" t="inlineStr">
        <is>
          <t>NORRBOTTENS LÄN</t>
        </is>
      </c>
      <c r="E421" t="inlineStr">
        <is>
          <t>BODEN</t>
        </is>
      </c>
      <c r="G421" t="n">
        <v>0.7</v>
      </c>
      <c r="H421" t="n">
        <v>0</v>
      </c>
      <c r="I421" t="n">
        <v>0</v>
      </c>
      <c r="J421" t="n">
        <v>0</v>
      </c>
      <c r="K421" t="n">
        <v>0</v>
      </c>
      <c r="L421" t="n">
        <v>0</v>
      </c>
      <c r="M421" t="n">
        <v>0</v>
      </c>
      <c r="N421" t="n">
        <v>0</v>
      </c>
      <c r="O421" t="n">
        <v>0</v>
      </c>
      <c r="P421" t="n">
        <v>0</v>
      </c>
      <c r="Q421" t="n">
        <v>0</v>
      </c>
      <c r="R421" s="2" t="inlineStr"/>
    </row>
    <row r="422" ht="15" customHeight="1">
      <c r="A422" t="inlineStr">
        <is>
          <t>A 68098-2020</t>
        </is>
      </c>
      <c r="B422" s="1" t="n">
        <v>44182</v>
      </c>
      <c r="C422" s="1" t="n">
        <v>45844</v>
      </c>
      <c r="D422" t="inlineStr">
        <is>
          <t>NORRBOTTENS LÄN</t>
        </is>
      </c>
      <c r="E422" t="inlineStr">
        <is>
          <t>BODEN</t>
        </is>
      </c>
      <c r="G422" t="n">
        <v>8.4</v>
      </c>
      <c r="H422" t="n">
        <v>0</v>
      </c>
      <c r="I422" t="n">
        <v>0</v>
      </c>
      <c r="J422" t="n">
        <v>0</v>
      </c>
      <c r="K422" t="n">
        <v>0</v>
      </c>
      <c r="L422" t="n">
        <v>0</v>
      </c>
      <c r="M422" t="n">
        <v>0</v>
      </c>
      <c r="N422" t="n">
        <v>0</v>
      </c>
      <c r="O422" t="n">
        <v>0</v>
      </c>
      <c r="P422" t="n">
        <v>0</v>
      </c>
      <c r="Q422" t="n">
        <v>0</v>
      </c>
      <c r="R422" s="2" t="inlineStr"/>
    </row>
    <row r="423" ht="15" customHeight="1">
      <c r="A423" t="inlineStr">
        <is>
          <t>A 68267-2020</t>
        </is>
      </c>
      <c r="B423" s="1" t="n">
        <v>44182</v>
      </c>
      <c r="C423" s="1" t="n">
        <v>45844</v>
      </c>
      <c r="D423" t="inlineStr">
        <is>
          <t>NORRBOTTENS LÄN</t>
        </is>
      </c>
      <c r="E423" t="inlineStr">
        <is>
          <t>BODEN</t>
        </is>
      </c>
      <c r="G423" t="n">
        <v>1.1</v>
      </c>
      <c r="H423" t="n">
        <v>0</v>
      </c>
      <c r="I423" t="n">
        <v>0</v>
      </c>
      <c r="J423" t="n">
        <v>0</v>
      </c>
      <c r="K423" t="n">
        <v>0</v>
      </c>
      <c r="L423" t="n">
        <v>0</v>
      </c>
      <c r="M423" t="n">
        <v>0</v>
      </c>
      <c r="N423" t="n">
        <v>0</v>
      </c>
      <c r="O423" t="n">
        <v>0</v>
      </c>
      <c r="P423" t="n">
        <v>0</v>
      </c>
      <c r="Q423" t="n">
        <v>0</v>
      </c>
      <c r="R423" s="2" t="inlineStr"/>
    </row>
    <row r="424" ht="15" customHeight="1">
      <c r="A424" t="inlineStr">
        <is>
          <t>A 68109-2020</t>
        </is>
      </c>
      <c r="B424" s="1" t="n">
        <v>44182</v>
      </c>
      <c r="C424" s="1" t="n">
        <v>45844</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69039-2020</t>
        </is>
      </c>
      <c r="B425" s="1" t="n">
        <v>44187</v>
      </c>
      <c r="C425" s="1" t="n">
        <v>45844</v>
      </c>
      <c r="D425" t="inlineStr">
        <is>
          <t>NORRBOTTENS LÄN</t>
        </is>
      </c>
      <c r="E425" t="inlineStr">
        <is>
          <t>BODEN</t>
        </is>
      </c>
      <c r="G425" t="n">
        <v>0.8</v>
      </c>
      <c r="H425" t="n">
        <v>0</v>
      </c>
      <c r="I425" t="n">
        <v>0</v>
      </c>
      <c r="J425" t="n">
        <v>0</v>
      </c>
      <c r="K425" t="n">
        <v>0</v>
      </c>
      <c r="L425" t="n">
        <v>0</v>
      </c>
      <c r="M425" t="n">
        <v>0</v>
      </c>
      <c r="N425" t="n">
        <v>0</v>
      </c>
      <c r="O425" t="n">
        <v>0</v>
      </c>
      <c r="P425" t="n">
        <v>0</v>
      </c>
      <c r="Q425" t="n">
        <v>0</v>
      </c>
      <c r="R425" s="2" t="inlineStr"/>
    </row>
    <row r="426" ht="15" customHeight="1">
      <c r="A426" t="inlineStr">
        <is>
          <t>A 920-2021</t>
        </is>
      </c>
      <c r="B426" s="1" t="n">
        <v>44204</v>
      </c>
      <c r="C426" s="1" t="n">
        <v>45844</v>
      </c>
      <c r="D426" t="inlineStr">
        <is>
          <t>NORRBOTTENS LÄN</t>
        </is>
      </c>
      <c r="E426" t="inlineStr">
        <is>
          <t>BODEN</t>
        </is>
      </c>
      <c r="G426" t="n">
        <v>1.9</v>
      </c>
      <c r="H426" t="n">
        <v>0</v>
      </c>
      <c r="I426" t="n">
        <v>0</v>
      </c>
      <c r="J426" t="n">
        <v>0</v>
      </c>
      <c r="K426" t="n">
        <v>0</v>
      </c>
      <c r="L426" t="n">
        <v>0</v>
      </c>
      <c r="M426" t="n">
        <v>0</v>
      </c>
      <c r="N426" t="n">
        <v>0</v>
      </c>
      <c r="O426" t="n">
        <v>0</v>
      </c>
      <c r="P426" t="n">
        <v>0</v>
      </c>
      <c r="Q426" t="n">
        <v>0</v>
      </c>
      <c r="R426" s="2" t="inlineStr"/>
    </row>
    <row r="427" ht="15" customHeight="1">
      <c r="A427" t="inlineStr">
        <is>
          <t>A 1087-2021</t>
        </is>
      </c>
      <c r="B427" s="1" t="n">
        <v>44207</v>
      </c>
      <c r="C427" s="1" t="n">
        <v>45844</v>
      </c>
      <c r="D427" t="inlineStr">
        <is>
          <t>NORRBOTTENS LÄN</t>
        </is>
      </c>
      <c r="E427" t="inlineStr">
        <is>
          <t>BODEN</t>
        </is>
      </c>
      <c r="G427" t="n">
        <v>1.1</v>
      </c>
      <c r="H427" t="n">
        <v>0</v>
      </c>
      <c r="I427" t="n">
        <v>0</v>
      </c>
      <c r="J427" t="n">
        <v>0</v>
      </c>
      <c r="K427" t="n">
        <v>0</v>
      </c>
      <c r="L427" t="n">
        <v>0</v>
      </c>
      <c r="M427" t="n">
        <v>0</v>
      </c>
      <c r="N427" t="n">
        <v>0</v>
      </c>
      <c r="O427" t="n">
        <v>0</v>
      </c>
      <c r="P427" t="n">
        <v>0</v>
      </c>
      <c r="Q427" t="n">
        <v>0</v>
      </c>
      <c r="R427" s="2" t="inlineStr"/>
    </row>
    <row r="428" ht="15" customHeight="1">
      <c r="A428" t="inlineStr">
        <is>
          <t>A 2444-2021</t>
        </is>
      </c>
      <c r="B428" s="1" t="n">
        <v>44211</v>
      </c>
      <c r="C428" s="1" t="n">
        <v>45844</v>
      </c>
      <c r="D428" t="inlineStr">
        <is>
          <t>NORRBOTTENS LÄN</t>
        </is>
      </c>
      <c r="E428" t="inlineStr">
        <is>
          <t>BODEN</t>
        </is>
      </c>
      <c r="G428" t="n">
        <v>16.4</v>
      </c>
      <c r="H428" t="n">
        <v>0</v>
      </c>
      <c r="I428" t="n">
        <v>0</v>
      </c>
      <c r="J428" t="n">
        <v>0</v>
      </c>
      <c r="K428" t="n">
        <v>0</v>
      </c>
      <c r="L428" t="n">
        <v>0</v>
      </c>
      <c r="M428" t="n">
        <v>0</v>
      </c>
      <c r="N428" t="n">
        <v>0</v>
      </c>
      <c r="O428" t="n">
        <v>0</v>
      </c>
      <c r="P428" t="n">
        <v>0</v>
      </c>
      <c r="Q428" t="n">
        <v>0</v>
      </c>
      <c r="R428" s="2" t="inlineStr"/>
    </row>
    <row r="429" ht="15" customHeight="1">
      <c r="A429" t="inlineStr">
        <is>
          <t>A 3248-2021</t>
        </is>
      </c>
      <c r="B429" s="1" t="n">
        <v>44215</v>
      </c>
      <c r="C429" s="1" t="n">
        <v>45844</v>
      </c>
      <c r="D429" t="inlineStr">
        <is>
          <t>NORRBOTTENS LÄN</t>
        </is>
      </c>
      <c r="E429" t="inlineStr">
        <is>
          <t>BODEN</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3535-2021</t>
        </is>
      </c>
      <c r="B430" s="1" t="n">
        <v>44216</v>
      </c>
      <c r="C430" s="1" t="n">
        <v>45844</v>
      </c>
      <c r="D430" t="inlineStr">
        <is>
          <t>NORRBOTTENS LÄN</t>
        </is>
      </c>
      <c r="E430" t="inlineStr">
        <is>
          <t>BODEN</t>
        </is>
      </c>
      <c r="G430" t="n">
        <v>5.7</v>
      </c>
      <c r="H430" t="n">
        <v>0</v>
      </c>
      <c r="I430" t="n">
        <v>0</v>
      </c>
      <c r="J430" t="n">
        <v>0</v>
      </c>
      <c r="K430" t="n">
        <v>0</v>
      </c>
      <c r="L430" t="n">
        <v>0</v>
      </c>
      <c r="M430" t="n">
        <v>0</v>
      </c>
      <c r="N430" t="n">
        <v>0</v>
      </c>
      <c r="O430" t="n">
        <v>0</v>
      </c>
      <c r="P430" t="n">
        <v>0</v>
      </c>
      <c r="Q430" t="n">
        <v>0</v>
      </c>
      <c r="R430" s="2" t="inlineStr"/>
    </row>
    <row r="431" ht="15" customHeight="1">
      <c r="A431" t="inlineStr">
        <is>
          <t>A 3537-2021</t>
        </is>
      </c>
      <c r="B431" s="1" t="n">
        <v>44216</v>
      </c>
      <c r="C431" s="1" t="n">
        <v>45844</v>
      </c>
      <c r="D431" t="inlineStr">
        <is>
          <t>NORRBOTTENS LÄN</t>
        </is>
      </c>
      <c r="E431" t="inlineStr">
        <is>
          <t>BODEN</t>
        </is>
      </c>
      <c r="G431" t="n">
        <v>8.6</v>
      </c>
      <c r="H431" t="n">
        <v>0</v>
      </c>
      <c r="I431" t="n">
        <v>0</v>
      </c>
      <c r="J431" t="n">
        <v>0</v>
      </c>
      <c r="K431" t="n">
        <v>0</v>
      </c>
      <c r="L431" t="n">
        <v>0</v>
      </c>
      <c r="M431" t="n">
        <v>0</v>
      </c>
      <c r="N431" t="n">
        <v>0</v>
      </c>
      <c r="O431" t="n">
        <v>0</v>
      </c>
      <c r="P431" t="n">
        <v>0</v>
      </c>
      <c r="Q431" t="n">
        <v>0</v>
      </c>
      <c r="R431" s="2" t="inlineStr"/>
    </row>
    <row r="432" ht="15" customHeight="1">
      <c r="A432" t="inlineStr">
        <is>
          <t>A 3777-2021</t>
        </is>
      </c>
      <c r="B432" s="1" t="n">
        <v>44217</v>
      </c>
      <c r="C432" s="1" t="n">
        <v>45844</v>
      </c>
      <c r="D432" t="inlineStr">
        <is>
          <t>NORRBOTTENS LÄN</t>
        </is>
      </c>
      <c r="E432" t="inlineStr">
        <is>
          <t>BODEN</t>
        </is>
      </c>
      <c r="G432" t="n">
        <v>1.4</v>
      </c>
      <c r="H432" t="n">
        <v>0</v>
      </c>
      <c r="I432" t="n">
        <v>0</v>
      </c>
      <c r="J432" t="n">
        <v>0</v>
      </c>
      <c r="K432" t="n">
        <v>0</v>
      </c>
      <c r="L432" t="n">
        <v>0</v>
      </c>
      <c r="M432" t="n">
        <v>0</v>
      </c>
      <c r="N432" t="n">
        <v>0</v>
      </c>
      <c r="O432" t="n">
        <v>0</v>
      </c>
      <c r="P432" t="n">
        <v>0</v>
      </c>
      <c r="Q432" t="n">
        <v>0</v>
      </c>
      <c r="R432" s="2" t="inlineStr"/>
    </row>
    <row r="433" ht="15" customHeight="1">
      <c r="A433" t="inlineStr">
        <is>
          <t>A 3779-2021</t>
        </is>
      </c>
      <c r="B433" s="1" t="n">
        <v>44217</v>
      </c>
      <c r="C433" s="1" t="n">
        <v>45844</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3778-2021</t>
        </is>
      </c>
      <c r="B434" s="1" t="n">
        <v>44217</v>
      </c>
      <c r="C434" s="1" t="n">
        <v>45844</v>
      </c>
      <c r="D434" t="inlineStr">
        <is>
          <t>NORRBOTTENS LÄN</t>
        </is>
      </c>
      <c r="E434" t="inlineStr">
        <is>
          <t>BODEN</t>
        </is>
      </c>
      <c r="G434" t="n">
        <v>4.4</v>
      </c>
      <c r="H434" t="n">
        <v>0</v>
      </c>
      <c r="I434" t="n">
        <v>0</v>
      </c>
      <c r="J434" t="n">
        <v>0</v>
      </c>
      <c r="K434" t="n">
        <v>0</v>
      </c>
      <c r="L434" t="n">
        <v>0</v>
      </c>
      <c r="M434" t="n">
        <v>0</v>
      </c>
      <c r="N434" t="n">
        <v>0</v>
      </c>
      <c r="O434" t="n">
        <v>0</v>
      </c>
      <c r="P434" t="n">
        <v>0</v>
      </c>
      <c r="Q434" t="n">
        <v>0</v>
      </c>
      <c r="R434" s="2" t="inlineStr"/>
    </row>
    <row r="435" ht="15" customHeight="1">
      <c r="A435" t="inlineStr">
        <is>
          <t>A 4274-2021</t>
        </is>
      </c>
      <c r="B435" s="1" t="n">
        <v>44223</v>
      </c>
      <c r="C435" s="1" t="n">
        <v>45844</v>
      </c>
      <c r="D435" t="inlineStr">
        <is>
          <t>NORRBOTTENS LÄN</t>
        </is>
      </c>
      <c r="E435" t="inlineStr">
        <is>
          <t>BODEN</t>
        </is>
      </c>
      <c r="G435" t="n">
        <v>2.7</v>
      </c>
      <c r="H435" t="n">
        <v>0</v>
      </c>
      <c r="I435" t="n">
        <v>0</v>
      </c>
      <c r="J435" t="n">
        <v>0</v>
      </c>
      <c r="K435" t="n">
        <v>0</v>
      </c>
      <c r="L435" t="n">
        <v>0</v>
      </c>
      <c r="M435" t="n">
        <v>0</v>
      </c>
      <c r="N435" t="n">
        <v>0</v>
      </c>
      <c r="O435" t="n">
        <v>0</v>
      </c>
      <c r="P435" t="n">
        <v>0</v>
      </c>
      <c r="Q435" t="n">
        <v>0</v>
      </c>
      <c r="R435" s="2" t="inlineStr"/>
    </row>
    <row r="436" ht="15" customHeight="1">
      <c r="A436" t="inlineStr">
        <is>
          <t>A 4247-2021</t>
        </is>
      </c>
      <c r="B436" s="1" t="n">
        <v>44223</v>
      </c>
      <c r="C436" s="1" t="n">
        <v>45844</v>
      </c>
      <c r="D436" t="inlineStr">
        <is>
          <t>NORRBOTTENS LÄN</t>
        </is>
      </c>
      <c r="E436" t="inlineStr">
        <is>
          <t>BODEN</t>
        </is>
      </c>
      <c r="G436" t="n">
        <v>12.4</v>
      </c>
      <c r="H436" t="n">
        <v>0</v>
      </c>
      <c r="I436" t="n">
        <v>0</v>
      </c>
      <c r="J436" t="n">
        <v>0</v>
      </c>
      <c r="K436" t="n">
        <v>0</v>
      </c>
      <c r="L436" t="n">
        <v>0</v>
      </c>
      <c r="M436" t="n">
        <v>0</v>
      </c>
      <c r="N436" t="n">
        <v>0</v>
      </c>
      <c r="O436" t="n">
        <v>0</v>
      </c>
      <c r="P436" t="n">
        <v>0</v>
      </c>
      <c r="Q436" t="n">
        <v>0</v>
      </c>
      <c r="R436" s="2" t="inlineStr"/>
    </row>
    <row r="437" ht="15" customHeight="1">
      <c r="A437" t="inlineStr">
        <is>
          <t>A 7108-2021</t>
        </is>
      </c>
      <c r="B437" s="1" t="n">
        <v>44238</v>
      </c>
      <c r="C437" s="1" t="n">
        <v>45844</v>
      </c>
      <c r="D437" t="inlineStr">
        <is>
          <t>NORRBOTTENS LÄN</t>
        </is>
      </c>
      <c r="E437" t="inlineStr">
        <is>
          <t>BODEN</t>
        </is>
      </c>
      <c r="G437" t="n">
        <v>18.1</v>
      </c>
      <c r="H437" t="n">
        <v>0</v>
      </c>
      <c r="I437" t="n">
        <v>0</v>
      </c>
      <c r="J437" t="n">
        <v>0</v>
      </c>
      <c r="K437" t="n">
        <v>0</v>
      </c>
      <c r="L437" t="n">
        <v>0</v>
      </c>
      <c r="M437" t="n">
        <v>0</v>
      </c>
      <c r="N437" t="n">
        <v>0</v>
      </c>
      <c r="O437" t="n">
        <v>0</v>
      </c>
      <c r="P437" t="n">
        <v>0</v>
      </c>
      <c r="Q437" t="n">
        <v>0</v>
      </c>
      <c r="R437" s="2" t="inlineStr"/>
    </row>
    <row r="438" ht="15" customHeight="1">
      <c r="A438" t="inlineStr">
        <is>
          <t>A 8891-2021</t>
        </is>
      </c>
      <c r="B438" s="1" t="n">
        <v>44248</v>
      </c>
      <c r="C438" s="1" t="n">
        <v>45844</v>
      </c>
      <c r="D438" t="inlineStr">
        <is>
          <t>NORRBOTTENS LÄN</t>
        </is>
      </c>
      <c r="E438" t="inlineStr">
        <is>
          <t>BODEN</t>
        </is>
      </c>
      <c r="G438" t="n">
        <v>0.7</v>
      </c>
      <c r="H438" t="n">
        <v>0</v>
      </c>
      <c r="I438" t="n">
        <v>0</v>
      </c>
      <c r="J438" t="n">
        <v>0</v>
      </c>
      <c r="K438" t="n">
        <v>0</v>
      </c>
      <c r="L438" t="n">
        <v>0</v>
      </c>
      <c r="M438" t="n">
        <v>0</v>
      </c>
      <c r="N438" t="n">
        <v>0</v>
      </c>
      <c r="O438" t="n">
        <v>0</v>
      </c>
      <c r="P438" t="n">
        <v>0</v>
      </c>
      <c r="Q438" t="n">
        <v>0</v>
      </c>
      <c r="R438" s="2" t="inlineStr"/>
    </row>
    <row r="439" ht="15" customHeight="1">
      <c r="A439" t="inlineStr">
        <is>
          <t>A 8889-2021</t>
        </is>
      </c>
      <c r="B439" s="1" t="n">
        <v>44248</v>
      </c>
      <c r="C439" s="1" t="n">
        <v>45844</v>
      </c>
      <c r="D439" t="inlineStr">
        <is>
          <t>NORRBOTTENS LÄN</t>
        </is>
      </c>
      <c r="E439" t="inlineStr">
        <is>
          <t>BODEN</t>
        </is>
      </c>
      <c r="G439" t="n">
        <v>3.5</v>
      </c>
      <c r="H439" t="n">
        <v>0</v>
      </c>
      <c r="I439" t="n">
        <v>0</v>
      </c>
      <c r="J439" t="n">
        <v>0</v>
      </c>
      <c r="K439" t="n">
        <v>0</v>
      </c>
      <c r="L439" t="n">
        <v>0</v>
      </c>
      <c r="M439" t="n">
        <v>0</v>
      </c>
      <c r="N439" t="n">
        <v>0</v>
      </c>
      <c r="O439" t="n">
        <v>0</v>
      </c>
      <c r="P439" t="n">
        <v>0</v>
      </c>
      <c r="Q439" t="n">
        <v>0</v>
      </c>
      <c r="R439" s="2" t="inlineStr"/>
    </row>
    <row r="440" ht="15" customHeight="1">
      <c r="A440" t="inlineStr">
        <is>
          <t>A 8886-2021</t>
        </is>
      </c>
      <c r="B440" s="1" t="n">
        <v>44248</v>
      </c>
      <c r="C440" s="1" t="n">
        <v>45844</v>
      </c>
      <c r="D440" t="inlineStr">
        <is>
          <t>NORRBOTTENS LÄN</t>
        </is>
      </c>
      <c r="E440" t="inlineStr">
        <is>
          <t>BODEN</t>
        </is>
      </c>
      <c r="G440" t="n">
        <v>2.2</v>
      </c>
      <c r="H440" t="n">
        <v>0</v>
      </c>
      <c r="I440" t="n">
        <v>0</v>
      </c>
      <c r="J440" t="n">
        <v>0</v>
      </c>
      <c r="K440" t="n">
        <v>0</v>
      </c>
      <c r="L440" t="n">
        <v>0</v>
      </c>
      <c r="M440" t="n">
        <v>0</v>
      </c>
      <c r="N440" t="n">
        <v>0</v>
      </c>
      <c r="O440" t="n">
        <v>0</v>
      </c>
      <c r="P440" t="n">
        <v>0</v>
      </c>
      <c r="Q440" t="n">
        <v>0</v>
      </c>
      <c r="R440" s="2" t="inlineStr"/>
    </row>
    <row r="441" ht="15" customHeight="1">
      <c r="A441" t="inlineStr">
        <is>
          <t>A 13728-2021</t>
        </is>
      </c>
      <c r="B441" s="1" t="n">
        <v>44274</v>
      </c>
      <c r="C441" s="1" t="n">
        <v>45844</v>
      </c>
      <c r="D441" t="inlineStr">
        <is>
          <t>NORRBOTTENS LÄN</t>
        </is>
      </c>
      <c r="E441" t="inlineStr">
        <is>
          <t>BODEN</t>
        </is>
      </c>
      <c r="G441" t="n">
        <v>10</v>
      </c>
      <c r="H441" t="n">
        <v>0</v>
      </c>
      <c r="I441" t="n">
        <v>0</v>
      </c>
      <c r="J441" t="n">
        <v>0</v>
      </c>
      <c r="K441" t="n">
        <v>0</v>
      </c>
      <c r="L441" t="n">
        <v>0</v>
      </c>
      <c r="M441" t="n">
        <v>0</v>
      </c>
      <c r="N441" t="n">
        <v>0</v>
      </c>
      <c r="O441" t="n">
        <v>0</v>
      </c>
      <c r="P441" t="n">
        <v>0</v>
      </c>
      <c r="Q441" t="n">
        <v>0</v>
      </c>
      <c r="R441" s="2" t="inlineStr"/>
    </row>
    <row r="442" ht="15" customHeight="1">
      <c r="A442" t="inlineStr">
        <is>
          <t>A 13734-2021</t>
        </is>
      </c>
      <c r="B442" s="1" t="n">
        <v>44274</v>
      </c>
      <c r="C442" s="1" t="n">
        <v>45844</v>
      </c>
      <c r="D442" t="inlineStr">
        <is>
          <t>NORRBOTTENS LÄN</t>
        </is>
      </c>
      <c r="E442" t="inlineStr">
        <is>
          <t>BODEN</t>
        </is>
      </c>
      <c r="G442" t="n">
        <v>2.3</v>
      </c>
      <c r="H442" t="n">
        <v>0</v>
      </c>
      <c r="I442" t="n">
        <v>0</v>
      </c>
      <c r="J442" t="n">
        <v>0</v>
      </c>
      <c r="K442" t="n">
        <v>0</v>
      </c>
      <c r="L442" t="n">
        <v>0</v>
      </c>
      <c r="M442" t="n">
        <v>0</v>
      </c>
      <c r="N442" t="n">
        <v>0</v>
      </c>
      <c r="O442" t="n">
        <v>0</v>
      </c>
      <c r="P442" t="n">
        <v>0</v>
      </c>
      <c r="Q442" t="n">
        <v>0</v>
      </c>
      <c r="R442" s="2" t="inlineStr"/>
    </row>
    <row r="443" ht="15" customHeight="1">
      <c r="A443" t="inlineStr">
        <is>
          <t>A 13744-2021</t>
        </is>
      </c>
      <c r="B443" s="1" t="n">
        <v>44274</v>
      </c>
      <c r="C443" s="1" t="n">
        <v>45844</v>
      </c>
      <c r="D443" t="inlineStr">
        <is>
          <t>NORRBOTTENS LÄN</t>
        </is>
      </c>
      <c r="E443" t="inlineStr">
        <is>
          <t>BODEN</t>
        </is>
      </c>
      <c r="G443" t="n">
        <v>1.5</v>
      </c>
      <c r="H443" t="n">
        <v>0</v>
      </c>
      <c r="I443" t="n">
        <v>0</v>
      </c>
      <c r="J443" t="n">
        <v>0</v>
      </c>
      <c r="K443" t="n">
        <v>0</v>
      </c>
      <c r="L443" t="n">
        <v>0</v>
      </c>
      <c r="M443" t="n">
        <v>0</v>
      </c>
      <c r="N443" t="n">
        <v>0</v>
      </c>
      <c r="O443" t="n">
        <v>0</v>
      </c>
      <c r="P443" t="n">
        <v>0</v>
      </c>
      <c r="Q443" t="n">
        <v>0</v>
      </c>
      <c r="R443" s="2" t="inlineStr"/>
    </row>
    <row r="444" ht="15" customHeight="1">
      <c r="A444" t="inlineStr">
        <is>
          <t>A 15491-2021</t>
        </is>
      </c>
      <c r="B444" s="1" t="n">
        <v>44274</v>
      </c>
      <c r="C444" s="1" t="n">
        <v>45844</v>
      </c>
      <c r="D444" t="inlineStr">
        <is>
          <t>NORRBOTTENS LÄN</t>
        </is>
      </c>
      <c r="E444" t="inlineStr">
        <is>
          <t>BODEN</t>
        </is>
      </c>
      <c r="G444" t="n">
        <v>1</v>
      </c>
      <c r="H444" t="n">
        <v>0</v>
      </c>
      <c r="I444" t="n">
        <v>0</v>
      </c>
      <c r="J444" t="n">
        <v>0</v>
      </c>
      <c r="K444" t="n">
        <v>0</v>
      </c>
      <c r="L444" t="n">
        <v>0</v>
      </c>
      <c r="M444" t="n">
        <v>0</v>
      </c>
      <c r="N444" t="n">
        <v>0</v>
      </c>
      <c r="O444" t="n">
        <v>0</v>
      </c>
      <c r="P444" t="n">
        <v>0</v>
      </c>
      <c r="Q444" t="n">
        <v>0</v>
      </c>
      <c r="R444" s="2" t="inlineStr"/>
    </row>
    <row r="445" ht="15" customHeight="1">
      <c r="A445" t="inlineStr">
        <is>
          <t>A 13657-2021</t>
        </is>
      </c>
      <c r="B445" s="1" t="n">
        <v>44274</v>
      </c>
      <c r="C445" s="1" t="n">
        <v>45844</v>
      </c>
      <c r="D445" t="inlineStr">
        <is>
          <t>NORRBOTTENS LÄN</t>
        </is>
      </c>
      <c r="E445" t="inlineStr">
        <is>
          <t>BODEN</t>
        </is>
      </c>
      <c r="G445" t="n">
        <v>17.7</v>
      </c>
      <c r="H445" t="n">
        <v>0</v>
      </c>
      <c r="I445" t="n">
        <v>0</v>
      </c>
      <c r="J445" t="n">
        <v>0</v>
      </c>
      <c r="K445" t="n">
        <v>0</v>
      </c>
      <c r="L445" t="n">
        <v>0</v>
      </c>
      <c r="M445" t="n">
        <v>0</v>
      </c>
      <c r="N445" t="n">
        <v>0</v>
      </c>
      <c r="O445" t="n">
        <v>0</v>
      </c>
      <c r="P445" t="n">
        <v>0</v>
      </c>
      <c r="Q445" t="n">
        <v>0</v>
      </c>
      <c r="R445" s="2" t="inlineStr"/>
    </row>
    <row r="446" ht="15" customHeight="1">
      <c r="A446" t="inlineStr">
        <is>
          <t>A 13740-2021</t>
        </is>
      </c>
      <c r="B446" s="1" t="n">
        <v>44274</v>
      </c>
      <c r="C446" s="1" t="n">
        <v>45844</v>
      </c>
      <c r="D446" t="inlineStr">
        <is>
          <t>NORRBOTTENS LÄN</t>
        </is>
      </c>
      <c r="E446" t="inlineStr">
        <is>
          <t>BODEN</t>
        </is>
      </c>
      <c r="G446" t="n">
        <v>2.3</v>
      </c>
      <c r="H446" t="n">
        <v>0</v>
      </c>
      <c r="I446" t="n">
        <v>0</v>
      </c>
      <c r="J446" t="n">
        <v>0</v>
      </c>
      <c r="K446" t="n">
        <v>0</v>
      </c>
      <c r="L446" t="n">
        <v>0</v>
      </c>
      <c r="M446" t="n">
        <v>0</v>
      </c>
      <c r="N446" t="n">
        <v>0</v>
      </c>
      <c r="O446" t="n">
        <v>0</v>
      </c>
      <c r="P446" t="n">
        <v>0</v>
      </c>
      <c r="Q446" t="n">
        <v>0</v>
      </c>
      <c r="R446" s="2" t="inlineStr"/>
    </row>
    <row r="447" ht="15" customHeight="1">
      <c r="A447" t="inlineStr">
        <is>
          <t>A 14340-2021</t>
        </is>
      </c>
      <c r="B447" s="1" t="n">
        <v>44279</v>
      </c>
      <c r="C447" s="1" t="n">
        <v>45844</v>
      </c>
      <c r="D447" t="inlineStr">
        <is>
          <t>NORRBOTTENS LÄN</t>
        </is>
      </c>
      <c r="E447" t="inlineStr">
        <is>
          <t>BODEN</t>
        </is>
      </c>
      <c r="G447" t="n">
        <v>3.2</v>
      </c>
      <c r="H447" t="n">
        <v>0</v>
      </c>
      <c r="I447" t="n">
        <v>0</v>
      </c>
      <c r="J447" t="n">
        <v>0</v>
      </c>
      <c r="K447" t="n">
        <v>0</v>
      </c>
      <c r="L447" t="n">
        <v>0</v>
      </c>
      <c r="M447" t="n">
        <v>0</v>
      </c>
      <c r="N447" t="n">
        <v>0</v>
      </c>
      <c r="O447" t="n">
        <v>0</v>
      </c>
      <c r="P447" t="n">
        <v>0</v>
      </c>
      <c r="Q447" t="n">
        <v>0</v>
      </c>
      <c r="R447" s="2" t="inlineStr"/>
    </row>
    <row r="448" ht="15" customHeight="1">
      <c r="A448" t="inlineStr">
        <is>
          <t>A 14380-2021</t>
        </is>
      </c>
      <c r="B448" s="1" t="n">
        <v>44279</v>
      </c>
      <c r="C448" s="1" t="n">
        <v>45844</v>
      </c>
      <c r="D448" t="inlineStr">
        <is>
          <t>NORRBOTTENS LÄN</t>
        </is>
      </c>
      <c r="E448" t="inlineStr">
        <is>
          <t>BODEN</t>
        </is>
      </c>
      <c r="G448" t="n">
        <v>2</v>
      </c>
      <c r="H448" t="n">
        <v>0</v>
      </c>
      <c r="I448" t="n">
        <v>0</v>
      </c>
      <c r="J448" t="n">
        <v>0</v>
      </c>
      <c r="K448" t="n">
        <v>0</v>
      </c>
      <c r="L448" t="n">
        <v>0</v>
      </c>
      <c r="M448" t="n">
        <v>0</v>
      </c>
      <c r="N448" t="n">
        <v>0</v>
      </c>
      <c r="O448" t="n">
        <v>0</v>
      </c>
      <c r="P448" t="n">
        <v>0</v>
      </c>
      <c r="Q448" t="n">
        <v>0</v>
      </c>
      <c r="R448" s="2" t="inlineStr"/>
    </row>
    <row r="449" ht="15" customHeight="1">
      <c r="A449" t="inlineStr">
        <is>
          <t>A 15159-2021</t>
        </is>
      </c>
      <c r="B449" s="1" t="n">
        <v>44284</v>
      </c>
      <c r="C449" s="1" t="n">
        <v>45844</v>
      </c>
      <c r="D449" t="inlineStr">
        <is>
          <t>NORRBOTTENS LÄN</t>
        </is>
      </c>
      <c r="E449" t="inlineStr">
        <is>
          <t>BODEN</t>
        </is>
      </c>
      <c r="F449" t="inlineStr">
        <is>
          <t>Övriga statliga verk och myndigheter</t>
        </is>
      </c>
      <c r="G449" t="n">
        <v>12.5</v>
      </c>
      <c r="H449" t="n">
        <v>0</v>
      </c>
      <c r="I449" t="n">
        <v>0</v>
      </c>
      <c r="J449" t="n">
        <v>0</v>
      </c>
      <c r="K449" t="n">
        <v>0</v>
      </c>
      <c r="L449" t="n">
        <v>0</v>
      </c>
      <c r="M449" t="n">
        <v>0</v>
      </c>
      <c r="N449" t="n">
        <v>0</v>
      </c>
      <c r="O449" t="n">
        <v>0</v>
      </c>
      <c r="P449" t="n">
        <v>0</v>
      </c>
      <c r="Q449" t="n">
        <v>0</v>
      </c>
      <c r="R449" s="2" t="inlineStr"/>
    </row>
    <row r="450" ht="15" customHeight="1">
      <c r="A450" t="inlineStr">
        <is>
          <t>A 15880-2021</t>
        </is>
      </c>
      <c r="B450" s="1" t="n">
        <v>44286</v>
      </c>
      <c r="C450" s="1" t="n">
        <v>45844</v>
      </c>
      <c r="D450" t="inlineStr">
        <is>
          <t>NORRBOTTENS LÄN</t>
        </is>
      </c>
      <c r="E450" t="inlineStr">
        <is>
          <t>BODEN</t>
        </is>
      </c>
      <c r="G450" t="n">
        <v>7.9</v>
      </c>
      <c r="H450" t="n">
        <v>0</v>
      </c>
      <c r="I450" t="n">
        <v>0</v>
      </c>
      <c r="J450" t="n">
        <v>0</v>
      </c>
      <c r="K450" t="n">
        <v>0</v>
      </c>
      <c r="L450" t="n">
        <v>0</v>
      </c>
      <c r="M450" t="n">
        <v>0</v>
      </c>
      <c r="N450" t="n">
        <v>0</v>
      </c>
      <c r="O450" t="n">
        <v>0</v>
      </c>
      <c r="P450" t="n">
        <v>0</v>
      </c>
      <c r="Q450" t="n">
        <v>0</v>
      </c>
      <c r="R450" s="2" t="inlineStr"/>
    </row>
    <row r="451" ht="15" customHeight="1">
      <c r="A451" t="inlineStr">
        <is>
          <t>A 15885-2021</t>
        </is>
      </c>
      <c r="B451" s="1" t="n">
        <v>44286</v>
      </c>
      <c r="C451" s="1" t="n">
        <v>45844</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15884-2021</t>
        </is>
      </c>
      <c r="B452" s="1" t="n">
        <v>44286</v>
      </c>
      <c r="C452" s="1" t="n">
        <v>45844</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16213-2021</t>
        </is>
      </c>
      <c r="B453" s="1" t="n">
        <v>44292</v>
      </c>
      <c r="C453" s="1" t="n">
        <v>45844</v>
      </c>
      <c r="D453" t="inlineStr">
        <is>
          <t>NORRBOTTENS LÄN</t>
        </is>
      </c>
      <c r="E453" t="inlineStr">
        <is>
          <t>BODEN</t>
        </is>
      </c>
      <c r="G453" t="n">
        <v>21.2</v>
      </c>
      <c r="H453" t="n">
        <v>0</v>
      </c>
      <c r="I453" t="n">
        <v>0</v>
      </c>
      <c r="J453" t="n">
        <v>0</v>
      </c>
      <c r="K453" t="n">
        <v>0</v>
      </c>
      <c r="L453" t="n">
        <v>0</v>
      </c>
      <c r="M453" t="n">
        <v>0</v>
      </c>
      <c r="N453" t="n">
        <v>0</v>
      </c>
      <c r="O453" t="n">
        <v>0</v>
      </c>
      <c r="P453" t="n">
        <v>0</v>
      </c>
      <c r="Q453" t="n">
        <v>0</v>
      </c>
      <c r="R453" s="2" t="inlineStr"/>
    </row>
    <row r="454" ht="15" customHeight="1">
      <c r="A454" t="inlineStr">
        <is>
          <t>A 16554-2021</t>
        </is>
      </c>
      <c r="B454" s="1" t="n">
        <v>44293</v>
      </c>
      <c r="C454" s="1" t="n">
        <v>45844</v>
      </c>
      <c r="D454" t="inlineStr">
        <is>
          <t>NORRBOTTENS LÄN</t>
        </is>
      </c>
      <c r="E454" t="inlineStr">
        <is>
          <t>BODEN</t>
        </is>
      </c>
      <c r="F454" t="inlineStr">
        <is>
          <t>Övriga statliga verk och myndigheter</t>
        </is>
      </c>
      <c r="G454" t="n">
        <v>2.5</v>
      </c>
      <c r="H454" t="n">
        <v>0</v>
      </c>
      <c r="I454" t="n">
        <v>0</v>
      </c>
      <c r="J454" t="n">
        <v>0</v>
      </c>
      <c r="K454" t="n">
        <v>0</v>
      </c>
      <c r="L454" t="n">
        <v>0</v>
      </c>
      <c r="M454" t="n">
        <v>0</v>
      </c>
      <c r="N454" t="n">
        <v>0</v>
      </c>
      <c r="O454" t="n">
        <v>0</v>
      </c>
      <c r="P454" t="n">
        <v>0</v>
      </c>
      <c r="Q454" t="n">
        <v>0</v>
      </c>
      <c r="R454" s="2" t="inlineStr"/>
    </row>
    <row r="455" ht="15" customHeight="1">
      <c r="A455" t="inlineStr">
        <is>
          <t>A 17313-2021</t>
        </is>
      </c>
      <c r="B455" s="1" t="n">
        <v>44298</v>
      </c>
      <c r="C455" s="1" t="n">
        <v>45844</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17597-2021</t>
        </is>
      </c>
      <c r="B456" s="1" t="n">
        <v>44299</v>
      </c>
      <c r="C456" s="1" t="n">
        <v>45844</v>
      </c>
      <c r="D456" t="inlineStr">
        <is>
          <t>NORRBOTTENS LÄN</t>
        </is>
      </c>
      <c r="E456" t="inlineStr">
        <is>
          <t>BODEN</t>
        </is>
      </c>
      <c r="G456" t="n">
        <v>2.1</v>
      </c>
      <c r="H456" t="n">
        <v>0</v>
      </c>
      <c r="I456" t="n">
        <v>0</v>
      </c>
      <c r="J456" t="n">
        <v>0</v>
      </c>
      <c r="K456" t="n">
        <v>0</v>
      </c>
      <c r="L456" t="n">
        <v>0</v>
      </c>
      <c r="M456" t="n">
        <v>0</v>
      </c>
      <c r="N456" t="n">
        <v>0</v>
      </c>
      <c r="O456" t="n">
        <v>0</v>
      </c>
      <c r="P456" t="n">
        <v>0</v>
      </c>
      <c r="Q456" t="n">
        <v>0</v>
      </c>
      <c r="R456" s="2" t="inlineStr"/>
    </row>
    <row r="457" ht="15" customHeight="1">
      <c r="A457" t="inlineStr">
        <is>
          <t>A 17980-2021</t>
        </is>
      </c>
      <c r="B457" s="1" t="n">
        <v>44301</v>
      </c>
      <c r="C457" s="1" t="n">
        <v>45844</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20738-2021</t>
        </is>
      </c>
      <c r="B458" s="1" t="n">
        <v>44313</v>
      </c>
      <c r="C458" s="1" t="n">
        <v>45844</v>
      </c>
      <c r="D458" t="inlineStr">
        <is>
          <t>NORRBOTTENS LÄN</t>
        </is>
      </c>
      <c r="E458" t="inlineStr">
        <is>
          <t>BODEN</t>
        </is>
      </c>
      <c r="G458" t="n">
        <v>1.9</v>
      </c>
      <c r="H458" t="n">
        <v>0</v>
      </c>
      <c r="I458" t="n">
        <v>0</v>
      </c>
      <c r="J458" t="n">
        <v>0</v>
      </c>
      <c r="K458" t="n">
        <v>0</v>
      </c>
      <c r="L458" t="n">
        <v>0</v>
      </c>
      <c r="M458" t="n">
        <v>0</v>
      </c>
      <c r="N458" t="n">
        <v>0</v>
      </c>
      <c r="O458" t="n">
        <v>0</v>
      </c>
      <c r="P458" t="n">
        <v>0</v>
      </c>
      <c r="Q458" t="n">
        <v>0</v>
      </c>
      <c r="R458" s="2" t="inlineStr"/>
    </row>
    <row r="459" ht="15" customHeight="1">
      <c r="A459" t="inlineStr">
        <is>
          <t>A 20756-2021</t>
        </is>
      </c>
      <c r="B459" s="1" t="n">
        <v>44313</v>
      </c>
      <c r="C459" s="1" t="n">
        <v>45844</v>
      </c>
      <c r="D459" t="inlineStr">
        <is>
          <t>NORRBOTTENS LÄN</t>
        </is>
      </c>
      <c r="E459" t="inlineStr">
        <is>
          <t>BODEN</t>
        </is>
      </c>
      <c r="G459" t="n">
        <v>5.8</v>
      </c>
      <c r="H459" t="n">
        <v>0</v>
      </c>
      <c r="I459" t="n">
        <v>0</v>
      </c>
      <c r="J459" t="n">
        <v>0</v>
      </c>
      <c r="K459" t="n">
        <v>0</v>
      </c>
      <c r="L459" t="n">
        <v>0</v>
      </c>
      <c r="M459" t="n">
        <v>0</v>
      </c>
      <c r="N459" t="n">
        <v>0</v>
      </c>
      <c r="O459" t="n">
        <v>0</v>
      </c>
      <c r="P459" t="n">
        <v>0</v>
      </c>
      <c r="Q459" t="n">
        <v>0</v>
      </c>
      <c r="R459" s="2" t="inlineStr"/>
    </row>
    <row r="460" ht="15" customHeight="1">
      <c r="A460" t="inlineStr">
        <is>
          <t>A 20753-2021</t>
        </is>
      </c>
      <c r="B460" s="1" t="n">
        <v>44313</v>
      </c>
      <c r="C460" s="1" t="n">
        <v>45844</v>
      </c>
      <c r="D460" t="inlineStr">
        <is>
          <t>NORRBOTTENS LÄN</t>
        </is>
      </c>
      <c r="E460" t="inlineStr">
        <is>
          <t>BODEN</t>
        </is>
      </c>
      <c r="G460" t="n">
        <v>2.4</v>
      </c>
      <c r="H460" t="n">
        <v>0</v>
      </c>
      <c r="I460" t="n">
        <v>0</v>
      </c>
      <c r="J460" t="n">
        <v>0</v>
      </c>
      <c r="K460" t="n">
        <v>0</v>
      </c>
      <c r="L460" t="n">
        <v>0</v>
      </c>
      <c r="M460" t="n">
        <v>0</v>
      </c>
      <c r="N460" t="n">
        <v>0</v>
      </c>
      <c r="O460" t="n">
        <v>0</v>
      </c>
      <c r="P460" t="n">
        <v>0</v>
      </c>
      <c r="Q460" t="n">
        <v>0</v>
      </c>
      <c r="R460" s="2" t="inlineStr"/>
    </row>
    <row r="461" ht="15" customHeight="1">
      <c r="A461" t="inlineStr">
        <is>
          <t>A 20754-2021</t>
        </is>
      </c>
      <c r="B461" s="1" t="n">
        <v>44313</v>
      </c>
      <c r="C461" s="1" t="n">
        <v>45844</v>
      </c>
      <c r="D461" t="inlineStr">
        <is>
          <t>NORRBOTTENS LÄN</t>
        </is>
      </c>
      <c r="E461" t="inlineStr">
        <is>
          <t>BODEN</t>
        </is>
      </c>
      <c r="G461" t="n">
        <v>2.2</v>
      </c>
      <c r="H461" t="n">
        <v>0</v>
      </c>
      <c r="I461" t="n">
        <v>0</v>
      </c>
      <c r="J461" t="n">
        <v>0</v>
      </c>
      <c r="K461" t="n">
        <v>0</v>
      </c>
      <c r="L461" t="n">
        <v>0</v>
      </c>
      <c r="M461" t="n">
        <v>0</v>
      </c>
      <c r="N461" t="n">
        <v>0</v>
      </c>
      <c r="O461" t="n">
        <v>0</v>
      </c>
      <c r="P461" t="n">
        <v>0</v>
      </c>
      <c r="Q461" t="n">
        <v>0</v>
      </c>
      <c r="R461" s="2" t="inlineStr"/>
    </row>
    <row r="462" ht="15" customHeight="1">
      <c r="A462" t="inlineStr">
        <is>
          <t>A 20752-2021</t>
        </is>
      </c>
      <c r="B462" s="1" t="n">
        <v>44313</v>
      </c>
      <c r="C462" s="1" t="n">
        <v>45844</v>
      </c>
      <c r="D462" t="inlineStr">
        <is>
          <t>NORRBOTTENS LÄN</t>
        </is>
      </c>
      <c r="E462" t="inlineStr">
        <is>
          <t>BODEN</t>
        </is>
      </c>
      <c r="G462" t="n">
        <v>9</v>
      </c>
      <c r="H462" t="n">
        <v>0</v>
      </c>
      <c r="I462" t="n">
        <v>0</v>
      </c>
      <c r="J462" t="n">
        <v>0</v>
      </c>
      <c r="K462" t="n">
        <v>0</v>
      </c>
      <c r="L462" t="n">
        <v>0</v>
      </c>
      <c r="M462" t="n">
        <v>0</v>
      </c>
      <c r="N462" t="n">
        <v>0</v>
      </c>
      <c r="O462" t="n">
        <v>0</v>
      </c>
      <c r="P462" t="n">
        <v>0</v>
      </c>
      <c r="Q462" t="n">
        <v>0</v>
      </c>
      <c r="R462" s="2" t="inlineStr"/>
    </row>
    <row r="463" ht="15" customHeight="1">
      <c r="A463" t="inlineStr">
        <is>
          <t>A 21861-2021</t>
        </is>
      </c>
      <c r="B463" s="1" t="n">
        <v>44322</v>
      </c>
      <c r="C463" s="1" t="n">
        <v>45844</v>
      </c>
      <c r="D463" t="inlineStr">
        <is>
          <t>NORRBOTTENS LÄN</t>
        </is>
      </c>
      <c r="E463" t="inlineStr">
        <is>
          <t>BODEN</t>
        </is>
      </c>
      <c r="G463" t="n">
        <v>34.6</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45844</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45844</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45844</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45844</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45844</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45844</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45844</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45844</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45844</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45844</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45844</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45844</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45844</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45844</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45844</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45844</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45844</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45844</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45844</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45844</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45844</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45844</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45844</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45844</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45844</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45844</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45844</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45844</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45844</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45844</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45844</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45844</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45844</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45844</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45844</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45844</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45844</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45844</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45844</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45844</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45844</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45844</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45844</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45844</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45844</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45844</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45844</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45844</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45844</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45844</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45844</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45844</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45844</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45844</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45844</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45844</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45844</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45844</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45844</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45844</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45844</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45844</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45844</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45844</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45844</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45844</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45844</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45844</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45844</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45844</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45844</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45844</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45844</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45844</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45844</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45844</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45844</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45844</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45844</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45844</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45844</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45844</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45844</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45844</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45844</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45844</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45844</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45844</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45844</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45844</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45844</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45844</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45844</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45844</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45844</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45844</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45844</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45844</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45844</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45844</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45844</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45844</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45844</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45844</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45844</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45844</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45844</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45844</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45844</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45844</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45844</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45844</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45844</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45844</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45844</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45844</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45844</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45844</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45844</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45844</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45844</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45844</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45844</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45844</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45844</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45844</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45844</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45844</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45844</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45844</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45844</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45844</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45844</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45844</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45844</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45844</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45844</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45844</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45844</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45844</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45844</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45844</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45844</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45844</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45844</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45844</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45844</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45844</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45844</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45844</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45844</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45844</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45844</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45844</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45844</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45844</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45844</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45844</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45844</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45844</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45844</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45844</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45844</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45844</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45844</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45844</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45844</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45844</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45844</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45844</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45844</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45844</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45844</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45844</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45844</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45844</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45844</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45844</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45844</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45844</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45844</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45844</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45844</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45844</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45844</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45844</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45844</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45844</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45844</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45844</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45844</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45844</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45844</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45844</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45844</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45844</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45844</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45844</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45844</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45844</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45844</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45844</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45844</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45844</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45844</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45844</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45844</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45844</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45844</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45844</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45844</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45844</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45844</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45844</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45844</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45844</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45844</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45844</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45844</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45844</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45844</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45844</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45844</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45844</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45844</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45844</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45844</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45844</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45844</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45844</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45844</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45844</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45844</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45844</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45844</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45844</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45844</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45844</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45844</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45844</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45844</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45844</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45844</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45844</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45844</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45844</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45844</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45844</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45844</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45844</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45844</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45844</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45844</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45844</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45844</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45844</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45844</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45844</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45844</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45844</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45844</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45844</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45844</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45844</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45844</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45844</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45844</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45844</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45844</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45844</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45844</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45844</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45844</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45844</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45844</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45844</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45844</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45844</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45844</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45844</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45844</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45844</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45844</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45844</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45844</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45844</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45844</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45844</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45844</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45844</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45844</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45844</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45844</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45844</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45844</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45844</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45844</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45844</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45844</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45844</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45844</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45844</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45844</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45844</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45844</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45844</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45844</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45844</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45844</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45844</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45844</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45844</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45844</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45844</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45844</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45844</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45844</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45844</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45844</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45844</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45844</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45844</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45844</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45844</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45844</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45844</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45844</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45844</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45844</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45844</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45844</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45844</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45844</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45844</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45844</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45844</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45844</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45844</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45844</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45844</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45844</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45844</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45844</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45844</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45844</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45844</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45844</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45844</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45844</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45844</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45844</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45844</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45844</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45844</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45844</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45844</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45844</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45844</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45844</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45844</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45844</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45844</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45844</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45844</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45844</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45844</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45844</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45844</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45844</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45844</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45844</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45844</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45844</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45844</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45844</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45844</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45844</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45844</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45844</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45844</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45844</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45844</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45844</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45844</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45844</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45844</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45844</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45844</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45844</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45844</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45844</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45844</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45844</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45844</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45844</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45844</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45844</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45844</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45844</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45844</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45844</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45844</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45844</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45844</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45844</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45844</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45844</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45844</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45844</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45844</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45844</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45844</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45844</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45844</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45844</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45844</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45844</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45844</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45844</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45844</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45844</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45844</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45844</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45844</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45844</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45844</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45844</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45844</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45844</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45844</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45844</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45844</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45844</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45844</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45844</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45844</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45844</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45844</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45844</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45844</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45844</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45844</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45844</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45844</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45844</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45844</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45844</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45844</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45844</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45844</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45844</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45844</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45844</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45844</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45844</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45844</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45844</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45844</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45844</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45844</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45844</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45844</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45844</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45844</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45844</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45844</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45844</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45844</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45844</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45844</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45844</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45844</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45844</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45844</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45844</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45844</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45844</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45844</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45844</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45844</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45844</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45844</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45844</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45844</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45844</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45844</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45844</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45844</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45844</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45844</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45844</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45844</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45844</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45844</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45844</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45844</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45844</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45844</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45844</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45844</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45844</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45844</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45844</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45844</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45844</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45844</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45844</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45844</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45844</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45844</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45844</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45844</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45844</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45844</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45844</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45844</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45844</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45844</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45844</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45844</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45844</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45844</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45844</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45844</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45844</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45844</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45844</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45844</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45844</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45844</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45844</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45844</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45844</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45844</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45844</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45844</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45844</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45844</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45844</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45844</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45844</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45844</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45844</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45844</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45844</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45844</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45844</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45844</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45844</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45844</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45844</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45844</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45844</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45844</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45844</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45844</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45844</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45844</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45844</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45844</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45844</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45844</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45844</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45844</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45844</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45844</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45844</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45844</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45844</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45844</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45844</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45844</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45844</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45844</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45844</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45844</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45844</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45844</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45844</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45844</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45844</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45844</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45844</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45844</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45844</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45844</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45844</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45844</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45844</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45844</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45844</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45844</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45844</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45844</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45844</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45844</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45844</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45844</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45844</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45844</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45844</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45844</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45844</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45844</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45844</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45844</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45844</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45844</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45844</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45844</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45844</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45844</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45844</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45844</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45844</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45844</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45844</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45844</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45844</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45844</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45844</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45844</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45844</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45844</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45844</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45844</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45844</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45844</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45844</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45844</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45844</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45844</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45844</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45844</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45844</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45844</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45844</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45844</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45844</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45844</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45844</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45844</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45844</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45844</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45844</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45844</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45844</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45844</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45844</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45844</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45844</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45844</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45844</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45844</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45844</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45844</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45844</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45844</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45844</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45844</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45844</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45844</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45844</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45844</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45844</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45844</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45844</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45844</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45844</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45844</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45844</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45844</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45844</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45844</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45844</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45844</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45844</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45844</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45844</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45844</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45844</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45844</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45844</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45844</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45844</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45844</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45844</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45844</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45844</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45844</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45844</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45844</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45844</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45844</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45844</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45844</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45844</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45844</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45844</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45844</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45844</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45844</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45844</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45844</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45844</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45844</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45844</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45844</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45844</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45844</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45844</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45844</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45844</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45844</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45844</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45844</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45844</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45844</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45844</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45844</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45844</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45844</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45844</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45844</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45844</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45844</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45844</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45844</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45844</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45844</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45844</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45844</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45844</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45844</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45844</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45844</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45844</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45844</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45844</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45844</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45844</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45844</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45844</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45844</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45844</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45844</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45844</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45844</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45844</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45844</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45844</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45844</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45844</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45844</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45844</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45844</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45844</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45844</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45844</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45844</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45844</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45844</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45844</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45844</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45844</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45844</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45844</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45844</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45844</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45844</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45844</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45844</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45844</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45844</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45844</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45844</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45844</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45844</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45844</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45844</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45844</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45844</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45844</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45844</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45844</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45844</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45844</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45844</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45844</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45844</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45844</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45844</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45844</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45844</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45844</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45844</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45844</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45844</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45844</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45844</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45844</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45844</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45844</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45844</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45844</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45844</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45844</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45844</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45844</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45844</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45844</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45844</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45844</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45844</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45844</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45844</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45844</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45844</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45844</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45844</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45844</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45844</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45844</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45844</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45844</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45844</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45844</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45844</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45844</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45844</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45844</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45844</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45844</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45844</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45844</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45844</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45844</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45844</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45844</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45844</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45844</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45844</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45844</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45844</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45844</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45844</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45844</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45844</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45844</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45844</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45844</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45844</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45844</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45844</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45844</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45844</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45844</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45844</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45844</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45844</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45844</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45844</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45844</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45844</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45844</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45844</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45844</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45844</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45844</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45844</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45844</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45844</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45844</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45844</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45844</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45844</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45844</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45844</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45844</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45844</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45844</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45844</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45844</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45844</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45844</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45844</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45844</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45844</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45844</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45844</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45844</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45844</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45844</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45844</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45844</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45844</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45844</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45844</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45844</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45844</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45844</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45844</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45844</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45844</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45844</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45844</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45844</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45844</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45844</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45844</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45844</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45844</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45844</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45844</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45844</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45844</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45844</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45844</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45844</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45844</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45844</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45844</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45844</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45844</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45844</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45844</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45844</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45844</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45844</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45844</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45844</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45844</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45844</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45844</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45844</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45844</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45844</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45844</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45844</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45844</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45844</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45844</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45844</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45844</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45844</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45844</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45844</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45844</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45844</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45844</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45844</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45844</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45844</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45844</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45844</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45844</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45844</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45844</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45844</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45844</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45844</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45844</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45844</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45844</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45844</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45844</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45844</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45844</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45844</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45844</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45844</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45844</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45844</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45844</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45844</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45844</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45844</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45844</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45844</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45844</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45844</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45844</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45844</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45844</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45844</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45844</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45844</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45844</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45844</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45844</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45844</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45844</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45844</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45844</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45844</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45844</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45844</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45844</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45844</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45844</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45844</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45844</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45844</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45844</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45844</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45844</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45844</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45844</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45844</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45844</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45844</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45844</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45844</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45844</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45844</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45844</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45844</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45844</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45844</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45844</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45844</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45844</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45844</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45844</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45844</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45844</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45844</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45844</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45844</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45844</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45844</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45844</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45844</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45844</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45844</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45844</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45844</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45844</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45844</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45844</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45844</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45844</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45844</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45844</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45844</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45844</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45844</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45844</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45844</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45844</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45844</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45844</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45844</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45844</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45844</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45844</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45844</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45844</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45844</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45844</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45844</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45844</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45844</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45844</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45844</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45844</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45844</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45844</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45844</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45844</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45844</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45844</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45844</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45844</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45844</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45844</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45844</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45844</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45844</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45844</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45844</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45844</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45844</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45844</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45844</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45844</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45844</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45844</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45844</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45844</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45844</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45844</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45844</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45844</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45844</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45844</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45844</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45844</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45844</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45844</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45844</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45844</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28270-2025</t>
        </is>
      </c>
      <c r="B1566" s="1" t="n">
        <v>45818</v>
      </c>
      <c r="C1566" s="1" t="n">
        <v>45844</v>
      </c>
      <c r="D1566" t="inlineStr">
        <is>
          <t>NORRBOTTENS LÄN</t>
        </is>
      </c>
      <c r="E1566" t="inlineStr">
        <is>
          <t>BODEN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28139-2025</t>
        </is>
      </c>
      <c r="B1567" s="1" t="n">
        <v>45818</v>
      </c>
      <c r="C1567" s="1" t="n">
        <v>45844</v>
      </c>
      <c r="D1567" t="inlineStr">
        <is>
          <t>NORRBOTTENS LÄN</t>
        </is>
      </c>
      <c r="E1567" t="inlineStr">
        <is>
          <t>BODEN</t>
        </is>
      </c>
      <c r="F1567" t="inlineStr">
        <is>
          <t>SCA</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45844</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45844</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45844</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45844</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45844</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29376-2025</t>
        </is>
      </c>
      <c r="B1573" s="1" t="n">
        <v>45824</v>
      </c>
      <c r="C1573" s="1" t="n">
        <v>45844</v>
      </c>
      <c r="D1573" t="inlineStr">
        <is>
          <t>NORRBOTTENS LÄN</t>
        </is>
      </c>
      <c r="E1573" t="inlineStr">
        <is>
          <t>BODEN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45844</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29450-2025</t>
        </is>
      </c>
      <c r="B1575" s="1" t="n">
        <v>45824</v>
      </c>
      <c r="C1575" s="1" t="n">
        <v>45844</v>
      </c>
      <c r="D1575" t="inlineStr">
        <is>
          <t>NORRBOTTENS LÄN</t>
        </is>
      </c>
      <c r="E1575" t="inlineStr">
        <is>
          <t>BODEN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45844</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45844</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45844</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30354-2025</t>
        </is>
      </c>
      <c r="B1579" s="1" t="n">
        <v>45827</v>
      </c>
      <c r="C1579" s="1" t="n">
        <v>45844</v>
      </c>
      <c r="D1579" t="inlineStr">
        <is>
          <t>NORRBOTTENS LÄN</t>
        </is>
      </c>
      <c r="E1579" t="inlineStr">
        <is>
          <t>BODEN</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30356-2025</t>
        </is>
      </c>
      <c r="B1580" s="1" t="n">
        <v>45827</v>
      </c>
      <c r="C1580" s="1" t="n">
        <v>45844</v>
      </c>
      <c r="D1580" t="inlineStr">
        <is>
          <t>NORRBOTTENS LÄN</t>
        </is>
      </c>
      <c r="E1580" t="inlineStr">
        <is>
          <t>BODEN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30360-2025</t>
        </is>
      </c>
      <c r="B1581" s="1" t="n">
        <v>45827</v>
      </c>
      <c r="C1581" s="1" t="n">
        <v>45844</v>
      </c>
      <c r="D1581" t="inlineStr">
        <is>
          <t>NORRBOTTENS LÄN</t>
        </is>
      </c>
      <c r="E1581" t="inlineStr">
        <is>
          <t>BODEN</t>
        </is>
      </c>
      <c r="F1581" t="inlineStr">
        <is>
          <t>Sveaskog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30765-2025</t>
        </is>
      </c>
      <c r="B1582" s="1" t="n">
        <v>45831</v>
      </c>
      <c r="C1582" s="1" t="n">
        <v>45844</v>
      </c>
      <c r="D1582" t="inlineStr">
        <is>
          <t>NORRBOTTENS LÄN</t>
        </is>
      </c>
      <c r="E1582" t="inlineStr">
        <is>
          <t>BODEN</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45844</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31020-2025</t>
        </is>
      </c>
      <c r="B1584" s="1" t="n">
        <v>45831</v>
      </c>
      <c r="C1584" s="1" t="n">
        <v>45844</v>
      </c>
      <c r="D1584" t="inlineStr">
        <is>
          <t>NORRBOTTENS LÄN</t>
        </is>
      </c>
      <c r="E1584" t="inlineStr">
        <is>
          <t>BODEN</t>
        </is>
      </c>
      <c r="G1584" t="n">
        <v>26.8</v>
      </c>
      <c r="H1584" t="n">
        <v>0</v>
      </c>
      <c r="I1584" t="n">
        <v>0</v>
      </c>
      <c r="J1584" t="n">
        <v>0</v>
      </c>
      <c r="K1584" t="n">
        <v>0</v>
      </c>
      <c r="L1584" t="n">
        <v>0</v>
      </c>
      <c r="M1584" t="n">
        <v>0</v>
      </c>
      <c r="N1584" t="n">
        <v>0</v>
      </c>
      <c r="O1584" t="n">
        <v>0</v>
      </c>
      <c r="P1584" t="n">
        <v>0</v>
      </c>
      <c r="Q1584" t="n">
        <v>0</v>
      </c>
      <c r="R1584" s="2" t="inlineStr"/>
    </row>
    <row r="1585" ht="15" customHeight="1">
      <c r="A1585" t="inlineStr">
        <is>
          <t>A 30700-2025</t>
        </is>
      </c>
      <c r="B1585" s="1" t="n">
        <v>45831</v>
      </c>
      <c r="C1585" s="1" t="n">
        <v>45844</v>
      </c>
      <c r="D1585" t="inlineStr">
        <is>
          <t>NORRBOTTENS LÄN</t>
        </is>
      </c>
      <c r="E1585" t="inlineStr">
        <is>
          <t>BODEN</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45844</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31195-2025</t>
        </is>
      </c>
      <c r="B1587" s="1" t="n">
        <v>45832</v>
      </c>
      <c r="C1587" s="1" t="n">
        <v>45844</v>
      </c>
      <c r="D1587" t="inlineStr">
        <is>
          <t>NORRBOTTENS LÄN</t>
        </is>
      </c>
      <c r="E1587" t="inlineStr">
        <is>
          <t>BODEN</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31200-2025</t>
        </is>
      </c>
      <c r="B1588" s="1" t="n">
        <v>45832</v>
      </c>
      <c r="C1588" s="1" t="n">
        <v>45844</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45844</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45844</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45844</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45844</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31834-2025</t>
        </is>
      </c>
      <c r="B1593" s="1" t="n">
        <v>45834</v>
      </c>
      <c r="C1593" s="1" t="n">
        <v>45844</v>
      </c>
      <c r="D1593" t="inlineStr">
        <is>
          <t>NORRBOTTENS LÄN</t>
        </is>
      </c>
      <c r="E1593" t="inlineStr">
        <is>
          <t>BODEN</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45844</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45844</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45844</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45844</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45844</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45844</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45844</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32991-2025</t>
        </is>
      </c>
      <c r="B1601" s="1" t="n">
        <v>45840</v>
      </c>
      <c r="C1601" s="1" t="n">
        <v>45844</v>
      </c>
      <c r="D1601" t="inlineStr">
        <is>
          <t>NORRBOTTENS LÄN</t>
        </is>
      </c>
      <c r="E1601" t="inlineStr">
        <is>
          <t>BODEN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33023-2025</t>
        </is>
      </c>
      <c r="B1602" s="1" t="n">
        <v>45840</v>
      </c>
      <c r="C1602" s="1" t="n">
        <v>45844</v>
      </c>
      <c r="D1602" t="inlineStr">
        <is>
          <t>NORRBOTTENS LÄN</t>
        </is>
      </c>
      <c r="E1602" t="inlineStr">
        <is>
          <t>BODEN</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33024-2025</t>
        </is>
      </c>
      <c r="B1603" s="1" t="n">
        <v>45840</v>
      </c>
      <c r="C1603" s="1" t="n">
        <v>45844</v>
      </c>
      <c r="D1603" t="inlineStr">
        <is>
          <t>NORRBOTTENS LÄN</t>
        </is>
      </c>
      <c r="E1603" t="inlineStr">
        <is>
          <t>BODEN</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33032-2025</t>
        </is>
      </c>
      <c r="B1604" s="1" t="n">
        <v>45840</v>
      </c>
      <c r="C1604" s="1" t="n">
        <v>45844</v>
      </c>
      <c r="D1604" t="inlineStr">
        <is>
          <t>NORRBOTTENS LÄN</t>
        </is>
      </c>
      <c r="E1604" t="inlineStr">
        <is>
          <t>BODEN</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33276-2025</t>
        </is>
      </c>
      <c r="B1605" s="1" t="n">
        <v>45840</v>
      </c>
      <c r="C1605" s="1" t="n">
        <v>45844</v>
      </c>
      <c r="D1605" t="inlineStr">
        <is>
          <t>NORRBOTTENS LÄN</t>
        </is>
      </c>
      <c r="E1605" t="inlineStr">
        <is>
          <t>BODEN</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33028-2025</t>
        </is>
      </c>
      <c r="B1606" s="1" t="n">
        <v>45840</v>
      </c>
      <c r="C1606" s="1" t="n">
        <v>45844</v>
      </c>
      <c r="D1606" t="inlineStr">
        <is>
          <t>NORRBOTTENS LÄN</t>
        </is>
      </c>
      <c r="E1606" t="inlineStr">
        <is>
          <t>BODEN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33175-2025</t>
        </is>
      </c>
      <c r="B1607" s="1" t="n">
        <v>45840</v>
      </c>
      <c r="C1607" s="1" t="n">
        <v>45844</v>
      </c>
      <c r="D1607" t="inlineStr">
        <is>
          <t>NORRBOTTENS LÄN</t>
        </is>
      </c>
      <c r="E1607" t="inlineStr">
        <is>
          <t>BODEN</t>
        </is>
      </c>
      <c r="F1607" t="inlineStr">
        <is>
          <t>Sveaskog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33038-2025</t>
        </is>
      </c>
      <c r="B1608" s="1" t="n">
        <v>45840</v>
      </c>
      <c r="C1608" s="1" t="n">
        <v>45844</v>
      </c>
      <c r="D1608" t="inlineStr">
        <is>
          <t>NORRBOTTENS LÄN</t>
        </is>
      </c>
      <c r="E1608" t="inlineStr">
        <is>
          <t>BODEN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33130-2025</t>
        </is>
      </c>
      <c r="B1609" s="1" t="n">
        <v>45840</v>
      </c>
      <c r="C1609" s="1" t="n">
        <v>45844</v>
      </c>
      <c r="D1609" t="inlineStr">
        <is>
          <t>NORRBOTTENS LÄN</t>
        </is>
      </c>
      <c r="E1609" t="inlineStr">
        <is>
          <t>BODEN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33504-2025</t>
        </is>
      </c>
      <c r="B1610" s="1" t="n">
        <v>45841</v>
      </c>
      <c r="C1610" s="1" t="n">
        <v>45844</v>
      </c>
      <c r="D1610" t="inlineStr">
        <is>
          <t>NORRBOTTENS LÄN</t>
        </is>
      </c>
      <c r="E1610" t="inlineStr">
        <is>
          <t>BODEN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33511-2025</t>
        </is>
      </c>
      <c r="B1611" s="1" t="n">
        <v>45841</v>
      </c>
      <c r="C1611" s="1" t="n">
        <v>45844</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45844</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c r="A1613" t="inlineStr">
        <is>
          <t>A 33981-2025</t>
        </is>
      </c>
      <c r="B1613" s="1" t="n">
        <v>45843</v>
      </c>
      <c r="C1613" s="1" t="n">
        <v>45844</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2025-07-06T19:25:51Z</dcterms:created>
  <dcterms:modified xmlns:dcterms="http://purl.org/dc/terms/" xmlns:xsi="http://www.w3.org/2001/XMLSchema-instance" xsi:type="dcterms:W3CDTF">2025-07-06T19:25:52Z</dcterms:modified>
</cp:coreProperties>
</file>