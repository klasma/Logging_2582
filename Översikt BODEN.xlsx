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46250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46250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46250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46250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46250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46250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46250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46250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51389-2022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46250</v>
      </c>
      <c r="F24" t="inlineStr">
        <is>
          <t>NORRBOTTENS LÄN</t>
        </is>
      </c>
      <c r="G24" t="inlineStr">
        <is>
          <t>BODEN</t>
        </is>
      </c>
      <c r="H24" t="inlineStr">
        <is>
          <t>Övriga statliga verk och myndigheter</t>
        </is>
      </c>
      <c r="I24" t="n">
        <v>15.6</v>
      </c>
      <c r="J24" t="n">
        <v>6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3</v>
      </c>
      <c r="V24" s="2" t="inlineStr">
        <is>
          <t>Pärluggla
Grönsångare
Talltita
Järpe
Tallbit
Orre</t>
        </is>
      </c>
      <c r="W24">
        <f>HYPERLINK("https://klasma.github.io/Logging_2582/artfynd/A 51389-2022 artfynd.xlsx", "A 51389-2022")</f>
        <v/>
      </c>
      <c r="X24">
        <f>HYPERLINK("https://klasma.github.io/Logging_2582/kartor/A 51389-2022 karta.png", "A 51389-2022")</f>
        <v/>
      </c>
      <c r="Y24">
        <f>HYPERLINK("https://klasma.github.io/Logging_2582/kartor_geotiff/A 51389-2022 georefererad karta.tif", "A 51389-2022")</f>
        <v/>
      </c>
      <c r="AA24">
        <f>HYPERLINK("https://klasma.github.io/Logging_2582/klagomål/A 51389-2022 FSC-klagomål.docx", "A 51389-2022")</f>
        <v/>
      </c>
      <c r="AB24">
        <f>HYPERLINK("https://klasma.github.io/Logging_2582/klagomålsmail/A 51389-2022 FSC-klagomål mail.docx", "A 51389-2022")</f>
        <v/>
      </c>
      <c r="AC24">
        <f>HYPERLINK("https://klasma.github.io/Logging_2582/tillsyn/A 51389-2022 tillsynsbegäran.docx", "A 51389-2022")</f>
        <v/>
      </c>
      <c r="AD24">
        <f>HYPERLINK("https://klasma.github.io/Logging_2582/tillsynsmail/A 51389-2022 tillsynsbegäran mail.docx", "A 51389-2022")</f>
        <v/>
      </c>
      <c r="AE24">
        <f>HYPERLINK("https://klasma.github.io/Logging_2582/fåglar/A 51389-2022 prioriterade fågelarter.docx", "A 51389-2022")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46250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46250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46250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46250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46250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46250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58902-2021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44489</v>
      </c>
      <c r="E31" s="1" t="n">
        <v>46250</v>
      </c>
      <c r="F31" t="inlineStr">
        <is>
          <t>NORRBOTTENS LÄN</t>
        </is>
      </c>
      <c r="G31" t="inlineStr">
        <is>
          <t>BODEN</t>
        </is>
      </c>
      <c r="I31" t="n">
        <v>4.5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Brunpudrad nållav
Enkelbeckasin
Gammelgransskål
Lunglav
Vedticka</t>
        </is>
      </c>
      <c r="W31">
        <f>HYPERLINK("https://klasma.github.io/Logging_2582/artfynd/A 58902-2021 artfynd.xlsx", "A 58902-2021")</f>
        <v/>
      </c>
      <c r="X31">
        <f>HYPERLINK("https://klasma.github.io/Logging_2582/kartor/A 58902-2021 karta.png", "A 58902-2021")</f>
        <v/>
      </c>
      <c r="Y31">
        <f>HYPERLINK("https://klasma.github.io/Logging_2582/kartor_geotiff/A 58902-2021 georefererad karta.tif", "A 58902-2021")</f>
        <v/>
      </c>
      <c r="AA31">
        <f>HYPERLINK("https://klasma.github.io/Logging_2582/klagomål/A 58902-2021 FSC-klagomål.docx", "A 58902-2021")</f>
        <v/>
      </c>
      <c r="AB31">
        <f>HYPERLINK("https://klasma.github.io/Logging_2582/klagomålsmail/A 58902-2021 FSC-klagomål mail.docx", "A 58902-2021")</f>
        <v/>
      </c>
      <c r="AC31">
        <f>HYPERLINK("https://klasma.github.io/Logging_2582/tillsyn/A 58902-2021 tillsynsbegäran.docx", "A 58902-2021")</f>
        <v/>
      </c>
      <c r="AD31">
        <f>HYPERLINK("https://klasma.github.io/Logging_2582/tillsynsmail/A 58902-2021 tillsynsbegäran mail.docx", "A 58902-2021")</f>
        <v/>
      </c>
      <c r="AE31">
        <f>HYPERLINK("https://klasma.github.io/Logging_2582/fåglar/A 58902-2021 prioriterade fågelarter.docx", "A 58902-2021")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46250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46250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Nötkråka
Talltita
Gråspett
Järpe
Spillkråka</t>
        </is>
      </c>
      <c r="W33">
        <f>HYPERLINK("https://klasma.github.io/Logging_2582/artfynd/A 39868-2025 artfynd.xlsx", "A 39868-2025")</f>
        <v/>
      </c>
      <c r="X33">
        <f>HYPERLINK("https://klasma.github.io/Logging_2582/kartor/A 39868-2025 karta.png", "A 39868-2025")</f>
        <v/>
      </c>
      <c r="Y33">
        <f>HYPERLINK("https://klasma.github.io/Logging_2582/kartor_geotiff/A 39868-2025 georefererad karta.tif", "A 39868-2025")</f>
        <v/>
      </c>
      <c r="AA33">
        <f>HYPERLINK("https://klasma.github.io/Logging_2582/klagomål/A 39868-2025 FSC-klagomål.docx", "A 39868-2025")</f>
        <v/>
      </c>
      <c r="AB33">
        <f>HYPERLINK("https://klasma.github.io/Logging_2582/klagomålsmail/A 39868-2025 FSC-klagomål mail.docx", "A 39868-2025")</f>
        <v/>
      </c>
      <c r="AC33">
        <f>HYPERLINK("https://klasma.github.io/Logging_2582/tillsyn/A 39868-2025 tillsynsbegäran.docx", "A 39868-2025")</f>
        <v/>
      </c>
      <c r="AD33">
        <f>HYPERLINK("https://klasma.github.io/Logging_2582/tillsynsmail/A 39868-2025 tillsynsbegäran mail.docx", "A 39868-2025")</f>
        <v/>
      </c>
      <c r="AE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46250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46250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46250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19324-2024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46250</v>
      </c>
      <c r="F37" t="inlineStr">
        <is>
          <t>NORRBOTTENS LÄN</t>
        </is>
      </c>
      <c r="G37" t="inlineStr">
        <is>
          <t>BODEN</t>
        </is>
      </c>
      <c r="I37" t="n">
        <v>3.8</v>
      </c>
      <c r="J37" t="n">
        <v>3</v>
      </c>
      <c r="K37" t="n">
        <v>1</v>
      </c>
      <c r="L37" t="n">
        <v>0</v>
      </c>
      <c r="M37" t="n">
        <v>2</v>
      </c>
      <c r="N37" t="n">
        <v>1</v>
      </c>
      <c r="O37" t="n">
        <v>0</v>
      </c>
      <c r="P37" t="n">
        <v>0</v>
      </c>
      <c r="Q37" t="n">
        <v>3</v>
      </c>
      <c r="R37" t="n">
        <v>3</v>
      </c>
      <c r="S37" t="n">
        <v>5</v>
      </c>
      <c r="T37" t="n">
        <v>6</v>
      </c>
      <c r="U37" t="n">
        <v>5</v>
      </c>
      <c r="V37" s="2" t="inlineStr">
        <is>
          <t>Bitter taggsvamp
Knärot
Norna
Ögonpyrola
Nattviol</t>
        </is>
      </c>
      <c r="W37">
        <f>HYPERLINK("https://klasma.github.io/Logging_2582/artfynd/A 19324-2024 artfynd.xlsx", "A 19324-2024")</f>
        <v/>
      </c>
      <c r="X37">
        <f>HYPERLINK("https://klasma.github.io/Logging_2582/kartor/A 19324-2024 karta.png", "A 19324-2024")</f>
        <v/>
      </c>
      <c r="Y37">
        <f>HYPERLINK("https://klasma.github.io/Logging_2582/kartor_geotiff/A 19324-2024 georefererad karta.tif", "A 19324-2024")</f>
        <v/>
      </c>
      <c r="Z37">
        <f>HYPERLINK("https://klasma.github.io/Logging_2582/knärot/A 19324-2024 karta knärot.png", "A 19324-2024")</f>
        <v/>
      </c>
      <c r="AA37">
        <f>HYPERLINK("https://klasma.github.io/Logging_2582/klagomål/A 19324-2024 FSC-klagomål.docx", "A 19324-2024")</f>
        <v/>
      </c>
      <c r="AB37">
        <f>HYPERLINK("https://klasma.github.io/Logging_2582/klagomålsmail/A 19324-2024 FSC-klagomål mail.docx", "A 19324-2024")</f>
        <v/>
      </c>
      <c r="AC37">
        <f>HYPERLINK("https://klasma.github.io/Logging_2582/tillsyn/A 19324-2024 tillsynsbegäran.docx", "A 19324-2024")</f>
        <v/>
      </c>
      <c r="AD37">
        <f>HYPERLINK("https://klasma.github.io/Logging_2582/tillsynsmail/A 19324-2024 tillsynsbegäran mail.docx", "A 19324-2024")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46250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46250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46250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46250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46250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46250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46250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29797-2022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44755</v>
      </c>
      <c r="E48" s="1" t="n">
        <v>46250</v>
      </c>
      <c r="F48" t="inlineStr">
        <is>
          <t>NORRBOTTENS LÄN</t>
        </is>
      </c>
      <c r="G48" t="inlineStr">
        <is>
          <t>BODEN</t>
        </is>
      </c>
      <c r="H48" t="inlineStr">
        <is>
          <t>Kyrkan</t>
        </is>
      </c>
      <c r="I48" t="n">
        <v>29.2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Vanlig groda
Vanlig padda
Revlummer</t>
        </is>
      </c>
      <c r="W48">
        <f>HYPERLINK("https://klasma.github.io/Logging_2582/artfynd/A 29797-2022 artfynd.xlsx", "A 29797-2022")</f>
        <v/>
      </c>
      <c r="X48">
        <f>HYPERLINK("https://klasma.github.io/Logging_2582/kartor/A 29797-2022 karta.png", "A 29797-2022")</f>
        <v/>
      </c>
      <c r="Y48">
        <f>HYPERLINK("https://klasma.github.io/Logging_2582/kartor_geotiff/A 29797-2022 georefererad karta.tif", "A 29797-2022")</f>
        <v/>
      </c>
      <c r="AA48">
        <f>HYPERLINK("https://klasma.github.io/Logging_2582/klagomål/A 29797-2022 FSC-klagomål.docx", "A 29797-2022")</f>
        <v/>
      </c>
      <c r="AB48">
        <f>HYPERLINK("https://klasma.github.io/Logging_2582/klagomålsmail/A 29797-2022 FSC-klagomål mail.docx", "A 29797-2022")</f>
        <v/>
      </c>
      <c r="AC48">
        <f>HYPERLINK("https://klasma.github.io/Logging_2582/tillsyn/A 29797-2022 tillsynsbegäran.docx", "A 29797-2022")</f>
        <v/>
      </c>
      <c r="AD48">
        <f>HYPERLINK("https://klasma.github.io/Logging_2582/tillsynsmail/A 29797-2022 tillsynsbegäran mail.docx", "A 29797-2022")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46250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46250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46250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46250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6118-2025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46250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3.7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14</v>
      </c>
      <c r="U54" t="n">
        <v>14</v>
      </c>
      <c r="V54" s="2" t="inlineStr">
        <is>
          <t>Garnlav
Tretåig hackspett
Spillkråka</t>
        </is>
      </c>
      <c r="W54">
        <f>HYPERLINK("https://klasma.github.io/Logging_2582/artfynd/A 6118-2025 artfynd.xlsx", "A 6118-2025")</f>
        <v/>
      </c>
      <c r="X54">
        <f>HYPERLINK("https://klasma.github.io/Logging_2582/kartor/A 6118-2025 karta.png", "A 6118-2025")</f>
        <v/>
      </c>
      <c r="Y54">
        <f>HYPERLINK("https://klasma.github.io/Logging_2582/kartor_geotiff/A 6118-2025 georefererad karta.tif", "A 6118-2025")</f>
        <v/>
      </c>
      <c r="AA54">
        <f>HYPERLINK("https://klasma.github.io/Logging_2582/klagomål/A 6118-2025 FSC-klagomål.docx", "A 6118-2025")</f>
        <v/>
      </c>
      <c r="AB54">
        <f>HYPERLINK("https://klasma.github.io/Logging_2582/klagomålsmail/A 6118-2025 FSC-klagomål mail.docx", "A 6118-2025")</f>
        <v/>
      </c>
      <c r="AC54">
        <f>HYPERLINK("https://klasma.github.io/Logging_2582/tillsyn/A 6118-2025 tillsynsbegäran.docx", "A 6118-2025")</f>
        <v/>
      </c>
      <c r="AD54">
        <f>HYPERLINK("https://klasma.github.io/Logging_2582/tillsynsmail/A 6118-2025 tillsynsbegäran mail.docx", "A 6118-2025")</f>
        <v/>
      </c>
      <c r="AE54">
        <f>HYPERLINK("https://klasma.github.io/Logging_2582/fåglar/A 6118-2025 prioriterade fågelarter.docx", "A 6118-2025")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46250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46250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46250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46250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28267-2025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46250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2.6</v>
      </c>
      <c r="J60" t="n">
        <v>2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3</v>
      </c>
      <c r="U60" t="n">
        <v>0</v>
      </c>
      <c r="V60" s="2" t="inlineStr">
        <is>
          <t>Doftticka
Knärot
Lunglav</t>
        </is>
      </c>
      <c r="W60">
        <f>HYPERLINK("https://klasma.github.io/Logging_2582/artfynd/A 28267-2025 artfynd.xlsx", "A 28267-2025")</f>
        <v/>
      </c>
      <c r="X60">
        <f>HYPERLINK("https://klasma.github.io/Logging_2582/kartor/A 28267-2025 karta.png", "A 28267-2025")</f>
        <v/>
      </c>
      <c r="Y60">
        <f>HYPERLINK("https://klasma.github.io/Logging_2582/kartor_geotiff/A 28267-2025 georefererad karta.tif", "A 28267-2025")</f>
        <v/>
      </c>
      <c r="Z60">
        <f>HYPERLINK("https://klasma.github.io/Logging_2582/knärot/A 28267-2025 karta knärot.png", "A 28267-2025")</f>
        <v/>
      </c>
      <c r="AA60">
        <f>HYPERLINK("https://klasma.github.io/Logging_2582/klagomål/A 28267-2025 FSC-klagomål.docx", "A 28267-2025")</f>
        <v/>
      </c>
      <c r="AB60">
        <f>HYPERLINK("https://klasma.github.io/Logging_2582/klagomålsmail/A 28267-2025 FSC-klagomål mail.docx", "A 28267-2025")</f>
        <v/>
      </c>
      <c r="AC60">
        <f>HYPERLINK("https://klasma.github.io/Logging_2582/tillsyn/A 28267-2025 tillsynsbegäran.docx", "A 28267-2025")</f>
        <v/>
      </c>
      <c r="AD60">
        <f>HYPERLINK("https://klasma.github.io/Logging_2582/tillsynsmail/A 28267-2025 tillsynsbegäran mail.docx", "A 28267-2025")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46250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58196-2021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46250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Gammelgransskål
Lunglav</t>
        </is>
      </c>
      <c r="W63">
        <f>HYPERLINK("https://klasma.github.io/Logging_2582/artfynd/A 58196-2021 artfynd.xlsx", "A 58196-2021")</f>
        <v/>
      </c>
      <c r="X63">
        <f>HYPERLINK("https://klasma.github.io/Logging_2582/kartor/A 58196-2021 karta.png", "A 58196-2021")</f>
        <v/>
      </c>
      <c r="Y63">
        <f>HYPERLINK("https://klasma.github.io/Logging_2582/kartor_geotiff/A 58196-2021 georefererad karta.tif", "A 58196-2021")</f>
        <v/>
      </c>
      <c r="AA63">
        <f>HYPERLINK("https://klasma.github.io/Logging_2582/klagomål/A 58196-2021 FSC-klagomål.docx", "A 58196-2021")</f>
        <v/>
      </c>
      <c r="AB63">
        <f>HYPERLINK("https://klasma.github.io/Logging_2582/klagomålsmail/A 58196-2021 FSC-klagomål mail.docx", "A 58196-2021")</f>
        <v/>
      </c>
      <c r="AC63">
        <f>HYPERLINK("https://klasma.github.io/Logging_2582/tillsyn/A 58196-2021 tillsynsbegäran.docx", "A 58196-2021")</f>
        <v/>
      </c>
      <c r="AD63">
        <f>HYPERLINK("https://klasma.github.io/Logging_2582/tillsynsmail/A 58196-2021 tillsynsbegäran mail.docx", "A 58196-2021")</f>
        <v/>
      </c>
    </row>
    <row r="64" ht="15" customHeight="1">
      <c r="A64" t="inlineStr">
        <is>
          <t>A 13659-2022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44648</v>
      </c>
      <c r="E64" s="1" t="n">
        <v>46250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7.3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Bollvitmossa
Ögonpyrola</t>
        </is>
      </c>
      <c r="W64">
        <f>HYPERLINK("https://klasma.github.io/Logging_2582/artfynd/A 13659-2022 artfynd.xlsx", "A 13659-2022")</f>
        <v/>
      </c>
      <c r="X64">
        <f>HYPERLINK("https://klasma.github.io/Logging_2582/kartor/A 13659-2022 karta.png", "A 13659-2022")</f>
        <v/>
      </c>
      <c r="Y64">
        <f>HYPERLINK("https://klasma.github.io/Logging_2582/kartor_geotiff/A 13659-2022 georefererad karta.tif", "A 13659-2022")</f>
        <v/>
      </c>
      <c r="AA64">
        <f>HYPERLINK("https://klasma.github.io/Logging_2582/klagomål/A 13659-2022 FSC-klagomål.docx", "A 13659-2022")</f>
        <v/>
      </c>
      <c r="AB64">
        <f>HYPERLINK("https://klasma.github.io/Logging_2582/klagomålsmail/A 13659-2022 FSC-klagomål mail.docx", "A 13659-2022")</f>
        <v/>
      </c>
      <c r="AC64">
        <f>HYPERLINK("https://klasma.github.io/Logging_2582/tillsyn/A 13659-2022 tillsynsbegäran.docx", "A 13659-2022")</f>
        <v/>
      </c>
      <c r="AD64">
        <f>HYPERLINK("https://klasma.github.io/Logging_2582/tillsynsmail/A 13659-2022 tillsynsbegäran mail.docx", "A 13659-2022")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46250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35037-2022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46250</v>
      </c>
      <c r="F66" t="inlineStr">
        <is>
          <t>NORRBOTTENS LÄN</t>
        </is>
      </c>
      <c r="G66" t="inlineStr">
        <is>
          <t>BODEN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Rödvingetrast
Revlummer</t>
        </is>
      </c>
      <c r="W66">
        <f>HYPERLINK("https://klasma.github.io/Logging_2582/artfynd/A 35037-2022 artfynd.xlsx", "A 35037-2022")</f>
        <v/>
      </c>
      <c r="X66">
        <f>HYPERLINK("https://klasma.github.io/Logging_2582/kartor/A 35037-2022 karta.png", "A 35037-2022")</f>
        <v/>
      </c>
      <c r="Y66">
        <f>HYPERLINK("https://klasma.github.io/Logging_2582/kartor_geotiff/A 35037-2022 georefererad karta.tif", "A 35037-2022")</f>
        <v/>
      </c>
      <c r="AA66">
        <f>HYPERLINK("https://klasma.github.io/Logging_2582/klagomål/A 35037-2022 FSC-klagomål.docx", "A 35037-2022")</f>
        <v/>
      </c>
      <c r="AB66">
        <f>HYPERLINK("https://klasma.github.io/Logging_2582/klagomålsmail/A 35037-2022 FSC-klagomål mail.docx", "A 35037-2022")</f>
        <v/>
      </c>
      <c r="AC66">
        <f>HYPERLINK("https://klasma.github.io/Logging_2582/tillsyn/A 35037-2022 tillsynsbegäran.docx", "A 35037-2022")</f>
        <v/>
      </c>
      <c r="AD66">
        <f>HYPERLINK("https://klasma.github.io/Logging_2582/tillsynsmail/A 35037-2022 tillsynsbegäran mail.docx", "A 35037-2022")</f>
        <v/>
      </c>
      <c r="AE66">
        <f>HYPERLINK("https://klasma.github.io/Logging_2582/fåglar/A 35037-2022 prioriterade fågelarter.docx", "A 35037-2022")</f>
        <v/>
      </c>
    </row>
    <row r="67" ht="15" customHeight="1">
      <c r="A67" t="inlineStr">
        <is>
          <t>A 26346-2022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46250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Blå taggsvamp
Ullticka</t>
        </is>
      </c>
      <c r="W67">
        <f>HYPERLINK("https://klasma.github.io/Logging_2582/artfynd/A 26346-2022 artfynd.xlsx", "A 26346-2022")</f>
        <v/>
      </c>
      <c r="X67">
        <f>HYPERLINK("https://klasma.github.io/Logging_2582/kartor/A 26346-2022 karta.png", "A 26346-2022")</f>
        <v/>
      </c>
      <c r="Y67">
        <f>HYPERLINK("https://klasma.github.io/Logging_2582/kartor_geotiff/A 26346-2022 georefererad karta.tif", "A 26346-2022")</f>
        <v/>
      </c>
      <c r="AA67">
        <f>HYPERLINK("https://klasma.github.io/Logging_2582/klagomål/A 26346-2022 FSC-klagomål.docx", "A 26346-2022")</f>
        <v/>
      </c>
      <c r="AB67">
        <f>HYPERLINK("https://klasma.github.io/Logging_2582/klagomålsmail/A 26346-2022 FSC-klagomål mail.docx", "A 26346-2022")</f>
        <v/>
      </c>
      <c r="AC67">
        <f>HYPERLINK("https://klasma.github.io/Logging_2582/tillsyn/A 26346-2022 tillsynsbegäran.docx", "A 26346-2022")</f>
        <v/>
      </c>
      <c r="AD67">
        <f>HYPERLINK("https://klasma.github.io/Logging_2582/tillsynsmail/A 26346-2022 tillsynsbegäran mail.docx", "A 26346-2022")</f>
        <v/>
      </c>
    </row>
    <row r="68" ht="15" customHeight="1">
      <c r="A68" t="inlineStr">
        <is>
          <t>A 1507-2022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46250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15.4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Talltita
Gråspett</t>
        </is>
      </c>
      <c r="W68">
        <f>HYPERLINK("https://klasma.github.io/Logging_2582/artfynd/A 1507-2022 artfynd.xlsx", "A 1507-2022")</f>
        <v/>
      </c>
      <c r="X68">
        <f>HYPERLINK("https://klasma.github.io/Logging_2582/kartor/A 1507-2022 karta.png", "A 1507-2022")</f>
        <v/>
      </c>
      <c r="Y68">
        <f>HYPERLINK("https://klasma.github.io/Logging_2582/kartor_geotiff/A 1507-2022 georefererad karta.tif", "A 1507-2022")</f>
        <v/>
      </c>
      <c r="AA68">
        <f>HYPERLINK("https://klasma.github.io/Logging_2582/klagomål/A 1507-2022 FSC-klagomål.docx", "A 1507-2022")</f>
        <v/>
      </c>
      <c r="AB68">
        <f>HYPERLINK("https://klasma.github.io/Logging_2582/klagomålsmail/A 1507-2022 FSC-klagomål mail.docx", "A 1507-2022")</f>
        <v/>
      </c>
      <c r="AC68">
        <f>HYPERLINK("https://klasma.github.io/Logging_2582/tillsyn/A 1507-2022 tillsynsbegäran.docx", "A 1507-2022")</f>
        <v/>
      </c>
      <c r="AD68">
        <f>HYPERLINK("https://klasma.github.io/Logging_2582/tillsynsmail/A 1507-2022 tillsynsbegäran mail.docx", "A 1507-2022")</f>
        <v/>
      </c>
      <c r="AE68">
        <f>HYPERLINK("https://klasma.github.io/Logging_2582/fåglar/A 1507-2022 prioriterade fågelarter.docx", "A 1507-2022")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46250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Öring</t>
        </is>
      </c>
      <c r="W69">
        <f>HYPERLINK("https://klasma.github.io/Logging_2582/artfynd/A 25701-2025 artfynd.xlsx", "A 25701-2025")</f>
        <v/>
      </c>
      <c r="X69">
        <f>HYPERLINK("https://klasma.github.io/Logging_2582/kartor/A 25701-2025 karta.png", "A 25701-2025")</f>
        <v/>
      </c>
      <c r="Y69">
        <f>HYPERLINK("https://klasma.github.io/Logging_2582/kartor_geotiff/A 25701-2025 georefererad karta.tif", "A 25701-2025")</f>
        <v/>
      </c>
      <c r="AA69">
        <f>HYPERLINK("https://klasma.github.io/Logging_2582/klagomål/A 25701-2025 FSC-klagomål.docx", "A 25701-2025")</f>
        <v/>
      </c>
      <c r="AB69">
        <f>HYPERLINK("https://klasma.github.io/Logging_2582/klagomålsmail/A 25701-2025 FSC-klagomål mail.docx", "A 25701-2025")</f>
        <v/>
      </c>
      <c r="AC69">
        <f>HYPERLINK("https://klasma.github.io/Logging_2582/tillsyn/A 25701-2025 tillsynsbegäran.docx", "A 25701-2025")</f>
        <v/>
      </c>
      <c r="AD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46250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46250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45477-2025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46250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9.1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Doftticka
Lunglav</t>
        </is>
      </c>
      <c r="W72">
        <f>HYPERLINK("https://klasma.github.io/Logging_2582/artfynd/A 45477-2025 artfynd.xlsx", "A 45477-2025")</f>
        <v/>
      </c>
      <c r="X72">
        <f>HYPERLINK("https://klasma.github.io/Logging_2582/kartor/A 45477-2025 karta.png", "A 45477-2025")</f>
        <v/>
      </c>
      <c r="Y72">
        <f>HYPERLINK("https://klasma.github.io/Logging_2582/kartor_geotiff/A 45477-2025 georefererad karta.tif", "A 45477-2025")</f>
        <v/>
      </c>
      <c r="AA72">
        <f>HYPERLINK("https://klasma.github.io/Logging_2582/klagomål/A 45477-2025 FSC-klagomål.docx", "A 45477-2025")</f>
        <v/>
      </c>
      <c r="AB72">
        <f>HYPERLINK("https://klasma.github.io/Logging_2582/klagomålsmail/A 45477-2025 FSC-klagomål mail.docx", "A 45477-2025")</f>
        <v/>
      </c>
      <c r="AC72">
        <f>HYPERLINK("https://klasma.github.io/Logging_2582/tillsyn/A 45477-2025 tillsynsbegäran.docx", "A 45477-2025")</f>
        <v/>
      </c>
      <c r="AD72">
        <f>HYPERLINK("https://klasma.github.io/Logging_2582/tillsynsmail/A 45477-2025 tillsynsbegäran mail.docx", "A 45477-2025")</f>
        <v/>
      </c>
    </row>
    <row r="73" ht="15" customHeight="1">
      <c r="A73" t="inlineStr">
        <is>
          <t>A 50100-2025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46250</v>
      </c>
      <c r="F73" t="inlineStr">
        <is>
          <t>NORRBOTTENS LÄN</t>
        </is>
      </c>
      <c r="G73" t="inlineStr">
        <is>
          <t>BODEN</t>
        </is>
      </c>
      <c r="I73" t="n">
        <v>6.5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Mörk kolflarnlav
Fläcknycklar</t>
        </is>
      </c>
      <c r="W73">
        <f>HYPERLINK("https://klasma.github.io/Logging_2582/artfynd/A 50100-2025 artfynd.xlsx", "A 50100-2025")</f>
        <v/>
      </c>
      <c r="X73">
        <f>HYPERLINK("https://klasma.github.io/Logging_2582/kartor/A 50100-2025 karta.png", "A 50100-2025")</f>
        <v/>
      </c>
      <c r="Y73">
        <f>HYPERLINK("https://klasma.github.io/Logging_2582/kartor_geotiff/A 50100-2025 georefererad karta.tif", "A 50100-2025")</f>
        <v/>
      </c>
      <c r="AA73">
        <f>HYPERLINK("https://klasma.github.io/Logging_2582/klagomål/A 50100-2025 FSC-klagomål.docx", "A 50100-2025")</f>
        <v/>
      </c>
      <c r="AB73">
        <f>HYPERLINK("https://klasma.github.io/Logging_2582/klagomålsmail/A 50100-2025 FSC-klagomål mail.docx", "A 50100-2025")</f>
        <v/>
      </c>
      <c r="AC73">
        <f>HYPERLINK("https://klasma.github.io/Logging_2582/tillsyn/A 50100-2025 tillsynsbegäran.docx", "A 50100-2025")</f>
        <v/>
      </c>
      <c r="AD73">
        <f>HYPERLINK("https://klasma.github.io/Logging_2582/tillsynsmail/A 50100-2025 tillsynsbegäran mail.docx", "A 50100-2025")</f>
        <v/>
      </c>
    </row>
    <row r="74" ht="15" customHeight="1">
      <c r="A74" t="inlineStr">
        <is>
          <t>A 9306-2025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45714</v>
      </c>
      <c r="E74" s="1" t="n">
        <v>46250</v>
      </c>
      <c r="F74" t="inlineStr">
        <is>
          <t>NORRBOTTENS LÄN</t>
        </is>
      </c>
      <c r="G74" t="inlineStr">
        <is>
          <t>BODEN</t>
        </is>
      </c>
      <c r="H74" t="inlineStr">
        <is>
          <t>SCA</t>
        </is>
      </c>
      <c r="I74" t="n">
        <v>11.7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Rynkskinn</t>
        </is>
      </c>
      <c r="W74">
        <f>HYPERLINK("https://klasma.github.io/Logging_2582/artfynd/A 9306-2025 artfynd.xlsx", "A 9306-2025")</f>
        <v/>
      </c>
      <c r="X74">
        <f>HYPERLINK("https://klasma.github.io/Logging_2582/kartor/A 9306-2025 karta.png", "A 9306-2025")</f>
        <v/>
      </c>
      <c r="Y74">
        <f>HYPERLINK("https://klasma.github.io/Logging_2582/kartor_geotiff/A 9306-2025 georefererad karta.tif", "A 9306-2025")</f>
        <v/>
      </c>
      <c r="AA74">
        <f>HYPERLINK("https://klasma.github.io/Logging_2582/klagomål/A 9306-2025 FSC-klagomål.docx", "A 9306-2025")</f>
        <v/>
      </c>
      <c r="AB74">
        <f>HYPERLINK("https://klasma.github.io/Logging_2582/klagomålsmail/A 9306-2025 FSC-klagomål mail.docx", "A 9306-2025")</f>
        <v/>
      </c>
      <c r="AC74">
        <f>HYPERLINK("https://klasma.github.io/Logging_2582/tillsyn/A 9306-2025 tillsynsbegäran.docx", "A 9306-2025")</f>
        <v/>
      </c>
      <c r="AD74">
        <f>HYPERLINK("https://klasma.github.io/Logging_2582/tillsynsmail/A 9306-2025 tillsynsbegäran mail.docx", "A 9306-2025")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46250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34737-2024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46250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1</v>
      </c>
      <c r="V76" s="2" t="inlineStr">
        <is>
          <t>Lunglav
Fläcknycklar</t>
        </is>
      </c>
      <c r="W76">
        <f>HYPERLINK("https://klasma.github.io/Logging_2582/artfynd/A 34737-2024 artfynd.xlsx", "A 34737-2024")</f>
        <v/>
      </c>
      <c r="X76">
        <f>HYPERLINK("https://klasma.github.io/Logging_2582/kartor/A 34737-2024 karta.png", "A 34737-2024")</f>
        <v/>
      </c>
      <c r="Y76">
        <f>HYPERLINK("https://klasma.github.io/Logging_2582/kartor_geotiff/A 34737-2024 georefererad karta.tif", "A 34737-2024")</f>
        <v/>
      </c>
      <c r="AA76">
        <f>HYPERLINK("https://klasma.github.io/Logging_2582/klagomål/A 34737-2024 FSC-klagomål.docx", "A 34737-2024")</f>
        <v/>
      </c>
      <c r="AB76">
        <f>HYPERLINK("https://klasma.github.io/Logging_2582/klagomålsmail/A 34737-2024 FSC-klagomål mail.docx", "A 34737-2024")</f>
        <v/>
      </c>
      <c r="AC76">
        <f>HYPERLINK("https://klasma.github.io/Logging_2582/tillsyn/A 34737-2024 tillsynsbegäran.docx", "A 34737-2024")</f>
        <v/>
      </c>
      <c r="AD76">
        <f>HYPERLINK("https://klasma.github.io/Logging_2582/tillsynsmail/A 34737-2024 tillsynsbegäran mail.docx", "A 34737-2024")</f>
        <v/>
      </c>
    </row>
    <row r="77" ht="15" customHeight="1">
      <c r="A77" t="inlineStr">
        <is>
          <t>A 34164-2023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45137</v>
      </c>
      <c r="E77" s="1" t="n">
        <v>46250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2.2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Tretåig hackspett</t>
        </is>
      </c>
      <c r="W77">
        <f>HYPERLINK("https://klasma.github.io/Logging_2582/artfynd/A 34164-2023 artfynd.xlsx", "A 34164-2023")</f>
        <v/>
      </c>
      <c r="X77">
        <f>HYPERLINK("https://klasma.github.io/Logging_2582/kartor/A 34164-2023 karta.png", "A 34164-2023")</f>
        <v/>
      </c>
      <c r="Y77">
        <f>HYPERLINK("https://klasma.github.io/Logging_2582/kartor_geotiff/A 34164-2023 georefererad karta.tif", "A 34164-2023")</f>
        <v/>
      </c>
      <c r="AA77">
        <f>HYPERLINK("https://klasma.github.io/Logging_2582/klagomål/A 34164-2023 FSC-klagomål.docx", "A 34164-2023")</f>
        <v/>
      </c>
      <c r="AB77">
        <f>HYPERLINK("https://klasma.github.io/Logging_2582/klagomålsmail/A 34164-2023 FSC-klagomål mail.docx", "A 34164-2023")</f>
        <v/>
      </c>
      <c r="AC77">
        <f>HYPERLINK("https://klasma.github.io/Logging_2582/tillsyn/A 34164-2023 tillsynsbegäran.docx", "A 34164-2023")</f>
        <v/>
      </c>
      <c r="AD77">
        <f>HYPERLINK("https://klasma.github.io/Logging_2582/tillsynsmail/A 34164-2023 tillsynsbegäran mail.docx", "A 34164-2023")</f>
        <v/>
      </c>
      <c r="AE77">
        <f>HYPERLINK("https://klasma.github.io/Logging_2582/fåglar/A 34164-2023 prioriterade fågelarter.docx", "A 34164-2023")</f>
        <v/>
      </c>
    </row>
    <row r="78" ht="15" customHeight="1">
      <c r="A78" t="inlineStr">
        <is>
          <t>A 59435-2024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46250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Lappranunkel
Ögonpyrola</t>
        </is>
      </c>
      <c r="W78">
        <f>HYPERLINK("https://klasma.github.io/Logging_2582/artfynd/A 59435-2024 artfynd.xlsx", "A 59435-2024")</f>
        <v/>
      </c>
      <c r="X78">
        <f>HYPERLINK("https://klasma.github.io/Logging_2582/kartor/A 59435-2024 karta.png", "A 59435-2024")</f>
        <v/>
      </c>
      <c r="Y78">
        <f>HYPERLINK("https://klasma.github.io/Logging_2582/kartor_geotiff/A 59435-2024 georefererad karta.tif", "A 59435-2024")</f>
        <v/>
      </c>
      <c r="AA78">
        <f>HYPERLINK("https://klasma.github.io/Logging_2582/klagomål/A 59435-2024 FSC-klagomål.docx", "A 59435-2024")</f>
        <v/>
      </c>
      <c r="AB78">
        <f>HYPERLINK("https://klasma.github.io/Logging_2582/klagomålsmail/A 59435-2024 FSC-klagomål mail.docx", "A 59435-2024")</f>
        <v/>
      </c>
      <c r="AC78">
        <f>HYPERLINK("https://klasma.github.io/Logging_2582/tillsyn/A 59435-2024 tillsynsbegäran.docx", "A 59435-2024")</f>
        <v/>
      </c>
      <c r="AD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46250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8703-2026 artfynd.xlsx", "A 8703-2026")</f>
        <v/>
      </c>
      <c r="X79">
        <f>HYPERLINK("https://klasma.github.io/Logging_2582/kartor/A 8703-2026 karta.png", "A 8703-2026")</f>
        <v/>
      </c>
      <c r="Y79">
        <f>HYPERLINK("https://klasma.github.io/Logging_2582/kartor_geotiff/A 8703-2026 georefererad karta.tif", "A 8703-2026")</f>
        <v/>
      </c>
      <c r="AA79">
        <f>HYPERLINK("https://klasma.github.io/Logging_2582/klagomål/A 8703-2026 FSC-klagomål.docx", "A 8703-2026")</f>
        <v/>
      </c>
      <c r="AB79">
        <f>HYPERLINK("https://klasma.github.io/Logging_2582/klagomålsmail/A 8703-2026 FSC-klagomål mail.docx", "A 8703-2026")</f>
        <v/>
      </c>
      <c r="AC79">
        <f>HYPERLINK("https://klasma.github.io/Logging_2582/tillsyn/A 8703-2026 tillsynsbegäran.docx", "A 8703-2026")</f>
        <v/>
      </c>
      <c r="AD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46250</v>
      </c>
      <c r="F80" t="inlineStr">
        <is>
          <t>NORRBOTTENS LÄN</t>
        </is>
      </c>
      <c r="G80" t="inlineStr">
        <is>
          <t>BODEN</t>
        </is>
      </c>
      <c r="I80" t="n">
        <v>2.1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Ullticka</t>
        </is>
      </c>
      <c r="W80">
        <f>HYPERLINK("https://klasma.github.io/Logging_2582/artfynd/A 8754-2026 artfynd.xlsx", "A 8754-2026")</f>
        <v/>
      </c>
      <c r="X80">
        <f>HYPERLINK("https://klasma.github.io/Logging_2582/kartor/A 8754-2026 karta.png", "A 8754-2026")</f>
        <v/>
      </c>
      <c r="Y80">
        <f>HYPERLINK("https://klasma.github.io/Logging_2582/kartor_geotiff/A 8754-2026 georefererad karta.tif", "A 8754-2026")</f>
        <v/>
      </c>
      <c r="AA80">
        <f>HYPERLINK("https://klasma.github.io/Logging_2582/klagomål/A 8754-2026 FSC-klagomål.docx", "A 8754-2026")</f>
        <v/>
      </c>
      <c r="AB80">
        <f>HYPERLINK("https://klasma.github.io/Logging_2582/klagomålsmail/A 8754-2026 FSC-klagomål mail.docx", "A 8754-2026")</f>
        <v/>
      </c>
      <c r="AC80">
        <f>HYPERLINK("https://klasma.github.io/Logging_2582/tillsyn/A 8754-2026 tillsynsbegäran.docx", "A 8754-2026")</f>
        <v/>
      </c>
      <c r="AD80">
        <f>HYPERLINK("https://klasma.github.io/Logging_2582/tillsynsmail/A 8754-2026 tillsynsbegäran mail.docx", "A 8754-2026")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46250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54167-2025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46250</v>
      </c>
      <c r="F82" t="inlineStr">
        <is>
          <t>NORRBOTTENS LÄN</t>
        </is>
      </c>
      <c r="G82" t="inlineStr">
        <is>
          <t>BODEN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Lunglav
Stiftgelélav</t>
        </is>
      </c>
      <c r="W82">
        <f>HYPERLINK("https://klasma.github.io/Logging_2582/artfynd/A 54167-2025 artfynd.xlsx", "A 54167-2025")</f>
        <v/>
      </c>
      <c r="X82">
        <f>HYPERLINK("https://klasma.github.io/Logging_2582/kartor/A 54167-2025 karta.png", "A 54167-2025")</f>
        <v/>
      </c>
      <c r="Y82">
        <f>HYPERLINK("https://klasma.github.io/Logging_2582/kartor_geotiff/A 54167-2025 georefererad karta.tif", "A 54167-2025")</f>
        <v/>
      </c>
      <c r="AA82">
        <f>HYPERLINK("https://klasma.github.io/Logging_2582/klagomål/A 54167-2025 FSC-klagomål.docx", "A 54167-2025")</f>
        <v/>
      </c>
      <c r="AB82">
        <f>HYPERLINK("https://klasma.github.io/Logging_2582/klagomålsmail/A 54167-2025 FSC-klagomål mail.docx", "A 54167-2025")</f>
        <v/>
      </c>
      <c r="AC82">
        <f>HYPERLINK("https://klasma.github.io/Logging_2582/tillsyn/A 54167-2025 tillsynsbegäran.docx", "A 54167-2025")</f>
        <v/>
      </c>
      <c r="AD82">
        <f>HYPERLINK("https://klasma.github.io/Logging_2582/tillsynsmail/A 54167-2025 tillsynsbegäran mail.docx", "A 54167-2025")</f>
        <v/>
      </c>
    </row>
    <row r="83" ht="15" customHeight="1">
      <c r="A83" t="inlineStr">
        <is>
          <t>A 60774-2025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46250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60774-2025 artfynd.xlsx", "A 60774-2025")</f>
        <v/>
      </c>
      <c r="X83">
        <f>HYPERLINK("https://klasma.github.io/Logging_2582/kartor/A 60774-2025 karta.png", "A 60774-2025")</f>
        <v/>
      </c>
      <c r="Y83">
        <f>HYPERLINK("https://klasma.github.io/Logging_2582/kartor_geotiff/A 60774-2025 georefererad karta.tif", "A 60774-2025")</f>
        <v/>
      </c>
      <c r="AA83">
        <f>HYPERLINK("https://klasma.github.io/Logging_2582/klagomål/A 60774-2025 FSC-klagomål.docx", "A 60774-2025")</f>
        <v/>
      </c>
      <c r="AB83">
        <f>HYPERLINK("https://klasma.github.io/Logging_2582/klagomålsmail/A 60774-2025 FSC-klagomål mail.docx", "A 60774-2025")</f>
        <v/>
      </c>
      <c r="AC83">
        <f>HYPERLINK("https://klasma.github.io/Logging_2582/tillsyn/A 60774-2025 tillsynsbegäran.docx", "A 60774-2025")</f>
        <v/>
      </c>
      <c r="AD83">
        <f>HYPERLINK("https://klasma.github.io/Logging_2582/tillsynsmail/A 60774-2025 tillsynsbegäran mail.docx", "A 60774-2025")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46250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22906-2023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45072</v>
      </c>
      <c r="E85" s="1" t="n">
        <v>46250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3.5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Utter</t>
        </is>
      </c>
      <c r="W85">
        <f>HYPERLINK("https://klasma.github.io/Logging_2582/artfynd/A 22906-2023 artfynd.xlsx", "A 22906-2023")</f>
        <v/>
      </c>
      <c r="X85">
        <f>HYPERLINK("https://klasma.github.io/Logging_2582/kartor/A 22906-2023 karta.png", "A 22906-2023")</f>
        <v/>
      </c>
      <c r="Y85">
        <f>HYPERLINK("https://klasma.github.io/Logging_2582/kartor_geotiff/A 22906-2023 georefererad karta.tif", "A 22906-2023")</f>
        <v/>
      </c>
      <c r="AA85">
        <f>HYPERLINK("https://klasma.github.io/Logging_2582/klagomål/A 22906-2023 FSC-klagomål.docx", "A 22906-2023")</f>
        <v/>
      </c>
      <c r="AB85">
        <f>HYPERLINK("https://klasma.github.io/Logging_2582/klagomålsmail/A 22906-2023 FSC-klagomål mail.docx", "A 22906-2023")</f>
        <v/>
      </c>
      <c r="AC85">
        <f>HYPERLINK("https://klasma.github.io/Logging_2582/tillsyn/A 22906-2023 tillsynsbegäran.docx", "A 22906-2023")</f>
        <v/>
      </c>
      <c r="AD85">
        <f>HYPERLINK("https://klasma.github.io/Logging_2582/tillsynsmail/A 22906-2023 tillsynsbegäran mail.docx", "A 22906-2023")</f>
        <v/>
      </c>
      <c r="AE85">
        <f>HYPERLINK("https://klasma.github.io/Logging_2582/fåglar/A 22906-2023 prioriterade fågelarter.docx", "A 22906-2023")</f>
        <v/>
      </c>
    </row>
    <row r="86" ht="15" customHeight="1">
      <c r="A86" t="inlineStr">
        <is>
          <t>A 21657-2026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46250</v>
      </c>
      <c r="F86" t="inlineStr">
        <is>
          <t>NORRBOTTENS LÄN</t>
        </is>
      </c>
      <c r="G86" t="inlineStr">
        <is>
          <t>BODEN</t>
        </is>
      </c>
      <c r="I86" t="n">
        <v>9.800000000000001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Orre
Utter</t>
        </is>
      </c>
      <c r="W86">
        <f>HYPERLINK("https://klasma.github.io/Logging_2582/artfynd/A 21657-2026 artfynd.xlsx", "A 21657-2026")</f>
        <v/>
      </c>
      <c r="X86">
        <f>HYPERLINK("https://klasma.github.io/Logging_2582/kartor/A 21657-2026 karta.png", "A 21657-2026")</f>
        <v/>
      </c>
      <c r="Y86">
        <f>HYPERLINK("https://klasma.github.io/Logging_2582/kartor_geotiff/A 21657-2026 georefererad karta.tif", "A 21657-2026")</f>
        <v/>
      </c>
      <c r="AA86">
        <f>HYPERLINK("https://klasma.github.io/Logging_2582/klagomål/A 21657-2026 FSC-klagomål.docx", "A 21657-2026")</f>
        <v/>
      </c>
      <c r="AB86">
        <f>HYPERLINK("https://klasma.github.io/Logging_2582/klagomålsmail/A 21657-2026 FSC-klagomål mail.docx", "A 21657-2026")</f>
        <v/>
      </c>
      <c r="AC86">
        <f>HYPERLINK("https://klasma.github.io/Logging_2582/tillsyn/A 21657-2026 tillsynsbegäran.docx", "A 21657-2026")</f>
        <v/>
      </c>
      <c r="AD86">
        <f>HYPERLINK("https://klasma.github.io/Logging_2582/tillsynsmail/A 21657-2026 tillsynsbegäran mail.docx", "A 21657-2026")</f>
        <v/>
      </c>
      <c r="AE86">
        <f>HYPERLINK("https://klasma.github.io/Logging_2582/fåglar/A 21657-2026 prioriterade fågelarter.docx", "A 21657-2026")</f>
        <v/>
      </c>
    </row>
    <row r="87" ht="15" customHeight="1">
      <c r="A87" t="inlineStr">
        <is>
          <t>A 6639-2024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45341</v>
      </c>
      <c r="E87" s="1" t="n">
        <v>46250</v>
      </c>
      <c r="F87" t="inlineStr">
        <is>
          <t>NORRBOTTENS LÄN</t>
        </is>
      </c>
      <c r="G87" t="inlineStr">
        <is>
          <t>BODEN</t>
        </is>
      </c>
      <c r="H87" t="inlineStr">
        <is>
          <t>Övriga statliga verk och myndigheter</t>
        </is>
      </c>
      <c r="I87" t="n">
        <v>23.8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Kungsfågel</t>
        </is>
      </c>
      <c r="W87">
        <f>HYPERLINK("https://klasma.github.io/Logging_2582/artfynd/A 6639-2024 artfynd.xlsx", "A 6639-2024")</f>
        <v/>
      </c>
      <c r="X87">
        <f>HYPERLINK("https://klasma.github.io/Logging_2582/kartor/A 6639-2024 karta.png", "A 6639-2024")</f>
        <v/>
      </c>
      <c r="Y87">
        <f>HYPERLINK("https://klasma.github.io/Logging_2582/kartor_geotiff/A 6639-2024 georefererad karta.tif", "A 6639-2024")</f>
        <v/>
      </c>
      <c r="AA87">
        <f>HYPERLINK("https://klasma.github.io/Logging_2582/klagomål/A 6639-2024 FSC-klagomål.docx", "A 6639-2024")</f>
        <v/>
      </c>
      <c r="AB87">
        <f>HYPERLINK("https://klasma.github.io/Logging_2582/klagomålsmail/A 6639-2024 FSC-klagomål mail.docx", "A 6639-2024")</f>
        <v/>
      </c>
      <c r="AC87">
        <f>HYPERLINK("https://klasma.github.io/Logging_2582/tillsyn/A 6639-2024 tillsynsbegäran.docx", "A 6639-2024")</f>
        <v/>
      </c>
      <c r="AD87">
        <f>HYPERLINK("https://klasma.github.io/Logging_2582/tillsynsmail/A 6639-2024 tillsynsbegäran mail.docx", "A 6639-2024")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46250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23794-2026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46250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3.1</v>
      </c>
      <c r="J89" t="n">
        <v>2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Plattlummer
Spindelblomster</t>
        </is>
      </c>
      <c r="W89">
        <f>HYPERLINK("https://klasma.github.io/Logging_2582/artfynd/A 23794-2026 artfynd.xlsx", "A 23794-2026")</f>
        <v/>
      </c>
      <c r="X89">
        <f>HYPERLINK("https://klasma.github.io/Logging_2582/kartor/A 23794-2026 karta.png", "A 23794-2026")</f>
        <v/>
      </c>
      <c r="Y89">
        <f>HYPERLINK("https://klasma.github.io/Logging_2582/kartor_geotiff/A 23794-2026 georefererad karta.tif", "A 23794-2026")</f>
        <v/>
      </c>
      <c r="AA89">
        <f>HYPERLINK("https://klasma.github.io/Logging_2582/klagomål/A 23794-2026 FSC-klagomål.docx", "A 23794-2026")</f>
        <v/>
      </c>
      <c r="AB89">
        <f>HYPERLINK("https://klasma.github.io/Logging_2582/klagomålsmail/A 23794-2026 FSC-klagomål mail.docx", "A 23794-2026")</f>
        <v/>
      </c>
      <c r="AC89">
        <f>HYPERLINK("https://klasma.github.io/Logging_2582/tillsyn/A 23794-2026 tillsynsbegäran.docx", "A 23794-2026")</f>
        <v/>
      </c>
      <c r="AD89">
        <f>HYPERLINK("https://klasma.github.io/Logging_2582/tillsynsmail/A 23794-2026 tillsynsbegäran mail.docx", "A 23794-2026")</f>
        <v/>
      </c>
    </row>
    <row r="90" ht="15" customHeight="1">
      <c r="A90" t="inlineStr">
        <is>
          <t>A 31233-2026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46217</v>
      </c>
      <c r="E90" s="1" t="n">
        <v>46250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18.5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Lunglav
Fläcknycklar</t>
        </is>
      </c>
      <c r="W90">
        <f>HYPERLINK("https://klasma.github.io/Logging_2582/artfynd/A 31233-2026 artfynd.xlsx", "A 31233-2026")</f>
        <v/>
      </c>
      <c r="X90">
        <f>HYPERLINK("https://klasma.github.io/Logging_2582/kartor/A 31233-2026 karta.png", "A 31233-2026")</f>
        <v/>
      </c>
      <c r="Y90">
        <f>HYPERLINK("https://klasma.github.io/Logging_2582/kartor_geotiff/A 31233-2026 georefererad karta.tif", "A 31233-2026")</f>
        <v/>
      </c>
      <c r="AA90">
        <f>HYPERLINK("https://klasma.github.io/Logging_2582/klagomål/A 31233-2026 FSC-klagomål.docx", "A 31233-2026")</f>
        <v/>
      </c>
      <c r="AB90">
        <f>HYPERLINK("https://klasma.github.io/Logging_2582/klagomålsmail/A 31233-2026 FSC-klagomål mail.docx", "A 31233-2026")</f>
        <v/>
      </c>
      <c r="AC90">
        <f>HYPERLINK("https://klasma.github.io/Logging_2582/tillsyn/A 31233-2026 tillsynsbegäran.docx", "A 31233-2026")</f>
        <v/>
      </c>
      <c r="AD90">
        <f>HYPERLINK("https://klasma.github.io/Logging_2582/tillsynsmail/A 31233-2026 tillsynsbegäran mail.docx", "A 31233-2026")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46250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46250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32971-2024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46250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Lunglav
Fläcknycklar</t>
        </is>
      </c>
      <c r="W93">
        <f>HYPERLINK("https://klasma.github.io/Logging_2582/artfynd/A 32971-2024 artfynd.xlsx", "A 32971-2024")</f>
        <v/>
      </c>
      <c r="X93">
        <f>HYPERLINK("https://klasma.github.io/Logging_2582/kartor/A 32971-2024 karta.png", "A 32971-2024")</f>
        <v/>
      </c>
      <c r="Y93">
        <f>HYPERLINK("https://klasma.github.io/Logging_2582/kartor_geotiff/A 32971-2024 georefererad karta.tif", "A 32971-2024")</f>
        <v/>
      </c>
      <c r="AA93">
        <f>HYPERLINK("https://klasma.github.io/Logging_2582/klagomål/A 32971-2024 FSC-klagomål.docx", "A 32971-2024")</f>
        <v/>
      </c>
      <c r="AB93">
        <f>HYPERLINK("https://klasma.github.io/Logging_2582/klagomålsmail/A 32971-2024 FSC-klagomål mail.docx", "A 32971-2024")</f>
        <v/>
      </c>
      <c r="AC93">
        <f>HYPERLINK("https://klasma.github.io/Logging_2582/tillsyn/A 32971-2024 tillsynsbegäran.docx", "A 32971-2024")</f>
        <v/>
      </c>
      <c r="AD93">
        <f>HYPERLINK("https://klasma.github.io/Logging_2582/tillsynsmail/A 32971-2024 tillsynsbegäran mail.docx", "A 32971-2024")</f>
        <v/>
      </c>
    </row>
    <row r="94" ht="15" customHeight="1">
      <c r="A94" t="inlineStr">
        <is>
          <t>A 28867-2025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46250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8.199999999999999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12</v>
      </c>
      <c r="U94" t="n">
        <v>12</v>
      </c>
      <c r="V94" s="2" t="inlineStr">
        <is>
          <t>Knärot
Fläcknycklar</t>
        </is>
      </c>
      <c r="W94">
        <f>HYPERLINK("https://klasma.github.io/Logging_2582/artfynd/A 28867-2025 artfynd.xlsx", "A 28867-2025")</f>
        <v/>
      </c>
      <c r="X94">
        <f>HYPERLINK("https://klasma.github.io/Logging_2582/kartor/A 28867-2025 karta.png", "A 28867-2025")</f>
        <v/>
      </c>
      <c r="Y94">
        <f>HYPERLINK("https://klasma.github.io/Logging_2582/kartor_geotiff/A 28867-2025 georefererad karta.tif", "A 28867-2025")</f>
        <v/>
      </c>
      <c r="Z94">
        <f>HYPERLINK("https://klasma.github.io/Logging_2582/knärot/A 28867-2025 karta knärot.png", "A 28867-2025")</f>
        <v/>
      </c>
      <c r="AA94">
        <f>HYPERLINK("https://klasma.github.io/Logging_2582/klagomål/A 28867-2025 FSC-klagomål.docx", "A 28867-2025")</f>
        <v/>
      </c>
      <c r="AB94">
        <f>HYPERLINK("https://klasma.github.io/Logging_2582/klagomålsmail/A 28867-2025 FSC-klagomål mail.docx", "A 28867-2025")</f>
        <v/>
      </c>
      <c r="AC94">
        <f>HYPERLINK("https://klasma.github.io/Logging_2582/tillsyn/A 28867-2025 tillsynsbegäran.docx", "A 28867-2025")</f>
        <v/>
      </c>
      <c r="AD94">
        <f>HYPERLINK("https://klasma.github.io/Logging_2582/tillsynsmail/A 28867-2025 tillsynsbegäran mail.docx", "A 28867-2025")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46250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46250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46250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46250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37086-2025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46250</v>
      </c>
      <c r="F99" t="inlineStr">
        <is>
          <t>NORRBOTTENS LÄN</t>
        </is>
      </c>
      <c r="G99" t="inlineStr">
        <is>
          <t>BODEN</t>
        </is>
      </c>
      <c r="H99" t="inlineStr">
        <is>
          <t>Övriga Aktiebolag</t>
        </is>
      </c>
      <c r="I99" t="n">
        <v>22.8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Stuplav</t>
        </is>
      </c>
      <c r="W99">
        <f>HYPERLINK("https://klasma.github.io/Logging_2582/artfynd/A 37086-2025 artfynd.xlsx", "A 37086-2025")</f>
        <v/>
      </c>
      <c r="X99">
        <f>HYPERLINK("https://klasma.github.io/Logging_2582/kartor/A 37086-2025 karta.png", "A 37086-2025")</f>
        <v/>
      </c>
      <c r="Y99">
        <f>HYPERLINK("https://klasma.github.io/Logging_2582/kartor_geotiff/A 37086-2025 georefererad karta.tif", "A 37086-2025")</f>
        <v/>
      </c>
      <c r="AA99">
        <f>HYPERLINK("https://klasma.github.io/Logging_2582/klagomål/A 37086-2025 FSC-klagomål.docx", "A 37086-2025")</f>
        <v/>
      </c>
      <c r="AB99">
        <f>HYPERLINK("https://klasma.github.io/Logging_2582/klagomålsmail/A 37086-2025 FSC-klagomål mail.docx", "A 37086-2025")</f>
        <v/>
      </c>
      <c r="AC99">
        <f>HYPERLINK("https://klasma.github.io/Logging_2582/tillsyn/A 37086-2025 tillsynsbegäran.docx", "A 37086-2025")</f>
        <v/>
      </c>
      <c r="AD99">
        <f>HYPERLINK("https://klasma.github.io/Logging_2582/tillsynsmail/A 37086-2025 tillsynsbegäran mail.docx", "A 37086-2025")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46250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46250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46250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46250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46250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S 884-2024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45376</v>
      </c>
      <c r="E105" s="1" t="n">
        <v>46250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Spindelblomster
Ögonpyrola</t>
        </is>
      </c>
      <c r="W105">
        <f>HYPERLINK("https://klasma.github.io/Logging_2582/artfynd/S 884-2024 artfynd.xlsx", "S 884-2024")</f>
        <v/>
      </c>
      <c r="X105">
        <f>HYPERLINK("https://klasma.github.io/Logging_2582/kartor/S 884-2024 karta.png", "S 884-2024")</f>
        <v/>
      </c>
      <c r="Y105">
        <f>HYPERLINK("https://klasma.github.io/Logging_2582/kartor_geotiff/S 884-2024 georefererad karta.tif", "S 884-2024")</f>
        <v/>
      </c>
      <c r="Z105">
        <f>HYPERLINK("https://klasma.github.io/Logging_2582/knärot/S 884-2024 karta knärot.png", "S 884-2024")</f>
        <v/>
      </c>
      <c r="AA105">
        <f>HYPERLINK("https://klasma.github.io/Logging_2582/klagomål/S 884-2024 FSC-klagomål.docx", "S 884-2024")</f>
        <v/>
      </c>
      <c r="AB105">
        <f>HYPERLINK("https://klasma.github.io/Logging_2582/klagomålsmail/S 884-2024 FSC-klagomål mail.docx", "S 884-2024")</f>
        <v/>
      </c>
      <c r="AC105">
        <f>HYPERLINK("https://klasma.github.io/Logging_2582/tillsyn/S 884-2024 tillsynsbegäran.docx", "S 884-2024")</f>
        <v/>
      </c>
      <c r="AD105">
        <f>HYPERLINK("https://klasma.github.io/Logging_2582/tillsynsmail/S 884-2024 tillsynsbegäran mail.docx", "S 884-2024")</f>
        <v/>
      </c>
    </row>
    <row r="106" ht="15" customHeight="1">
      <c r="A106" t="inlineStr">
        <is>
          <t>A 13647-2022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46250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Gammelgransskål</t>
        </is>
      </c>
      <c r="W106">
        <f>HYPERLINK("https://klasma.github.io/Logging_2582/artfynd/A 13647-2022 artfynd.xlsx", "A 13647-2022")</f>
        <v/>
      </c>
      <c r="X106">
        <f>HYPERLINK("https://klasma.github.io/Logging_2582/kartor/A 13647-2022 karta.png", "A 13647-2022")</f>
        <v/>
      </c>
      <c r="Y106">
        <f>HYPERLINK("https://klasma.github.io/Logging_2582/kartor_geotiff/A 13647-2022 georefererad karta.tif", "A 13647-2022")</f>
        <v/>
      </c>
      <c r="AA106">
        <f>HYPERLINK("https://klasma.github.io/Logging_2582/klagomål/A 13647-2022 FSC-klagomål.docx", "A 13647-2022")</f>
        <v/>
      </c>
      <c r="AB106">
        <f>HYPERLINK("https://klasma.github.io/Logging_2582/klagomålsmail/A 13647-2022 FSC-klagomål mail.docx", "A 13647-2022")</f>
        <v/>
      </c>
      <c r="AC106">
        <f>HYPERLINK("https://klasma.github.io/Logging_2582/tillsyn/A 13647-2022 tillsynsbegäran.docx", "A 13647-2022")</f>
        <v/>
      </c>
      <c r="AD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46250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44768-2022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46250</v>
      </c>
      <c r="F108" t="inlineStr">
        <is>
          <t>NORRBOTTENS LÄN</t>
        </is>
      </c>
      <c r="G108" t="inlineStr">
        <is>
          <t>BODEN</t>
        </is>
      </c>
      <c r="H108" t="inlineStr">
        <is>
          <t>SCA</t>
        </is>
      </c>
      <c r="I108" t="n">
        <v>6.1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HYPERLINK("https://klasma.github.io/Logging_2582/artfynd/A 44768-2022 artfynd.xlsx", "A 44768-2022")</f>
        <v/>
      </c>
      <c r="X108">
        <f>HYPERLINK("https://klasma.github.io/Logging_2582/kartor/A 44768-2022 karta.png", "A 44768-2022")</f>
        <v/>
      </c>
      <c r="Y108">
        <f>HYPERLINK("https://klasma.github.io/Logging_2582/kartor_geotiff/A 44768-2022 georefererad karta.tif", "A 44768-2022")</f>
        <v/>
      </c>
      <c r="AA108">
        <f>HYPERLINK("https://klasma.github.io/Logging_2582/klagomål/A 44768-2022 FSC-klagomål.docx", "A 44768-2022")</f>
        <v/>
      </c>
      <c r="AB108">
        <f>HYPERLINK("https://klasma.github.io/Logging_2582/klagomålsmail/A 44768-2022 FSC-klagomål mail.docx", "A 44768-2022")</f>
        <v/>
      </c>
      <c r="AC108">
        <f>HYPERLINK("https://klasma.github.io/Logging_2582/tillsyn/A 44768-2022 tillsynsbegäran.docx", "A 44768-2022")</f>
        <v/>
      </c>
      <c r="AD108">
        <f>HYPERLINK("https://klasma.github.io/Logging_2582/tillsynsmail/A 44768-2022 tillsynsbegäran mail.docx", "A 44768-2022")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46250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49410-2023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46250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HYPERLINK("https://klasma.github.io/Logging_2582/artfynd/A 49410-2023 artfynd.xlsx", "A 49410-2023")</f>
        <v/>
      </c>
      <c r="X110">
        <f>HYPERLINK("https://klasma.github.io/Logging_2582/kartor/A 49410-2023 karta.png", "A 49410-2023")</f>
        <v/>
      </c>
      <c r="Y110">
        <f>HYPERLINK("https://klasma.github.io/Logging_2582/kartor_geotiff/A 49410-2023 georefererad karta.tif", "A 49410-2023")</f>
        <v/>
      </c>
      <c r="AA110">
        <f>HYPERLINK("https://klasma.github.io/Logging_2582/klagomål/A 49410-2023 FSC-klagomål.docx", "A 49410-2023")</f>
        <v/>
      </c>
      <c r="AB110">
        <f>HYPERLINK("https://klasma.github.io/Logging_2582/klagomålsmail/A 49410-2023 FSC-klagomål mail.docx", "A 49410-2023")</f>
        <v/>
      </c>
      <c r="AC110">
        <f>HYPERLINK("https://klasma.github.io/Logging_2582/tillsyn/A 49410-2023 tillsynsbegäran.docx", "A 49410-2023")</f>
        <v/>
      </c>
      <c r="AD110">
        <f>HYPERLINK("https://klasma.github.io/Logging_2582/tillsynsmail/A 49410-2023 tillsynsbegäran mail.docx", "A 49410-2023")</f>
        <v/>
      </c>
    </row>
    <row r="111" ht="15" customHeight="1">
      <c r="A111" t="inlineStr">
        <is>
          <t>A 19396-2022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46250</v>
      </c>
      <c r="F111" t="inlineStr">
        <is>
          <t>NORRBOTTENS LÄN</t>
        </is>
      </c>
      <c r="G111" t="inlineStr">
        <is>
          <t>BODEN</t>
        </is>
      </c>
      <c r="H111" t="inlineStr">
        <is>
          <t>SCA</t>
        </is>
      </c>
      <c r="I111" t="n">
        <v>13.1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Tallticka</t>
        </is>
      </c>
      <c r="W111">
        <f>HYPERLINK("https://klasma.github.io/Logging_2582/artfynd/A 19396-2022 artfynd.xlsx", "A 19396-2022")</f>
        <v/>
      </c>
      <c r="X111">
        <f>HYPERLINK("https://klasma.github.io/Logging_2582/kartor/A 19396-2022 karta.png", "A 19396-2022")</f>
        <v/>
      </c>
      <c r="Y111">
        <f>HYPERLINK("https://klasma.github.io/Logging_2582/kartor_geotiff/A 19396-2022 georefererad karta.tif", "A 19396-2022")</f>
        <v/>
      </c>
      <c r="AA111">
        <f>HYPERLINK("https://klasma.github.io/Logging_2582/klagomål/A 19396-2022 FSC-klagomål.docx", "A 19396-2022")</f>
        <v/>
      </c>
      <c r="AB111">
        <f>HYPERLINK("https://klasma.github.io/Logging_2582/klagomålsmail/A 19396-2022 FSC-klagomål mail.docx", "A 19396-2022")</f>
        <v/>
      </c>
      <c r="AC111">
        <f>HYPERLINK("https://klasma.github.io/Logging_2582/tillsyn/A 19396-2022 tillsynsbegäran.docx", "A 19396-2022")</f>
        <v/>
      </c>
      <c r="AD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41443-2025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46250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HYPERLINK("https://klasma.github.io/Logging_2582/artfynd/A 41443-2025 artfynd.xlsx", "A 41443-2025")</f>
        <v/>
      </c>
      <c r="X112">
        <f>HYPERLINK("https://klasma.github.io/Logging_2582/kartor/A 41443-2025 karta.png", "A 41443-2025")</f>
        <v/>
      </c>
      <c r="Y112">
        <f>HYPERLINK("https://klasma.github.io/Logging_2582/kartor_geotiff/A 41443-2025 georefererad karta.tif", "A 41443-2025")</f>
        <v/>
      </c>
      <c r="AA112">
        <f>HYPERLINK("https://klasma.github.io/Logging_2582/klagomål/A 41443-2025 FSC-klagomål.docx", "A 41443-2025")</f>
        <v/>
      </c>
      <c r="AB112">
        <f>HYPERLINK("https://klasma.github.io/Logging_2582/klagomålsmail/A 41443-2025 FSC-klagomål mail.docx", "A 41443-2025")</f>
        <v/>
      </c>
      <c r="AC112">
        <f>HYPERLINK("https://klasma.github.io/Logging_2582/tillsyn/A 41443-2025 tillsynsbegäran.docx", "A 41443-2025")</f>
        <v/>
      </c>
      <c r="AD112">
        <f>HYPERLINK("https://klasma.github.io/Logging_2582/tillsynsmail/A 41443-2025 tillsynsbegäran mail.docx", "A 41443-2025")</f>
        <v/>
      </c>
    </row>
    <row r="113" ht="15" customHeight="1">
      <c r="A113" t="inlineStr">
        <is>
          <t>A 41436-2025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46250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21.5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HYPERLINK("https://klasma.github.io/Logging_2582/artfynd/A 41436-2025 artfynd.xlsx", "A 41436-2025")</f>
        <v/>
      </c>
      <c r="X113">
        <f>HYPERLINK("https://klasma.github.io/Logging_2582/kartor/A 41436-2025 karta.png", "A 41436-2025")</f>
        <v/>
      </c>
      <c r="Y113">
        <f>HYPERLINK("https://klasma.github.io/Logging_2582/kartor_geotiff/A 41436-2025 georefererad karta.tif", "A 41436-2025")</f>
        <v/>
      </c>
      <c r="AA113">
        <f>HYPERLINK("https://klasma.github.io/Logging_2582/klagomål/A 41436-2025 FSC-klagomål.docx", "A 41436-2025")</f>
        <v/>
      </c>
      <c r="AB113">
        <f>HYPERLINK("https://klasma.github.io/Logging_2582/klagomålsmail/A 41436-2025 FSC-klagomål mail.docx", "A 41436-2025")</f>
        <v/>
      </c>
      <c r="AC113">
        <f>HYPERLINK("https://klasma.github.io/Logging_2582/tillsyn/A 41436-2025 tillsynsbegäran.docx", "A 41436-2025")</f>
        <v/>
      </c>
      <c r="AD113">
        <f>HYPERLINK("https://klasma.github.io/Logging_2582/tillsynsmail/A 41436-2025 tillsynsbegäran mail.docx", "A 41436-2025")</f>
        <v/>
      </c>
    </row>
    <row r="114" ht="15" customHeight="1">
      <c r="A114" t="inlineStr">
        <is>
          <t>A 26359-2022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46250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Tallticka</t>
        </is>
      </c>
      <c r="W114">
        <f>HYPERLINK("https://klasma.github.io/Logging_2582/artfynd/A 26359-2022 artfynd.xlsx", "A 26359-2022")</f>
        <v/>
      </c>
      <c r="X114">
        <f>HYPERLINK("https://klasma.github.io/Logging_2582/kartor/A 26359-2022 karta.png", "A 26359-2022")</f>
        <v/>
      </c>
      <c r="Y114">
        <f>HYPERLINK("https://klasma.github.io/Logging_2582/kartor_geotiff/A 26359-2022 georefererad karta.tif", "A 26359-2022")</f>
        <v/>
      </c>
      <c r="AA114">
        <f>HYPERLINK("https://klasma.github.io/Logging_2582/klagomål/A 26359-2022 FSC-klagomål.docx", "A 26359-2022")</f>
        <v/>
      </c>
      <c r="AB114">
        <f>HYPERLINK("https://klasma.github.io/Logging_2582/klagomålsmail/A 26359-2022 FSC-klagomål mail.docx", "A 26359-2022")</f>
        <v/>
      </c>
      <c r="AC114">
        <f>HYPERLINK("https://klasma.github.io/Logging_2582/tillsyn/A 26359-2022 tillsynsbegäran.docx", "A 26359-2022")</f>
        <v/>
      </c>
      <c r="AD114">
        <f>HYPERLINK("https://klasma.github.io/Logging_2582/tillsynsmail/A 26359-2022 tillsynsbegäran mail.docx", "A 26359-2022")</f>
        <v/>
      </c>
    </row>
    <row r="115" ht="15" customHeight="1">
      <c r="A115" t="inlineStr">
        <is>
          <t>A 22892-2024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46250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0.8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Bollvitmossa</t>
        </is>
      </c>
      <c r="W115">
        <f>HYPERLINK("https://klasma.github.io/Logging_2582/artfynd/A 22892-2024 artfynd.xlsx", "A 22892-2024")</f>
        <v/>
      </c>
      <c r="X115">
        <f>HYPERLINK("https://klasma.github.io/Logging_2582/kartor/A 22892-2024 karta.png", "A 22892-2024")</f>
        <v/>
      </c>
      <c r="Y115">
        <f>HYPERLINK("https://klasma.github.io/Logging_2582/kartor_geotiff/A 22892-2024 georefererad karta.tif", "A 22892-2024")</f>
        <v/>
      </c>
      <c r="AA115">
        <f>HYPERLINK("https://klasma.github.io/Logging_2582/klagomål/A 22892-2024 FSC-klagomål.docx", "A 22892-2024")</f>
        <v/>
      </c>
      <c r="AB115">
        <f>HYPERLINK("https://klasma.github.io/Logging_2582/klagomålsmail/A 22892-2024 FSC-klagomål mail.docx", "A 22892-2024")</f>
        <v/>
      </c>
      <c r="AC115">
        <f>HYPERLINK("https://klasma.github.io/Logging_2582/tillsyn/A 22892-2024 tillsynsbegäran.docx", "A 22892-2024")</f>
        <v/>
      </c>
      <c r="AD115">
        <f>HYPERLINK("https://klasma.github.io/Logging_2582/tillsynsmail/A 22892-2024 tillsynsbegäran mail.docx", "A 22892-2024")</f>
        <v/>
      </c>
    </row>
    <row r="116" ht="15" customHeight="1">
      <c r="A116" t="inlineStr">
        <is>
          <t>A 13568-2022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46250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Lavskrika</t>
        </is>
      </c>
      <c r="W116">
        <f>HYPERLINK("https://klasma.github.io/Logging_2582/artfynd/A 13568-2022 artfynd.xlsx", "A 13568-2022")</f>
        <v/>
      </c>
      <c r="X116">
        <f>HYPERLINK("https://klasma.github.io/Logging_2582/kartor/A 13568-2022 karta.png", "A 13568-2022")</f>
        <v/>
      </c>
      <c r="Y116">
        <f>HYPERLINK("https://klasma.github.io/Logging_2582/kartor_geotiff/A 13568-2022 georefererad karta.tif", "A 13568-2022")</f>
        <v/>
      </c>
      <c r="AA116">
        <f>HYPERLINK("https://klasma.github.io/Logging_2582/klagomål/A 13568-2022 FSC-klagomål.docx", "A 13568-2022")</f>
        <v/>
      </c>
      <c r="AB116">
        <f>HYPERLINK("https://klasma.github.io/Logging_2582/klagomålsmail/A 13568-2022 FSC-klagomål mail.docx", "A 13568-2022")</f>
        <v/>
      </c>
      <c r="AC116">
        <f>HYPERLINK("https://klasma.github.io/Logging_2582/tillsyn/A 13568-2022 tillsynsbegäran.docx", "A 13568-2022")</f>
        <v/>
      </c>
      <c r="AD116">
        <f>HYPERLINK("https://klasma.github.io/Logging_2582/tillsynsmail/A 13568-2022 tillsynsbegäran mail.docx", "A 13568-2022")</f>
        <v/>
      </c>
      <c r="AE116">
        <f>HYPERLINK("https://klasma.github.io/Logging_2582/fåglar/A 13568-2022 prioriterade fågelarter.docx", "A 13568-2022")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46250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46250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41087-2024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45559</v>
      </c>
      <c r="E119" s="1" t="n">
        <v>46250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HYPERLINK("https://klasma.github.io/Logging_2582/artfynd/A 41087-2024 artfynd.xlsx", "A 41087-2024")</f>
        <v/>
      </c>
      <c r="X119">
        <f>HYPERLINK("https://klasma.github.io/Logging_2582/kartor/A 41087-2024 karta.png", "A 41087-2024")</f>
        <v/>
      </c>
      <c r="Y119">
        <f>HYPERLINK("https://klasma.github.io/Logging_2582/kartor_geotiff/A 41087-2024 georefererad karta.tif", "A 41087-2024")</f>
        <v/>
      </c>
      <c r="AA119">
        <f>HYPERLINK("https://klasma.github.io/Logging_2582/klagomål/A 41087-2024 FSC-klagomål.docx", "A 41087-2024")</f>
        <v/>
      </c>
      <c r="AB119">
        <f>HYPERLINK("https://klasma.github.io/Logging_2582/klagomålsmail/A 41087-2024 FSC-klagomål mail.docx", "A 41087-2024")</f>
        <v/>
      </c>
      <c r="AC119">
        <f>HYPERLINK("https://klasma.github.io/Logging_2582/tillsyn/A 41087-2024 tillsynsbegäran.docx", "A 41087-2024")</f>
        <v/>
      </c>
      <c r="AD119">
        <f>HYPERLINK("https://klasma.github.io/Logging_2582/tillsynsmail/A 41087-2024 tillsynsbegäran mail.docx", "A 41087-2024")</f>
        <v/>
      </c>
    </row>
    <row r="120" ht="15" customHeight="1">
      <c r="A120" t="inlineStr">
        <is>
          <t>A 50394-2025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45944</v>
      </c>
      <c r="E120" s="1" t="n">
        <v>46250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HYPERLINK("https://klasma.github.io/Logging_2582/artfynd/A 50394-2025 artfynd.xlsx", "A 50394-2025")</f>
        <v/>
      </c>
      <c r="X120">
        <f>HYPERLINK("https://klasma.github.io/Logging_2582/kartor/A 50394-2025 karta.png", "A 50394-2025")</f>
        <v/>
      </c>
      <c r="Y120">
        <f>HYPERLINK("https://klasma.github.io/Logging_2582/kartor_geotiff/A 50394-2025 georefererad karta.tif", "A 50394-2025")</f>
        <v/>
      </c>
      <c r="AA120">
        <f>HYPERLINK("https://klasma.github.io/Logging_2582/klagomål/A 50394-2025 FSC-klagomål.docx", "A 50394-2025")</f>
        <v/>
      </c>
      <c r="AB120">
        <f>HYPERLINK("https://klasma.github.io/Logging_2582/klagomålsmail/A 50394-2025 FSC-klagomål mail.docx", "A 50394-2025")</f>
        <v/>
      </c>
      <c r="AC120">
        <f>HYPERLINK("https://klasma.github.io/Logging_2582/tillsyn/A 50394-2025 tillsynsbegäran.docx", "A 50394-2025")</f>
        <v/>
      </c>
      <c r="AD120">
        <f>HYPERLINK("https://klasma.github.io/Logging_2582/tillsynsmail/A 50394-2025 tillsynsbegäran mail.docx", "A 50394-2025")</f>
        <v/>
      </c>
    </row>
    <row r="121" ht="15" customHeight="1">
      <c r="A121" t="inlineStr">
        <is>
          <t>A 32600-2024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46250</v>
      </c>
      <c r="F121" t="inlineStr">
        <is>
          <t>NORRBOTTENS LÄN</t>
        </is>
      </c>
      <c r="G121" t="inlineStr">
        <is>
          <t>BODEN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32600-2024 artfynd.xlsx", "A 32600-2024")</f>
        <v/>
      </c>
      <c r="X121">
        <f>HYPERLINK("https://klasma.github.io/Logging_2582/kartor/A 32600-2024 karta.png", "A 32600-2024")</f>
        <v/>
      </c>
      <c r="Y121">
        <f>HYPERLINK("https://klasma.github.io/Logging_2582/kartor_geotiff/A 32600-2024 georefererad karta.tif", "A 32600-2024")</f>
        <v/>
      </c>
      <c r="AA121">
        <f>HYPERLINK("https://klasma.github.io/Logging_2582/klagomål/A 32600-2024 FSC-klagomål.docx", "A 32600-2024")</f>
        <v/>
      </c>
      <c r="AB121">
        <f>HYPERLINK("https://klasma.github.io/Logging_2582/klagomålsmail/A 32600-2024 FSC-klagomål mail.docx", "A 32600-2024")</f>
        <v/>
      </c>
      <c r="AC121">
        <f>HYPERLINK("https://klasma.github.io/Logging_2582/tillsyn/A 32600-2024 tillsynsbegäran.docx", "A 32600-2024")</f>
        <v/>
      </c>
      <c r="AD121">
        <f>HYPERLINK("https://klasma.github.io/Logging_2582/tillsynsmail/A 32600-2024 tillsynsbegäran mail.docx", "A 32600-2024")</f>
        <v/>
      </c>
    </row>
    <row r="122" ht="15" customHeight="1">
      <c r="A122" t="inlineStr">
        <is>
          <t>A 51184-2025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46250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HYPERLINK("https://klasma.github.io/Logging_2582/artfynd/A 51184-2025 artfynd.xlsx", "A 51184-2025")</f>
        <v/>
      </c>
      <c r="X122">
        <f>HYPERLINK("https://klasma.github.io/Logging_2582/kartor/A 51184-2025 karta.png", "A 51184-2025")</f>
        <v/>
      </c>
      <c r="Y122">
        <f>HYPERLINK("https://klasma.github.io/Logging_2582/kartor_geotiff/A 51184-2025 georefererad karta.tif", "A 51184-2025")</f>
        <v/>
      </c>
      <c r="AA122">
        <f>HYPERLINK("https://klasma.github.io/Logging_2582/klagomål/A 51184-2025 FSC-klagomål.docx", "A 51184-2025")</f>
        <v/>
      </c>
      <c r="AB122">
        <f>HYPERLINK("https://klasma.github.io/Logging_2582/klagomålsmail/A 51184-2025 FSC-klagomål mail.docx", "A 51184-2025")</f>
        <v/>
      </c>
      <c r="AC122">
        <f>HYPERLINK("https://klasma.github.io/Logging_2582/tillsyn/A 51184-2025 tillsynsbegäran.docx", "A 51184-2025")</f>
        <v/>
      </c>
      <c r="AD122">
        <f>HYPERLINK("https://klasma.github.io/Logging_2582/tillsynsmail/A 51184-2025 tillsynsbegäran mail.docx", "A 51184-2025")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46250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46250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51874-2025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45952</v>
      </c>
      <c r="E125" s="1" t="n">
        <v>46250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51874-2025 artfynd.xlsx", "A 51874-2025")</f>
        <v/>
      </c>
      <c r="X125">
        <f>HYPERLINK("https://klasma.github.io/Logging_2582/kartor/A 51874-2025 karta.png", "A 51874-2025")</f>
        <v/>
      </c>
      <c r="Y125">
        <f>HYPERLINK("https://klasma.github.io/Logging_2582/kartor_geotiff/A 51874-2025 georefererad karta.tif", "A 51874-2025")</f>
        <v/>
      </c>
      <c r="AA125">
        <f>HYPERLINK("https://klasma.github.io/Logging_2582/klagomål/A 51874-2025 FSC-klagomål.docx", "A 51874-2025")</f>
        <v/>
      </c>
      <c r="AB125">
        <f>HYPERLINK("https://klasma.github.io/Logging_2582/klagomålsmail/A 51874-2025 FSC-klagomål mail.docx", "A 51874-2025")</f>
        <v/>
      </c>
      <c r="AC125">
        <f>HYPERLINK("https://klasma.github.io/Logging_2582/tillsyn/A 51874-2025 tillsynsbegäran.docx", "A 51874-2025")</f>
        <v/>
      </c>
      <c r="AD125">
        <f>HYPERLINK("https://klasma.github.io/Logging_2582/tillsynsmail/A 51874-2025 tillsynsbegäran mail.docx", "A 51874-2025")</f>
        <v/>
      </c>
    </row>
    <row r="126" ht="15" customHeight="1">
      <c r="A126" t="inlineStr">
        <is>
          <t>A 14329-2026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46250</v>
      </c>
      <c r="F126" t="inlineStr">
        <is>
          <t>NORRBOTTENS LÄN</t>
        </is>
      </c>
      <c r="G126" t="inlineStr">
        <is>
          <t>BODEN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HYPERLINK("https://klasma.github.io/Logging_2582/artfynd/A 14329-2026 artfynd.xlsx", "A 14329-2026")</f>
        <v/>
      </c>
      <c r="X126">
        <f>HYPERLINK("https://klasma.github.io/Logging_2582/kartor/A 14329-2026 karta.png", "A 14329-2026")</f>
        <v/>
      </c>
      <c r="Y126">
        <f>HYPERLINK("https://klasma.github.io/Logging_2582/kartor_geotiff/A 14329-2026 georefererad karta.tif", "A 14329-2026")</f>
        <v/>
      </c>
      <c r="AA126">
        <f>HYPERLINK("https://klasma.github.io/Logging_2582/klagomål/A 14329-2026 FSC-klagomål.docx", "A 14329-2026")</f>
        <v/>
      </c>
      <c r="AB126">
        <f>HYPERLINK("https://klasma.github.io/Logging_2582/klagomålsmail/A 14329-2026 FSC-klagomål mail.docx", "A 14329-2026")</f>
        <v/>
      </c>
      <c r="AC126">
        <f>HYPERLINK("https://klasma.github.io/Logging_2582/tillsyn/A 14329-2026 tillsynsbegäran.docx", "A 14329-2026")</f>
        <v/>
      </c>
      <c r="AD126">
        <f>HYPERLINK("https://klasma.github.io/Logging_2582/tillsynsmail/A 14329-2026 tillsynsbegäran mail.docx", "A 14329-2026")</f>
        <v/>
      </c>
      <c r="AE126">
        <f>HYPERLINK("https://klasma.github.io/Logging_2582/fåglar/A 14329-2026 prioriterade fågelarter.docx", "A 14329-2026")</f>
        <v/>
      </c>
    </row>
    <row r="127" ht="15" customHeight="1">
      <c r="A127" t="inlineStr">
        <is>
          <t>A 53180-2025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46250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13.2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3</v>
      </c>
      <c r="V127" s="2" t="inlineStr">
        <is>
          <t>Lunglav</t>
        </is>
      </c>
      <c r="W127">
        <f>HYPERLINK("https://klasma.github.io/Logging_2582/artfynd/A 53180-2025 artfynd.xlsx", "A 53180-2025")</f>
        <v/>
      </c>
      <c r="X127">
        <f>HYPERLINK("https://klasma.github.io/Logging_2582/kartor/A 53180-2025 karta.png", "A 53180-2025")</f>
        <v/>
      </c>
      <c r="Y127">
        <f>HYPERLINK("https://klasma.github.io/Logging_2582/kartor_geotiff/A 53180-2025 georefererad karta.tif", "A 53180-2025")</f>
        <v/>
      </c>
      <c r="AA127">
        <f>HYPERLINK("https://klasma.github.io/Logging_2582/klagomål/A 53180-2025 FSC-klagomål.docx", "A 53180-2025")</f>
        <v/>
      </c>
      <c r="AB127">
        <f>HYPERLINK("https://klasma.github.io/Logging_2582/klagomålsmail/A 53180-2025 FSC-klagomål mail.docx", "A 53180-2025")</f>
        <v/>
      </c>
      <c r="AC127">
        <f>HYPERLINK("https://klasma.github.io/Logging_2582/tillsyn/A 53180-2025 tillsynsbegäran.docx", "A 53180-2025")</f>
        <v/>
      </c>
      <c r="AD127">
        <f>HYPERLINK("https://klasma.github.io/Logging_2582/tillsynsmail/A 53180-2025 tillsynsbegäran mail.docx", "A 53180-2025")</f>
        <v/>
      </c>
    </row>
    <row r="128" ht="15" customHeight="1">
      <c r="A128" t="inlineStr">
        <is>
          <t>A 53590-2025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46250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Gulskölding</t>
        </is>
      </c>
      <c r="W128">
        <f>HYPERLINK("https://klasma.github.io/Logging_2582/artfynd/A 53590-2025 artfynd.xlsx", "A 53590-2025")</f>
        <v/>
      </c>
      <c r="X128">
        <f>HYPERLINK("https://klasma.github.io/Logging_2582/kartor/A 53590-2025 karta.png", "A 53590-2025")</f>
        <v/>
      </c>
      <c r="Y128">
        <f>HYPERLINK("https://klasma.github.io/Logging_2582/kartor_geotiff/A 53590-2025 georefererad karta.tif", "A 53590-2025")</f>
        <v/>
      </c>
      <c r="AA128">
        <f>HYPERLINK("https://klasma.github.io/Logging_2582/klagomål/A 53590-2025 FSC-klagomål.docx", "A 53590-2025")</f>
        <v/>
      </c>
      <c r="AB128">
        <f>HYPERLINK("https://klasma.github.io/Logging_2582/klagomålsmail/A 53590-2025 FSC-klagomål mail.docx", "A 53590-2025")</f>
        <v/>
      </c>
      <c r="AC128">
        <f>HYPERLINK("https://klasma.github.io/Logging_2582/tillsyn/A 53590-2025 tillsynsbegäran.docx", "A 53590-2025")</f>
        <v/>
      </c>
      <c r="AD128">
        <f>HYPERLINK("https://klasma.github.io/Logging_2582/tillsynsmail/A 53590-2025 tillsynsbegäran mail.docx", "A 53590-2025")</f>
        <v/>
      </c>
    </row>
    <row r="129" ht="15" customHeight="1">
      <c r="A129" t="inlineStr">
        <is>
          <t>A 54563-2025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46250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10.3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HYPERLINK("https://klasma.github.io/Logging_2582/artfynd/A 54563-2025 artfynd.xlsx", "A 54563-2025")</f>
        <v/>
      </c>
      <c r="X129">
        <f>HYPERLINK("https://klasma.github.io/Logging_2582/kartor/A 54563-2025 karta.png", "A 54563-2025")</f>
        <v/>
      </c>
      <c r="Y129">
        <f>HYPERLINK("https://klasma.github.io/Logging_2582/kartor_geotiff/A 54563-2025 georefererad karta.tif", "A 54563-2025")</f>
        <v/>
      </c>
      <c r="AA129">
        <f>HYPERLINK("https://klasma.github.io/Logging_2582/klagomål/A 54563-2025 FSC-klagomål.docx", "A 54563-2025")</f>
        <v/>
      </c>
      <c r="AB129">
        <f>HYPERLINK("https://klasma.github.io/Logging_2582/klagomålsmail/A 54563-2025 FSC-klagomål mail.docx", "A 54563-2025")</f>
        <v/>
      </c>
      <c r="AC129">
        <f>HYPERLINK("https://klasma.github.io/Logging_2582/tillsyn/A 54563-2025 tillsynsbegäran.docx", "A 54563-2025")</f>
        <v/>
      </c>
      <c r="AD129">
        <f>HYPERLINK("https://klasma.github.io/Logging_2582/tillsynsmail/A 54563-2025 tillsynsbegäran mail.docx", "A 54563-2025")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46250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46250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46250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665-2023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46250</v>
      </c>
      <c r="F133" t="inlineStr">
        <is>
          <t>NORRBOTTENS LÄN</t>
        </is>
      </c>
      <c r="G133" t="inlineStr">
        <is>
          <t>BODEN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Duvhök</t>
        </is>
      </c>
      <c r="W133">
        <f>HYPERLINK("https://klasma.github.io/Logging_2582/artfynd/A 665-2023 artfynd.xlsx", "A 665-2023")</f>
        <v/>
      </c>
      <c r="X133">
        <f>HYPERLINK("https://klasma.github.io/Logging_2582/kartor/A 665-2023 karta.png", "A 665-2023")</f>
        <v/>
      </c>
      <c r="Y133">
        <f>HYPERLINK("https://klasma.github.io/Logging_2582/kartor_geotiff/A 665-2023 georefererad karta.tif", "A 665-2023")</f>
        <v/>
      </c>
      <c r="AA133">
        <f>HYPERLINK("https://klasma.github.io/Logging_2582/klagomål/A 665-2023 FSC-klagomål.docx", "A 665-2023")</f>
        <v/>
      </c>
      <c r="AB133">
        <f>HYPERLINK("https://klasma.github.io/Logging_2582/klagomålsmail/A 665-2023 FSC-klagomål mail.docx", "A 665-2023")</f>
        <v/>
      </c>
      <c r="AC133">
        <f>HYPERLINK("https://klasma.github.io/Logging_2582/tillsyn/A 665-2023 tillsynsbegäran.docx", "A 665-2023")</f>
        <v/>
      </c>
      <c r="AD133">
        <f>HYPERLINK("https://klasma.github.io/Logging_2582/tillsynsmail/A 665-2023 tillsynsbegäran mail.docx", "A 665-2023")</f>
        <v/>
      </c>
      <c r="AE133">
        <f>HYPERLINK("https://klasma.github.io/Logging_2582/fåglar/A 665-2023 prioriterade fågelarter.docx", "A 665-2023")</f>
        <v/>
      </c>
    </row>
    <row r="134" ht="15" customHeight="1">
      <c r="A134" t="inlineStr">
        <is>
          <t>A 2568-2024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46250</v>
      </c>
      <c r="F134" t="inlineStr">
        <is>
          <t>NORRBOTTENS LÄN</t>
        </is>
      </c>
      <c r="G134" t="inlineStr">
        <is>
          <t>BODEN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 taggsvamp</t>
        </is>
      </c>
      <c r="W134">
        <f>HYPERLINK("https://klasma.github.io/Logging_2582/artfynd/A 2568-2024 artfynd.xlsx", "A 2568-2024")</f>
        <v/>
      </c>
      <c r="X134">
        <f>HYPERLINK("https://klasma.github.io/Logging_2582/kartor/A 2568-2024 karta.png", "A 2568-2024")</f>
        <v/>
      </c>
      <c r="Y134">
        <f>HYPERLINK("https://klasma.github.io/Logging_2582/kartor_geotiff/A 2568-2024 georefererad karta.tif", "A 2568-2024")</f>
        <v/>
      </c>
      <c r="AA134">
        <f>HYPERLINK("https://klasma.github.io/Logging_2582/klagomål/A 2568-2024 FSC-klagomål.docx", "A 2568-2024")</f>
        <v/>
      </c>
      <c r="AB134">
        <f>HYPERLINK("https://klasma.github.io/Logging_2582/klagomålsmail/A 2568-2024 FSC-klagomål mail.docx", "A 2568-2024")</f>
        <v/>
      </c>
      <c r="AC134">
        <f>HYPERLINK("https://klasma.github.io/Logging_2582/tillsyn/A 2568-2024 tillsynsbegäran.docx", "A 2568-2024")</f>
        <v/>
      </c>
      <c r="AD134">
        <f>HYPERLINK("https://klasma.github.io/Logging_2582/tillsynsmail/A 2568-2024 tillsynsbegäran mail.docx", "A 2568-2024")</f>
        <v/>
      </c>
    </row>
    <row r="135" ht="15" customHeight="1">
      <c r="A135" t="inlineStr">
        <is>
          <t>A 19580-2026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46250</v>
      </c>
      <c r="F135" t="inlineStr">
        <is>
          <t>NORRBOTTENS LÄN</t>
        </is>
      </c>
      <c r="G135" t="inlineStr">
        <is>
          <t>BODEN</t>
        </is>
      </c>
      <c r="I135" t="n">
        <v>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Dropptaggsvamp</t>
        </is>
      </c>
      <c r="W135">
        <f>HYPERLINK("https://klasma.github.io/Logging_2582/artfynd/A 19580-2026 artfynd.xlsx", "A 19580-2026")</f>
        <v/>
      </c>
      <c r="X135">
        <f>HYPERLINK("https://klasma.github.io/Logging_2582/kartor/A 19580-2026 karta.png", "A 19580-2026")</f>
        <v/>
      </c>
      <c r="Y135">
        <f>HYPERLINK("https://klasma.github.io/Logging_2582/kartor_geotiff/A 19580-2026 georefererad karta.tif", "A 19580-2026")</f>
        <v/>
      </c>
      <c r="AA135">
        <f>HYPERLINK("https://klasma.github.io/Logging_2582/klagomål/A 19580-2026 FSC-klagomål.docx", "A 19580-2026")</f>
        <v/>
      </c>
      <c r="AB135">
        <f>HYPERLINK("https://klasma.github.io/Logging_2582/klagomålsmail/A 19580-2026 FSC-klagomål mail.docx", "A 19580-2026")</f>
        <v/>
      </c>
      <c r="AC135">
        <f>HYPERLINK("https://klasma.github.io/Logging_2582/tillsyn/A 19580-2026 tillsynsbegäran.docx", "A 19580-2026")</f>
        <v/>
      </c>
      <c r="AD135">
        <f>HYPERLINK("https://klasma.github.io/Logging_2582/tillsynsmail/A 19580-2026 tillsynsbegäran mail.docx", "A 19580-2026")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46250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36743-2024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46250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36743-2024 artfynd.xlsx", "A 36743-2024")</f>
        <v/>
      </c>
      <c r="X137">
        <f>HYPERLINK("https://klasma.github.io/Logging_2582/kartor/A 36743-2024 karta.png", "A 36743-2024")</f>
        <v/>
      </c>
      <c r="Y137">
        <f>HYPERLINK("https://klasma.github.io/Logging_2582/kartor_geotiff/A 36743-2024 georefererad karta.tif", "A 36743-2024")</f>
        <v/>
      </c>
      <c r="AA137">
        <f>HYPERLINK("https://klasma.github.io/Logging_2582/klagomål/A 36743-2024 FSC-klagomål.docx", "A 36743-2024")</f>
        <v/>
      </c>
      <c r="AB137">
        <f>HYPERLINK("https://klasma.github.io/Logging_2582/klagomålsmail/A 36743-2024 FSC-klagomål mail.docx", "A 36743-2024")</f>
        <v/>
      </c>
      <c r="AC137">
        <f>HYPERLINK("https://klasma.github.io/Logging_2582/tillsyn/A 36743-2024 tillsynsbegäran.docx", "A 36743-2024")</f>
        <v/>
      </c>
      <c r="AD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4878-2026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46250</v>
      </c>
      <c r="F138" t="inlineStr">
        <is>
          <t>NORRBOTTENS LÄN</t>
        </is>
      </c>
      <c r="G138" t="inlineStr">
        <is>
          <t>BODEN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Vanlig padda</t>
        </is>
      </c>
      <c r="W138">
        <f>HYPERLINK("https://klasma.github.io/Logging_2582/artfynd/A 4878-2026 artfynd.xlsx", "A 4878-2026")</f>
        <v/>
      </c>
      <c r="X138">
        <f>HYPERLINK("https://klasma.github.io/Logging_2582/kartor/A 4878-2026 karta.png", "A 4878-2026")</f>
        <v/>
      </c>
      <c r="Y138">
        <f>HYPERLINK("https://klasma.github.io/Logging_2582/kartor_geotiff/A 4878-2026 georefererad karta.tif", "A 4878-2026")</f>
        <v/>
      </c>
      <c r="AA138">
        <f>HYPERLINK("https://klasma.github.io/Logging_2582/klagomål/A 4878-2026 FSC-klagomål.docx", "A 4878-2026")</f>
        <v/>
      </c>
      <c r="AB138">
        <f>HYPERLINK("https://klasma.github.io/Logging_2582/klagomålsmail/A 4878-2026 FSC-klagomål mail.docx", "A 4878-2026")</f>
        <v/>
      </c>
      <c r="AC138">
        <f>HYPERLINK("https://klasma.github.io/Logging_2582/tillsyn/A 4878-2026 tillsynsbegäran.docx", "A 4878-2026")</f>
        <v/>
      </c>
      <c r="AD138">
        <f>HYPERLINK("https://klasma.github.io/Logging_2582/tillsynsmail/A 4878-2026 tillsynsbegäran mail.docx", "A 4878-2026")</f>
        <v/>
      </c>
    </row>
    <row r="139" ht="15" customHeight="1">
      <c r="A139" t="inlineStr">
        <is>
          <t>A 12832-2022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46250</v>
      </c>
      <c r="F139" t="inlineStr">
        <is>
          <t>NORRBOTTENS LÄN</t>
        </is>
      </c>
      <c r="G139" t="inlineStr">
        <is>
          <t>BODEN</t>
        </is>
      </c>
      <c r="I139" t="n">
        <v>6.6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Doftticka</t>
        </is>
      </c>
      <c r="W139">
        <f>HYPERLINK("https://klasma.github.io/Logging_2582/artfynd/A 12832-2022 artfynd.xlsx", "A 12832-2022")</f>
        <v/>
      </c>
      <c r="X139">
        <f>HYPERLINK("https://klasma.github.io/Logging_2582/kartor/A 12832-2022 karta.png", "A 12832-2022")</f>
        <v/>
      </c>
      <c r="Y139">
        <f>HYPERLINK("https://klasma.github.io/Logging_2582/kartor_geotiff/A 12832-2022 georefererad karta.tif", "A 12832-2022")</f>
        <v/>
      </c>
      <c r="AA139">
        <f>HYPERLINK("https://klasma.github.io/Logging_2582/klagomål/A 12832-2022 FSC-klagomål.docx", "A 12832-2022")</f>
        <v/>
      </c>
      <c r="AB139">
        <f>HYPERLINK("https://klasma.github.io/Logging_2582/klagomålsmail/A 12832-2022 FSC-klagomål mail.docx", "A 12832-2022")</f>
        <v/>
      </c>
      <c r="AC139">
        <f>HYPERLINK("https://klasma.github.io/Logging_2582/tillsyn/A 12832-2022 tillsynsbegäran.docx", "A 12832-2022")</f>
        <v/>
      </c>
      <c r="AD139">
        <f>HYPERLINK("https://klasma.github.io/Logging_2582/tillsynsmail/A 12832-2022 tillsynsbegäran mail.docx", "A 12832-2022")</f>
        <v/>
      </c>
    </row>
    <row r="140" ht="15" customHeight="1">
      <c r="A140" t="inlineStr">
        <is>
          <t>A 68514-2021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46250</v>
      </c>
      <c r="F140" t="inlineStr">
        <is>
          <t>NORRBOTTENS LÄN</t>
        </is>
      </c>
      <c r="G140" t="inlineStr">
        <is>
          <t>BODEN</t>
        </is>
      </c>
      <c r="I140" t="n">
        <v>6.2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Spillkråka</t>
        </is>
      </c>
      <c r="W140">
        <f>HYPERLINK("https://klasma.github.io/Logging_2582/artfynd/A 68514-2021 artfynd.xlsx", "A 68514-2021")</f>
        <v/>
      </c>
      <c r="X140">
        <f>HYPERLINK("https://klasma.github.io/Logging_2582/kartor/A 68514-2021 karta.png", "A 68514-2021")</f>
        <v/>
      </c>
      <c r="Y140">
        <f>HYPERLINK("https://klasma.github.io/Logging_2582/kartor_geotiff/A 68514-2021 georefererad karta.tif", "A 68514-2021")</f>
        <v/>
      </c>
      <c r="Z140">
        <f>HYPERLINK("https://klasma.github.io/Logging_2582/knärot/A 68514-2021 karta knärot.png", "A 68514-2021")</f>
        <v/>
      </c>
      <c r="AA140">
        <f>HYPERLINK("https://klasma.github.io/Logging_2582/klagomål/A 68514-2021 FSC-klagomål.docx", "A 68514-2021")</f>
        <v/>
      </c>
      <c r="AB140">
        <f>HYPERLINK("https://klasma.github.io/Logging_2582/klagomålsmail/A 68514-2021 FSC-klagomål mail.docx", "A 68514-2021")</f>
        <v/>
      </c>
      <c r="AC140">
        <f>HYPERLINK("https://klasma.github.io/Logging_2582/tillsyn/A 68514-2021 tillsynsbegäran.docx", "A 68514-2021")</f>
        <v/>
      </c>
      <c r="AD140">
        <f>HYPERLINK("https://klasma.github.io/Logging_2582/tillsynsmail/A 68514-2021 tillsynsbegäran mail.docx", "A 68514-2021")</f>
        <v/>
      </c>
      <c r="AE140">
        <f>HYPERLINK("https://klasma.github.io/Logging_2582/fåglar/A 68514-2021 prioriterade fågelarter.docx", "A 68514-2021")</f>
        <v/>
      </c>
    </row>
    <row r="141" ht="15" customHeight="1">
      <c r="A141" t="inlineStr">
        <is>
          <t>A 21310-2026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46147</v>
      </c>
      <c r="E141" s="1" t="n">
        <v>46250</v>
      </c>
      <c r="F141" t="inlineStr">
        <is>
          <t>NORRBOTTENS LÄN</t>
        </is>
      </c>
      <c r="G141" t="inlineStr">
        <is>
          <t>BODEN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21310-2026 artfynd.xlsx", "A 21310-2026")</f>
        <v/>
      </c>
      <c r="X141">
        <f>HYPERLINK("https://klasma.github.io/Logging_2582/kartor/A 21310-2026 karta.png", "A 21310-2026")</f>
        <v/>
      </c>
      <c r="Y141">
        <f>HYPERLINK("https://klasma.github.io/Logging_2582/kartor_geotiff/A 21310-2026 georefererad karta.tif", "A 21310-2026")</f>
        <v/>
      </c>
      <c r="AA141">
        <f>HYPERLINK("https://klasma.github.io/Logging_2582/klagomål/A 21310-2026 FSC-klagomål.docx", "A 21310-2026")</f>
        <v/>
      </c>
      <c r="AB141">
        <f>HYPERLINK("https://klasma.github.io/Logging_2582/klagomålsmail/A 21310-2026 FSC-klagomål mail.docx", "A 21310-2026")</f>
        <v/>
      </c>
      <c r="AC141">
        <f>HYPERLINK("https://klasma.github.io/Logging_2582/tillsyn/A 21310-2026 tillsynsbegäran.docx", "A 21310-2026")</f>
        <v/>
      </c>
      <c r="AD141">
        <f>HYPERLINK("https://klasma.github.io/Logging_2582/tillsynsmail/A 21310-2026 tillsynsbegäran mail.docx", "A 21310-2026")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46250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16217-2024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46250</v>
      </c>
      <c r="F143" t="inlineStr">
        <is>
          <t>NORRBOTTENS LÄN</t>
        </is>
      </c>
      <c r="G143" t="inlineStr">
        <is>
          <t>BODEN</t>
        </is>
      </c>
      <c r="I143" t="n">
        <v>7.2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Videsparv</t>
        </is>
      </c>
      <c r="W143">
        <f>HYPERLINK("https://klasma.github.io/Logging_2582/artfynd/A 16217-2024 artfynd.xlsx", "A 16217-2024")</f>
        <v/>
      </c>
      <c r="X143">
        <f>HYPERLINK("https://klasma.github.io/Logging_2582/kartor/A 16217-2024 karta.png", "A 16217-2024")</f>
        <v/>
      </c>
      <c r="Y143">
        <f>HYPERLINK("https://klasma.github.io/Logging_2582/kartor_geotiff/A 16217-2024 georefererad karta.tif", "A 16217-2024")</f>
        <v/>
      </c>
      <c r="AA143">
        <f>HYPERLINK("https://klasma.github.io/Logging_2582/klagomål/A 16217-2024 FSC-klagomål.docx", "A 16217-2024")</f>
        <v/>
      </c>
      <c r="AB143">
        <f>HYPERLINK("https://klasma.github.io/Logging_2582/klagomålsmail/A 16217-2024 FSC-klagomål mail.docx", "A 16217-2024")</f>
        <v/>
      </c>
      <c r="AC143">
        <f>HYPERLINK("https://klasma.github.io/Logging_2582/tillsyn/A 16217-2024 tillsynsbegäran.docx", "A 16217-2024")</f>
        <v/>
      </c>
      <c r="AD143">
        <f>HYPERLINK("https://klasma.github.io/Logging_2582/tillsynsmail/A 16217-2024 tillsynsbegäran mail.docx", "A 16217-2024")</f>
        <v/>
      </c>
      <c r="AE143">
        <f>HYPERLINK("https://klasma.github.io/Logging_2582/fåglar/A 16217-2024 prioriterade fågelarter.docx", "A 16217-2024")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46250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46250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46250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46250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46250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2565-2026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46250</v>
      </c>
      <c r="F149" t="inlineStr">
        <is>
          <t>NORRBOTTENS LÄN</t>
        </is>
      </c>
      <c r="G149" t="inlineStr">
        <is>
          <t>BODEN</t>
        </is>
      </c>
      <c r="H149" t="inlineStr">
        <is>
          <t>Naturvårdsverket</t>
        </is>
      </c>
      <c r="I149" t="n">
        <v>4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2</v>
      </c>
      <c r="V149" s="2" t="inlineStr">
        <is>
          <t>Garnlav</t>
        </is>
      </c>
      <c r="W149">
        <f>HYPERLINK("https://klasma.github.io/Logging_2582/artfynd/A 2565-2026 artfynd.xlsx", "A 2565-2026")</f>
        <v/>
      </c>
      <c r="X149">
        <f>HYPERLINK("https://klasma.github.io/Logging_2582/kartor/A 2565-2026 karta.png", "A 2565-2026")</f>
        <v/>
      </c>
      <c r="Y149">
        <f>HYPERLINK("https://klasma.github.io/Logging_2582/kartor_geotiff/A 2565-2026 georefererad karta.tif", "A 2565-2026")</f>
        <v/>
      </c>
      <c r="AA149">
        <f>HYPERLINK("https://klasma.github.io/Logging_2582/klagomål/A 2565-2026 FSC-klagomål.docx", "A 2565-2026")</f>
        <v/>
      </c>
      <c r="AB149">
        <f>HYPERLINK("https://klasma.github.io/Logging_2582/klagomålsmail/A 2565-2026 FSC-klagomål mail.docx", "A 2565-2026")</f>
        <v/>
      </c>
      <c r="AC149">
        <f>HYPERLINK("https://klasma.github.io/Logging_2582/tillsyn/A 2565-2026 tillsynsbegäran.docx", "A 2565-2026")</f>
        <v/>
      </c>
      <c r="AD149">
        <f>HYPERLINK("https://klasma.github.io/Logging_2582/tillsynsmail/A 2565-2026 tillsynsbegäran mail.docx", "A 2565-2026")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46250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32664-2026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46250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14.3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4</v>
      </c>
      <c r="U151" t="n">
        <v>0</v>
      </c>
      <c r="V151" s="2" t="inlineStr">
        <is>
          <t>Lunglav</t>
        </is>
      </c>
      <c r="W151">
        <f>HYPERLINK("https://klasma.github.io/Logging_2582/artfynd/A 32664-2026 artfynd.xlsx", "A 32664-2026")</f>
        <v/>
      </c>
      <c r="X151">
        <f>HYPERLINK("https://klasma.github.io/Logging_2582/kartor/A 32664-2026 karta.png", "A 32664-2026")</f>
        <v/>
      </c>
      <c r="Y151">
        <f>HYPERLINK("https://klasma.github.io/Logging_2582/kartor_geotiff/A 32664-2026 georefererad karta.tif", "A 32664-2026")</f>
        <v/>
      </c>
      <c r="AA151">
        <f>HYPERLINK("https://klasma.github.io/Logging_2582/klagomål/A 32664-2026 FSC-klagomål.docx", "A 32664-2026")</f>
        <v/>
      </c>
      <c r="AB151">
        <f>HYPERLINK("https://klasma.github.io/Logging_2582/klagomålsmail/A 32664-2026 FSC-klagomål mail.docx", "A 32664-2026")</f>
        <v/>
      </c>
      <c r="AC151">
        <f>HYPERLINK("https://klasma.github.io/Logging_2582/tillsyn/A 32664-2026 tillsynsbegäran.docx", "A 32664-2026")</f>
        <v/>
      </c>
      <c r="AD151">
        <f>HYPERLINK("https://klasma.github.io/Logging_2582/tillsynsmail/A 32664-2026 tillsynsbegäran mail.docx", "A 32664-2026")</f>
        <v/>
      </c>
    </row>
    <row r="152" ht="15" customHeight="1">
      <c r="A152" t="inlineStr">
        <is>
          <t>A 32708-2026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46250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HYPERLINK("https://klasma.github.io/Logging_2582/artfynd/A 32708-2026 artfynd.xlsx", "A 32708-2026")</f>
        <v/>
      </c>
      <c r="X152">
        <f>HYPERLINK("https://klasma.github.io/Logging_2582/kartor/A 32708-2026 karta.png", "A 32708-2026")</f>
        <v/>
      </c>
      <c r="Y152">
        <f>HYPERLINK("https://klasma.github.io/Logging_2582/kartor_geotiff/A 32708-2026 georefererad karta.tif", "A 32708-2026")</f>
        <v/>
      </c>
      <c r="AA152">
        <f>HYPERLINK("https://klasma.github.io/Logging_2582/klagomål/A 32708-2026 FSC-klagomål.docx", "A 32708-2026")</f>
        <v/>
      </c>
      <c r="AB152">
        <f>HYPERLINK("https://klasma.github.io/Logging_2582/klagomålsmail/A 32708-2026 FSC-klagomål mail.docx", "A 32708-2026")</f>
        <v/>
      </c>
      <c r="AC152">
        <f>HYPERLINK("https://klasma.github.io/Logging_2582/tillsyn/A 32708-2026 tillsynsbegäran.docx", "A 32708-2026")</f>
        <v/>
      </c>
      <c r="AD152">
        <f>HYPERLINK("https://klasma.github.io/Logging_2582/tillsynsmail/A 32708-2026 tillsynsbegäran mail.docx", "A 32708-2026")</f>
        <v/>
      </c>
    </row>
    <row r="153" ht="15" customHeight="1">
      <c r="A153" t="inlineStr">
        <is>
          <t>A 29875-2026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46250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Tallticka</t>
        </is>
      </c>
      <c r="W153">
        <f>HYPERLINK("https://klasma.github.io/Logging_2582/artfynd/A 29875-2026 artfynd.xlsx", "A 29875-2026")</f>
        <v/>
      </c>
      <c r="X153">
        <f>HYPERLINK("https://klasma.github.io/Logging_2582/kartor/A 29875-2026 karta.png", "A 29875-2026")</f>
        <v/>
      </c>
      <c r="Y153">
        <f>HYPERLINK("https://klasma.github.io/Logging_2582/kartor_geotiff/A 29875-2026 georefererad karta.tif", "A 29875-2026")</f>
        <v/>
      </c>
      <c r="AA153">
        <f>HYPERLINK("https://klasma.github.io/Logging_2582/klagomål/A 29875-2026 FSC-klagomål.docx", "A 29875-2026")</f>
        <v/>
      </c>
      <c r="AB153">
        <f>HYPERLINK("https://klasma.github.io/Logging_2582/klagomålsmail/A 29875-2026 FSC-klagomål mail.docx", "A 29875-2026")</f>
        <v/>
      </c>
      <c r="AC153">
        <f>HYPERLINK("https://klasma.github.io/Logging_2582/tillsyn/A 29875-2026 tillsynsbegäran.docx", "A 29875-2026")</f>
        <v/>
      </c>
      <c r="AD153">
        <f>HYPERLINK("https://klasma.github.io/Logging_2582/tillsynsmail/A 29875-2026 tillsynsbegäran mail.docx", "A 29875-2026")</f>
        <v/>
      </c>
    </row>
    <row r="154" ht="15" customHeight="1">
      <c r="A154" t="inlineStr">
        <is>
          <t>S 187-2023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44944</v>
      </c>
      <c r="E154" s="1" t="n">
        <v>46250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407.1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Duvhök</t>
        </is>
      </c>
      <c r="W154">
        <f>HYPERLINK("https://klasma.github.io/Logging_2582/artfynd/S 187-2023 artfynd.xlsx", "S 187-2023")</f>
        <v/>
      </c>
      <c r="X154">
        <f>HYPERLINK("https://klasma.github.io/Logging_2582/kartor/S 187-2023 karta.png", "S 187-2023")</f>
        <v/>
      </c>
      <c r="Y154">
        <f>HYPERLINK("https://klasma.github.io/Logging_2582/kartor_geotiff/S 187-2023 georefererad karta.tif", "S 187-2023")</f>
        <v/>
      </c>
      <c r="AA154">
        <f>HYPERLINK("https://klasma.github.io/Logging_2582/klagomål/S 187-2023 FSC-klagomål.docx", "S 187-2023")</f>
        <v/>
      </c>
      <c r="AB154">
        <f>HYPERLINK("https://klasma.github.io/Logging_2582/klagomålsmail/S 187-2023 FSC-klagomål mail.docx", "S 187-2023")</f>
        <v/>
      </c>
      <c r="AC154">
        <f>HYPERLINK("https://klasma.github.io/Logging_2582/tillsyn/S 187-2023 tillsynsbegäran.docx", "S 187-2023")</f>
        <v/>
      </c>
      <c r="AD154">
        <f>HYPERLINK("https://klasma.github.io/Logging_2582/tillsynsmail/S 187-2023 tillsynsbegäran mail.docx", "S 187-2023")</f>
        <v/>
      </c>
      <c r="AE154">
        <f>HYPERLINK("https://klasma.github.io/Logging_2582/fåglar/S 187-2023 prioriterade fågelarter.docx", "S 187-2023")</f>
        <v/>
      </c>
    </row>
    <row r="155" ht="15" customHeight="1">
      <c r="A155" t="inlineStr">
        <is>
          <t>S 1448-2024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45418</v>
      </c>
      <c r="E155" s="1" t="n">
        <v>46250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Tallticka</t>
        </is>
      </c>
      <c r="W155">
        <f>HYPERLINK("https://klasma.github.io/Logging_2582/artfynd/S 1448-2024 artfynd.xlsx", "S 1448-2024")</f>
        <v/>
      </c>
      <c r="X155">
        <f>HYPERLINK("https://klasma.github.io/Logging_2582/kartor/S 1448-2024 karta.png", "S 1448-2024")</f>
        <v/>
      </c>
      <c r="Y155">
        <f>HYPERLINK("https://klasma.github.io/Logging_2582/kartor_geotiff/S 1448-2024 georefererad karta.tif", "S 1448-2024")</f>
        <v/>
      </c>
      <c r="AA155">
        <f>HYPERLINK("https://klasma.github.io/Logging_2582/klagomål/S 1448-2024 FSC-klagomål.docx", "S 1448-2024")</f>
        <v/>
      </c>
      <c r="AB155">
        <f>HYPERLINK("https://klasma.github.io/Logging_2582/klagomålsmail/S 1448-2024 FSC-klagomål mail.docx", "S 1448-2024")</f>
        <v/>
      </c>
      <c r="AC155">
        <f>HYPERLINK("https://klasma.github.io/Logging_2582/tillsyn/S 1448-2024 tillsynsbegäran.docx", "S 1448-2024")</f>
        <v/>
      </c>
      <c r="AD155">
        <f>HYPERLINK("https://klasma.github.io/Logging_2582/tillsynsmail/S 1448-2024 tillsynsbegäran mail.docx", "S 1448-2024")</f>
        <v/>
      </c>
    </row>
    <row r="156" ht="15" customHeight="1">
      <c r="A156" t="inlineStr">
        <is>
          <t>S 1234-2023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45028</v>
      </c>
      <c r="E156" s="1" t="n">
        <v>46250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100.1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HYPERLINK("https://klasma.github.io/Logging_2582/artfynd/S 1234-2023 artfynd.xlsx", "S 1234-2023")</f>
        <v/>
      </c>
      <c r="X156">
        <f>HYPERLINK("https://klasma.github.io/Logging_2582/kartor/S 1234-2023 karta.png", "S 1234-2023")</f>
        <v/>
      </c>
      <c r="Y156">
        <f>HYPERLINK("https://klasma.github.io/Logging_2582/kartor_geotiff/S 1234-2023 georefererad karta.tif", "S 1234-2023")</f>
        <v/>
      </c>
      <c r="AA156">
        <f>HYPERLINK("https://klasma.github.io/Logging_2582/klagomål/S 1234-2023 FSC-klagomål.docx", "S 1234-2023")</f>
        <v/>
      </c>
      <c r="AB156">
        <f>HYPERLINK("https://klasma.github.io/Logging_2582/klagomålsmail/S 1234-2023 FSC-klagomål mail.docx", "S 1234-2023")</f>
        <v/>
      </c>
      <c r="AC156">
        <f>HYPERLINK("https://klasma.github.io/Logging_2582/tillsyn/S 1234-2023 tillsynsbegäran.docx", "S 1234-2023")</f>
        <v/>
      </c>
      <c r="AD156">
        <f>HYPERLINK("https://klasma.github.io/Logging_2582/tillsynsmail/S 1234-2023 tillsynsbegäran mail.docx", "S 1234-2023")</f>
        <v/>
      </c>
    </row>
    <row r="157" ht="15" customHeight="1">
      <c r="A157" t="inlineStr">
        <is>
          <t>S 5116-2024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45643</v>
      </c>
      <c r="E157" s="1" t="n">
        <v>46250</v>
      </c>
      <c r="F157" t="inlineStr">
        <is>
          <t>NORRBOTTENS LÄN</t>
        </is>
      </c>
      <c r="G157" t="inlineStr">
        <is>
          <t>BODEN</t>
        </is>
      </c>
      <c r="I157" t="n">
        <v>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Mattlummer</t>
        </is>
      </c>
      <c r="W157">
        <f>HYPERLINK("https://klasma.github.io/Logging_2582/artfynd/S 5116-2024 artfynd.xlsx", "S 5116-2024")</f>
        <v/>
      </c>
      <c r="X157">
        <f>HYPERLINK("https://klasma.github.io/Logging_2582/kartor/S 5116-2024 karta.png", "S 5116-2024")</f>
        <v/>
      </c>
      <c r="Y157">
        <f>HYPERLINK("https://klasma.github.io/Logging_2582/kartor_geotiff/S 5116-2024 georefererad karta.tif", "S 5116-2024")</f>
        <v/>
      </c>
      <c r="AA157">
        <f>HYPERLINK("https://klasma.github.io/Logging_2582/klagomål/S 5116-2024 FSC-klagomål.docx", "S 5116-2024")</f>
        <v/>
      </c>
      <c r="AB157">
        <f>HYPERLINK("https://klasma.github.io/Logging_2582/klagomålsmail/S 5116-2024 FSC-klagomål mail.docx", "S 5116-2024")</f>
        <v/>
      </c>
      <c r="AC157">
        <f>HYPERLINK("https://klasma.github.io/Logging_2582/tillsyn/S 5116-2024 tillsynsbegäran.docx", "S 5116-2024")</f>
        <v/>
      </c>
      <c r="AD157">
        <f>HYPERLINK("https://klasma.github.io/Logging_2582/tillsynsmail/S 5116-2024 tillsynsbegäran mail.docx", "S 5116-2024")</f>
        <v/>
      </c>
    </row>
    <row r="158" ht="15" customHeight="1">
      <c r="A158" t="inlineStr">
        <is>
          <t>S 1634-2025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45799</v>
      </c>
      <c r="E158" s="1" t="n">
        <v>46250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HYPERLINK("https://klasma.github.io/Logging_2582/artfynd/S 1634-2025 artfynd.xlsx", "S 1634-2025")</f>
        <v/>
      </c>
      <c r="X158">
        <f>HYPERLINK("https://klasma.github.io/Logging_2582/kartor/S 1634-2025 karta.png", "S 1634-2025")</f>
        <v/>
      </c>
      <c r="Y158">
        <f>HYPERLINK("https://klasma.github.io/Logging_2582/kartor_geotiff/S 1634-2025 georefererad karta.tif", "S 1634-2025")</f>
        <v/>
      </c>
      <c r="Z158">
        <f>HYPERLINK("https://klasma.github.io/Logging_2582/knärot/S 1634-2025 karta knärot.png", "S 1634-2025")</f>
        <v/>
      </c>
      <c r="AA158">
        <f>HYPERLINK("https://klasma.github.io/Logging_2582/klagomål/S 1634-2025 FSC-klagomål.docx", "S 1634-2025")</f>
        <v/>
      </c>
      <c r="AB158">
        <f>HYPERLINK("https://klasma.github.io/Logging_2582/klagomålsmail/S 1634-2025 FSC-klagomål mail.docx", "S 1634-2025")</f>
        <v/>
      </c>
      <c r="AC158">
        <f>HYPERLINK("https://klasma.github.io/Logging_2582/tillsyn/S 1634-2025 tillsynsbegäran.docx", "S 1634-2025")</f>
        <v/>
      </c>
      <c r="AD158">
        <f>HYPERLINK("https://klasma.github.io/Logging_2582/tillsynsmail/S 1634-2025 tillsynsbegäran mail.docx", "S 1634-2025")</f>
        <v/>
      </c>
    </row>
    <row r="159" ht="15" customHeight="1">
      <c r="A159" t="inlineStr">
        <is>
          <t>S 2450-2025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45901</v>
      </c>
      <c r="E159" s="1" t="n">
        <v>46250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HYPERLINK("https://klasma.github.io/Logging_2582/artfynd/S 2450-2025 artfynd.xlsx", "S 2450-2025")</f>
        <v/>
      </c>
      <c r="X159">
        <f>HYPERLINK("https://klasma.github.io/Logging_2582/kartor/S 2450-2025 karta.png", "S 2450-2025")</f>
        <v/>
      </c>
      <c r="Y159">
        <f>HYPERLINK("https://klasma.github.io/Logging_2582/kartor_geotiff/S 2450-2025 georefererad karta.tif", "S 2450-2025")</f>
        <v/>
      </c>
      <c r="AA159">
        <f>HYPERLINK("https://klasma.github.io/Logging_2582/klagomål/S 2450-2025 FSC-klagomål.docx", "S 2450-2025")</f>
        <v/>
      </c>
      <c r="AB159">
        <f>HYPERLINK("https://klasma.github.io/Logging_2582/klagomålsmail/S 2450-2025 FSC-klagomål mail.docx", "S 2450-2025")</f>
        <v/>
      </c>
      <c r="AC159">
        <f>HYPERLINK("https://klasma.github.io/Logging_2582/tillsyn/S 2450-2025 tillsynsbegäran.docx", "S 2450-2025")</f>
        <v/>
      </c>
      <c r="AD159">
        <f>HYPERLINK("https://klasma.github.io/Logging_2582/tillsynsmail/S 2450-2025 tillsynsbegäran mail.docx", "S 2450-2025")</f>
        <v/>
      </c>
    </row>
    <row r="160" ht="15" customHeight="1">
      <c r="A160" t="inlineStr">
        <is>
          <t>S 2940-2025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45952</v>
      </c>
      <c r="E160" s="1" t="n">
        <v>46250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HYPERLINK("https://klasma.github.io/Logging_2582/artfynd/S 2940-2025 artfynd.xlsx", "S 2940-2025")</f>
        <v/>
      </c>
      <c r="X160">
        <f>HYPERLINK("https://klasma.github.io/Logging_2582/kartor/S 2940-2025 karta.png", "S 2940-2025")</f>
        <v/>
      </c>
      <c r="Y160">
        <f>HYPERLINK("https://klasma.github.io/Logging_2582/kartor_geotiff/S 2940-2025 georefererad karta.tif", "S 2940-2025")</f>
        <v/>
      </c>
      <c r="AA160">
        <f>HYPERLINK("https://klasma.github.io/Logging_2582/klagomål/S 2940-2025 FSC-klagomål.docx", "S 2940-2025")</f>
        <v/>
      </c>
      <c r="AB160">
        <f>HYPERLINK("https://klasma.github.io/Logging_2582/klagomålsmail/S 2940-2025 FSC-klagomål mail.docx", "S 2940-2025")</f>
        <v/>
      </c>
      <c r="AC160">
        <f>HYPERLINK("https://klasma.github.io/Logging_2582/tillsyn/S 2940-2025 tillsynsbegäran.docx", "S 2940-2025")</f>
        <v/>
      </c>
      <c r="AD160">
        <f>HYPERLINK("https://klasma.github.io/Logging_2582/tillsynsmail/S 2940-2025 tillsynsbegäran mail.docx", "S 2940-2025")</f>
        <v/>
      </c>
    </row>
    <row r="161" ht="15" customHeight="1">
      <c r="A161" t="inlineStr">
        <is>
          <t>A 63790-2021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46250</v>
      </c>
      <c r="F161" t="inlineStr">
        <is>
          <t>NORRBOTTENS LÄN</t>
        </is>
      </c>
      <c r="G161" t="inlineStr">
        <is>
          <t>BODEN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44677</v>
      </c>
      <c r="E162" s="1" t="n">
        <v>46250</v>
      </c>
      <c r="F162" t="inlineStr">
        <is>
          <t>NORRBOTTENS LÄN</t>
        </is>
      </c>
      <c r="G162" t="inlineStr">
        <is>
          <t>BODEN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44577</v>
      </c>
      <c r="E163" s="1" t="n">
        <v>46250</v>
      </c>
      <c r="F163" t="inlineStr">
        <is>
          <t>NORRBOTTENS LÄN</t>
        </is>
      </c>
      <c r="G163" t="inlineStr">
        <is>
          <t>BODEN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46250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46250</v>
      </c>
      <c r="F165" t="inlineStr">
        <is>
          <t>NORRBOTTENS LÄN</t>
        </is>
      </c>
      <c r="G165" t="inlineStr">
        <is>
          <t>BODEN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58975-2021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46250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46250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46250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46250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44648</v>
      </c>
      <c r="E170" s="1" t="n">
        <v>46250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46250</v>
      </c>
      <c r="F171" t="inlineStr">
        <is>
          <t>NORRBOTTENS LÄN</t>
        </is>
      </c>
      <c r="G171" t="inlineStr">
        <is>
          <t>BODEN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46250</v>
      </c>
      <c r="F172" t="inlineStr">
        <is>
          <t>NORRBOTTENS LÄN</t>
        </is>
      </c>
      <c r="G172" t="inlineStr">
        <is>
          <t>BODEN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46250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46250</v>
      </c>
      <c r="F174" t="inlineStr">
        <is>
          <t>NORRBOTTENS LÄN</t>
        </is>
      </c>
      <c r="G174" t="inlineStr">
        <is>
          <t>BODEN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46250</v>
      </c>
      <c r="F175" t="inlineStr">
        <is>
          <t>NORRBOTTENS LÄN</t>
        </is>
      </c>
      <c r="G175" t="inlineStr">
        <is>
          <t>BODEN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46250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46250</v>
      </c>
      <c r="F177" t="inlineStr">
        <is>
          <t>NORRBOTTENS LÄN</t>
        </is>
      </c>
      <c r="G177" t="inlineStr">
        <is>
          <t>BODEN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46250</v>
      </c>
      <c r="F178" t="inlineStr">
        <is>
          <t>NORRBOTTENS LÄN</t>
        </is>
      </c>
      <c r="G178" t="inlineStr">
        <is>
          <t>BODEN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44671</v>
      </c>
      <c r="E179" s="1" t="n">
        <v>46250</v>
      </c>
      <c r="F179" t="inlineStr">
        <is>
          <t>NORRBOTTENS LÄN</t>
        </is>
      </c>
      <c r="G179" t="inlineStr">
        <is>
          <t>BODEN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51328-2021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46250</v>
      </c>
      <c r="F180" t="inlineStr">
        <is>
          <t>NORRBOTTENS LÄN</t>
        </is>
      </c>
      <c r="G180" t="inlineStr">
        <is>
          <t>BODEN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46250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44721</v>
      </c>
      <c r="E182" s="1" t="n">
        <v>46250</v>
      </c>
      <c r="F182" t="inlineStr">
        <is>
          <t>NORRBOTTENS LÄN</t>
        </is>
      </c>
      <c r="G182" t="inlineStr">
        <is>
          <t>BODEN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71833-2021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46250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68914-2021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46250</v>
      </c>
      <c r="F184" t="inlineStr">
        <is>
          <t>NORRBOTTENS LÄN</t>
        </is>
      </c>
      <c r="G184" t="inlineStr">
        <is>
          <t>BODEN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46250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46250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44734</v>
      </c>
      <c r="E187" s="1" t="n">
        <v>46250</v>
      </c>
      <c r="F187" t="inlineStr">
        <is>
          <t>NORRBOTTENS LÄN</t>
        </is>
      </c>
      <c r="G187" t="inlineStr">
        <is>
          <t>BODEN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710-2022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46250</v>
      </c>
      <c r="F188" t="inlineStr">
        <is>
          <t>NORRBOTTENS LÄN</t>
        </is>
      </c>
      <c r="G188" t="inlineStr">
        <is>
          <t>BODEN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46250</v>
      </c>
      <c r="F189" t="inlineStr">
        <is>
          <t>NORRBOTTENS LÄN</t>
        </is>
      </c>
      <c r="G189" t="inlineStr">
        <is>
          <t>BODEN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44600</v>
      </c>
      <c r="E190" s="1" t="n">
        <v>46250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29119-2022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44749</v>
      </c>
      <c r="E191" s="1" t="n">
        <v>46250</v>
      </c>
      <c r="F191" t="inlineStr">
        <is>
          <t>NORRBOTTENS LÄN</t>
        </is>
      </c>
      <c r="G191" t="inlineStr">
        <is>
          <t>BODEN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46250</v>
      </c>
      <c r="F192" t="inlineStr">
        <is>
          <t>NORRBOTTENS LÄN</t>
        </is>
      </c>
      <c r="G192" t="inlineStr">
        <is>
          <t>BODEN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69124-2021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44530</v>
      </c>
      <c r="E193" s="1" t="n">
        <v>46250</v>
      </c>
      <c r="F193" t="inlineStr">
        <is>
          <t>NORRBOTTENS LÄN</t>
        </is>
      </c>
      <c r="G193" t="inlineStr">
        <is>
          <t>BODEN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46250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46250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44565</v>
      </c>
      <c r="E196" s="1" t="n">
        <v>46250</v>
      </c>
      <c r="F196" t="inlineStr">
        <is>
          <t>NORRBOTTENS LÄN</t>
        </is>
      </c>
      <c r="G196" t="inlineStr">
        <is>
          <t>BODEN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46250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46250</v>
      </c>
      <c r="F198" t="inlineStr">
        <is>
          <t>NORRBOTTENS LÄN</t>
        </is>
      </c>
      <c r="G198" t="inlineStr">
        <is>
          <t>BODEN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44566</v>
      </c>
      <c r="E199" s="1" t="n">
        <v>46250</v>
      </c>
      <c r="F199" t="inlineStr">
        <is>
          <t>NORRBOTTENS LÄN</t>
        </is>
      </c>
      <c r="G199" t="inlineStr">
        <is>
          <t>BODEN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45189-2021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44439</v>
      </c>
      <c r="E200" s="1" t="n">
        <v>46250</v>
      </c>
      <c r="F200" t="inlineStr">
        <is>
          <t>NORRBOTTENS LÄN</t>
        </is>
      </c>
      <c r="G200" t="inlineStr">
        <is>
          <t>BODEN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46250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46250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46250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46250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46250</v>
      </c>
      <c r="F205" t="inlineStr">
        <is>
          <t>NORRBOTTENS LÄN</t>
        </is>
      </c>
      <c r="G205" t="inlineStr">
        <is>
          <t>BODEN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46250</v>
      </c>
      <c r="F206" t="inlineStr">
        <is>
          <t>NORRBOTTENS LÄN</t>
        </is>
      </c>
      <c r="G206" t="inlineStr">
        <is>
          <t>BODEN</t>
        </is>
      </c>
      <c r="H206" t="inlineStr">
        <is>
          <t>Övriga statliga verk och myndigheter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46250</v>
      </c>
      <c r="F207" t="inlineStr">
        <is>
          <t>NORRBOTTENS LÄN</t>
        </is>
      </c>
      <c r="G207" t="inlineStr">
        <is>
          <t>BODEN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44831</v>
      </c>
      <c r="E208" s="1" t="n">
        <v>46250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46250</v>
      </c>
      <c r="F209" t="inlineStr">
        <is>
          <t>NORRBOTTENS LÄN</t>
        </is>
      </c>
      <c r="G209" t="inlineStr">
        <is>
          <t>BODEN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46250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44635</v>
      </c>
      <c r="E211" s="1" t="n">
        <v>46250</v>
      </c>
      <c r="F211" t="inlineStr">
        <is>
          <t>NORRBOTTENS LÄN</t>
        </is>
      </c>
      <c r="G211" t="inlineStr">
        <is>
          <t>BODEN</t>
        </is>
      </c>
      <c r="H211" t="inlineStr">
        <is>
          <t>Kyrkan</t>
        </is>
      </c>
      <c r="I211" t="n">
        <v>16.5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44799</v>
      </c>
      <c r="E212" s="1" t="n">
        <v>46250</v>
      </c>
      <c r="F212" t="inlineStr">
        <is>
          <t>NORRBOTTENS LÄN</t>
        </is>
      </c>
      <c r="G212" t="inlineStr">
        <is>
          <t>BODEN</t>
        </is>
      </c>
      <c r="H212" t="inlineStr">
        <is>
          <t>SCA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44799</v>
      </c>
      <c r="E213" s="1" t="n">
        <v>46250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38874-2023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46250</v>
      </c>
      <c r="F214" t="inlineStr">
        <is>
          <t>NORRBOTTENS LÄN</t>
        </is>
      </c>
      <c r="G214" t="inlineStr">
        <is>
          <t>BODEN</t>
        </is>
      </c>
      <c r="I214" t="n">
        <v>15.5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46250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46250</v>
      </c>
      <c r="F216" t="inlineStr">
        <is>
          <t>NORRBOTTENS LÄN</t>
        </is>
      </c>
      <c r="G216" t="inlineStr">
        <is>
          <t>BODEN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46250</v>
      </c>
      <c r="F217" t="inlineStr">
        <is>
          <t>NORRBOTTENS LÄN</t>
        </is>
      </c>
      <c r="G217" t="inlineStr">
        <is>
          <t>BODEN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46250</v>
      </c>
      <c r="F218" t="inlineStr">
        <is>
          <t>NORRBOTTENS LÄN</t>
        </is>
      </c>
      <c r="G218" t="inlineStr">
        <is>
          <t>BODEN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46250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46250</v>
      </c>
      <c r="F220" t="inlineStr">
        <is>
          <t>NORRBOTTENS LÄN</t>
        </is>
      </c>
      <c r="G220" t="inlineStr">
        <is>
          <t>BODEN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46250</v>
      </c>
      <c r="F221" t="inlineStr">
        <is>
          <t>NORRBOTTENS LÄN</t>
        </is>
      </c>
      <c r="G221" t="inlineStr">
        <is>
          <t>BODEN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46250</v>
      </c>
      <c r="F222" t="inlineStr">
        <is>
          <t>NORRBOTTENS LÄN</t>
        </is>
      </c>
      <c r="G222" t="inlineStr">
        <is>
          <t>BODEN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45463</v>
      </c>
      <c r="E223" s="1" t="n">
        <v>46250</v>
      </c>
      <c r="F223" t="inlineStr">
        <is>
          <t>NORRBOTTENS LÄN</t>
        </is>
      </c>
      <c r="G223" t="inlineStr">
        <is>
          <t>BODEN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46250</v>
      </c>
      <c r="F224" t="inlineStr">
        <is>
          <t>NORRBOTTENS LÄN</t>
        </is>
      </c>
      <c r="G224" t="inlineStr">
        <is>
          <t>BODEN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46250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46250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56485-2021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44480</v>
      </c>
      <c r="E227" s="1" t="n">
        <v>46250</v>
      </c>
      <c r="F227" t="inlineStr">
        <is>
          <t>NORRBOTTENS LÄN</t>
        </is>
      </c>
      <c r="G227" t="inlineStr">
        <is>
          <t>BODEN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46250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68569-2021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44529</v>
      </c>
      <c r="E229" s="1" t="n">
        <v>46250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46250</v>
      </c>
      <c r="F230" t="inlineStr">
        <is>
          <t>NORRBOTTENS LÄN</t>
        </is>
      </c>
      <c r="G230" t="inlineStr">
        <is>
          <t>BODEN</t>
        </is>
      </c>
      <c r="H230" t="inlineStr">
        <is>
          <t>Övriga Aktiebolag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46250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45429</v>
      </c>
      <c r="E232" s="1" t="n">
        <v>46250</v>
      </c>
      <c r="F232" t="inlineStr">
        <is>
          <t>NORRBOTTENS LÄN</t>
        </is>
      </c>
      <c r="G232" t="inlineStr">
        <is>
          <t>BODEN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46250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46250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45881</v>
      </c>
      <c r="E235" s="1" t="n">
        <v>46250</v>
      </c>
      <c r="F235" t="inlineStr">
        <is>
          <t>NORRBOTTENS LÄN</t>
        </is>
      </c>
      <c r="G235" t="inlineStr">
        <is>
          <t>BODEN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46250</v>
      </c>
      <c r="F236" t="inlineStr">
        <is>
          <t>NORRBOTTENS LÄN</t>
        </is>
      </c>
      <c r="G236" t="inlineStr">
        <is>
          <t>BODEN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46250</v>
      </c>
      <c r="F237" t="inlineStr">
        <is>
          <t>NORRBOTTENS LÄN</t>
        </is>
      </c>
      <c r="G237" t="inlineStr">
        <is>
          <t>BODEN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32276-2024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45512</v>
      </c>
      <c r="E238" s="1" t="n">
        <v>46250</v>
      </c>
      <c r="F238" t="inlineStr">
        <is>
          <t>NORRBOTTENS LÄN</t>
        </is>
      </c>
      <c r="G238" t="inlineStr">
        <is>
          <t>BODEN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46250</v>
      </c>
      <c r="F239" t="inlineStr">
        <is>
          <t>NORRBOTTENS LÄN</t>
        </is>
      </c>
      <c r="G239" t="inlineStr">
        <is>
          <t>BODEN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74264-2021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44558</v>
      </c>
      <c r="E240" s="1" t="n">
        <v>46250</v>
      </c>
      <c r="F240" t="inlineStr">
        <is>
          <t>NORRBOTTENS LÄN</t>
        </is>
      </c>
      <c r="G240" t="inlineStr">
        <is>
          <t>BODEN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46250</v>
      </c>
      <c r="F241" t="inlineStr">
        <is>
          <t>NORRBOTTENS LÄN</t>
        </is>
      </c>
      <c r="G241" t="inlineStr">
        <is>
          <t>BODEN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46250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46250</v>
      </c>
      <c r="F243" t="inlineStr">
        <is>
          <t>NORRBOTTENS LÄN</t>
        </is>
      </c>
      <c r="G243" t="inlineStr">
        <is>
          <t>BODEN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46250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44795</v>
      </c>
      <c r="E245" s="1" t="n">
        <v>46250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58898-2021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46250</v>
      </c>
      <c r="F246" t="inlineStr">
        <is>
          <t>NORRBOTTENS LÄN</t>
        </is>
      </c>
      <c r="G246" t="inlineStr">
        <is>
          <t>BODEN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45718</v>
      </c>
      <c r="E247" s="1" t="n">
        <v>46250</v>
      </c>
      <c r="F247" t="inlineStr">
        <is>
          <t>NORRBOTTENS LÄN</t>
        </is>
      </c>
      <c r="G247" t="inlineStr">
        <is>
          <t>BODEN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46250</v>
      </c>
      <c r="F248" t="inlineStr">
        <is>
          <t>NORRBOTTENS LÄN</t>
        </is>
      </c>
      <c r="G248" t="inlineStr">
        <is>
          <t>BODEN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46250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45314</v>
      </c>
      <c r="E250" s="1" t="n">
        <v>46250</v>
      </c>
      <c r="F250" t="inlineStr">
        <is>
          <t>NORRBOTTENS LÄN</t>
        </is>
      </c>
      <c r="G250" t="inlineStr">
        <is>
          <t>BODEN</t>
        </is>
      </c>
      <c r="I250" t="n">
        <v>17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45256</v>
      </c>
      <c r="E251" s="1" t="n">
        <v>46250</v>
      </c>
      <c r="F251" t="inlineStr">
        <is>
          <t>NORRBOTTENS LÄN</t>
        </is>
      </c>
      <c r="G251" t="inlineStr">
        <is>
          <t>BODEN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54590-2022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44883</v>
      </c>
      <c r="E252" s="1" t="n">
        <v>46250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57604-2021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44484</v>
      </c>
      <c r="E253" s="1" t="n">
        <v>46250</v>
      </c>
      <c r="F253" t="inlineStr">
        <is>
          <t>NORRBOTTENS LÄN</t>
        </is>
      </c>
      <c r="G253" t="inlineStr">
        <is>
          <t>BODEN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46250</v>
      </c>
      <c r="F254" t="inlineStr">
        <is>
          <t>NORRBOTTENS LÄN</t>
        </is>
      </c>
      <c r="G254" t="inlineStr">
        <is>
          <t>BODEN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46183-2021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44441</v>
      </c>
      <c r="E255" s="1" t="n">
        <v>46250</v>
      </c>
      <c r="F255" t="inlineStr">
        <is>
          <t>NORRBOTTENS LÄN</t>
        </is>
      </c>
      <c r="G255" t="inlineStr">
        <is>
          <t>BODEN</t>
        </is>
      </c>
      <c r="I255" t="n">
        <v>13.6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44671</v>
      </c>
      <c r="E256" s="1" t="n">
        <v>46250</v>
      </c>
      <c r="F256" t="inlineStr">
        <is>
          <t>NORRBOTTENS LÄN</t>
        </is>
      </c>
      <c r="G256" t="inlineStr">
        <is>
          <t>BODEN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45649</v>
      </c>
      <c r="E257" s="1" t="n">
        <v>46250</v>
      </c>
      <c r="F257" t="inlineStr">
        <is>
          <t>NORRBOTTENS LÄN</t>
        </is>
      </c>
      <c r="G257" t="inlineStr">
        <is>
          <t>BODEN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45649</v>
      </c>
      <c r="E258" s="1" t="n">
        <v>46250</v>
      </c>
      <c r="F258" t="inlineStr">
        <is>
          <t>NORRBOTTENS LÄN</t>
        </is>
      </c>
      <c r="G258" t="inlineStr">
        <is>
          <t>BODEN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46250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45643</v>
      </c>
      <c r="E260" s="1" t="n">
        <v>46250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45516</v>
      </c>
      <c r="E261" s="1" t="n">
        <v>46250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45516</v>
      </c>
      <c r="E262" s="1" t="n">
        <v>46250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46250</v>
      </c>
      <c r="F263" t="inlineStr">
        <is>
          <t>NORRBOTTENS LÄN</t>
        </is>
      </c>
      <c r="G263" t="inlineStr">
        <is>
          <t>BODEN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46250</v>
      </c>
      <c r="F264" t="inlineStr">
        <is>
          <t>NORRBOTTENS LÄN</t>
        </is>
      </c>
      <c r="G264" t="inlineStr">
        <is>
          <t>BODEN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46250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46250</v>
      </c>
      <c r="F266" t="inlineStr">
        <is>
          <t>NORRBOTTENS LÄN</t>
        </is>
      </c>
      <c r="G266" t="inlineStr">
        <is>
          <t>BODEN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46250</v>
      </c>
      <c r="F267" t="inlineStr">
        <is>
          <t>NORRBOTTENS LÄN</t>
        </is>
      </c>
      <c r="G267" t="inlineStr">
        <is>
          <t>BODEN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46250</v>
      </c>
      <c r="F268" t="inlineStr">
        <is>
          <t>NORRBOTTENS LÄN</t>
        </is>
      </c>
      <c r="G268" t="inlineStr">
        <is>
          <t>BODEN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46250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43969-2024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45572</v>
      </c>
      <c r="E270" s="1" t="n">
        <v>46250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44734</v>
      </c>
      <c r="E271" s="1" t="n">
        <v>46250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46250</v>
      </c>
      <c r="F272" t="inlineStr">
        <is>
          <t>NORRBOTTENS LÄN</t>
        </is>
      </c>
      <c r="G272" t="inlineStr">
        <is>
          <t>BODEN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46250</v>
      </c>
      <c r="F273" t="inlineStr">
        <is>
          <t>NORRBOTTENS LÄN</t>
        </is>
      </c>
      <c r="G273" t="inlineStr">
        <is>
          <t>BODEN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46250</v>
      </c>
      <c r="F274" t="inlineStr">
        <is>
          <t>NORRBOTTENS LÄN</t>
        </is>
      </c>
      <c r="G274" t="inlineStr">
        <is>
          <t>BODEN</t>
        </is>
      </c>
      <c r="H274" t="inlineStr">
        <is>
          <t>Naturvårdsverket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41691-2025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45902</v>
      </c>
      <c r="E275" s="1" t="n">
        <v>46250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46250</v>
      </c>
      <c r="F276" t="inlineStr">
        <is>
          <t>NORRBOTTENS LÄN</t>
        </is>
      </c>
      <c r="G276" t="inlineStr">
        <is>
          <t>BODEN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45680</v>
      </c>
      <c r="E277" s="1" t="n">
        <v>46250</v>
      </c>
      <c r="F277" t="inlineStr">
        <is>
          <t>NORRBOTTENS LÄN</t>
        </is>
      </c>
      <c r="G277" t="inlineStr">
        <is>
          <t>BODEN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46250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45907</v>
      </c>
      <c r="E279" s="1" t="n">
        <v>46250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46250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46250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46250</v>
      </c>
      <c r="F282" t="inlineStr">
        <is>
          <t>NORRBOTTENS LÄN</t>
        </is>
      </c>
      <c r="G282" t="inlineStr">
        <is>
          <t>BODEN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46250</v>
      </c>
      <c r="F283" t="inlineStr">
        <is>
          <t>NORRBOTTENS LÄN</t>
        </is>
      </c>
      <c r="G283" t="inlineStr">
        <is>
          <t>BODEN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45912</v>
      </c>
      <c r="E284" s="1" t="n">
        <v>46250</v>
      </c>
      <c r="F284" t="inlineStr">
        <is>
          <t>NORRBOTTENS LÄN</t>
        </is>
      </c>
      <c r="G284" t="inlineStr">
        <is>
          <t>BODEN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46250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44833</v>
      </c>
      <c r="E286" s="1" t="n">
        <v>46250</v>
      </c>
      <c r="F286" t="inlineStr">
        <is>
          <t>NORRBOTTENS LÄN</t>
        </is>
      </c>
      <c r="G286" t="inlineStr">
        <is>
          <t>BODEN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46250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46250</v>
      </c>
      <c r="F288" t="inlineStr">
        <is>
          <t>NORRBOTTENS LÄN</t>
        </is>
      </c>
      <c r="G288" t="inlineStr">
        <is>
          <t>BODEN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46250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46250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46250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46250</v>
      </c>
      <c r="F292" t="inlineStr">
        <is>
          <t>NORRBOTTENS LÄN</t>
        </is>
      </c>
      <c r="G292" t="inlineStr">
        <is>
          <t>BODEN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46250</v>
      </c>
      <c r="F293" t="inlineStr">
        <is>
          <t>NORRBOTTENS LÄN</t>
        </is>
      </c>
      <c r="G293" t="inlineStr">
        <is>
          <t>BODEN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46250</v>
      </c>
      <c r="F294" t="inlineStr">
        <is>
          <t>NORRBOTTENS LÄN</t>
        </is>
      </c>
      <c r="G294" t="inlineStr">
        <is>
          <t>BODEN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46250</v>
      </c>
      <c r="F295" t="inlineStr">
        <is>
          <t>NORRBOTTENS LÄN</t>
        </is>
      </c>
      <c r="G295" t="inlineStr">
        <is>
          <t>BODEN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46250</v>
      </c>
      <c r="F296" t="inlineStr">
        <is>
          <t>NORRBOTTENS LÄN</t>
        </is>
      </c>
      <c r="G296" t="inlineStr">
        <is>
          <t>BODEN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46250</v>
      </c>
      <c r="F297" t="inlineStr">
        <is>
          <t>NORRBOTTENS LÄN</t>
        </is>
      </c>
      <c r="G297" t="inlineStr">
        <is>
          <t>BODEN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46250</v>
      </c>
      <c r="F298" t="inlineStr">
        <is>
          <t>NORRBOTTENS LÄN</t>
        </is>
      </c>
      <c r="G298" t="inlineStr">
        <is>
          <t>BODEN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46250</v>
      </c>
      <c r="F299" t="inlineStr">
        <is>
          <t>NORRBOTTENS LÄN</t>
        </is>
      </c>
      <c r="G299" t="inlineStr">
        <is>
          <t>BODEN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45969-2025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45924</v>
      </c>
      <c r="E300" s="1" t="n">
        <v>46250</v>
      </c>
      <c r="F300" t="inlineStr">
        <is>
          <t>NORRBOTTENS LÄN</t>
        </is>
      </c>
      <c r="G300" t="inlineStr">
        <is>
          <t>BODEN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46250</v>
      </c>
      <c r="F301" t="inlineStr">
        <is>
          <t>NORRBOTTENS LÄN</t>
        </is>
      </c>
      <c r="G301" t="inlineStr">
        <is>
          <t>BODEN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46250</v>
      </c>
      <c r="F302" t="inlineStr">
        <is>
          <t>NORRBOTTENS LÄN</t>
        </is>
      </c>
      <c r="G302" t="inlineStr">
        <is>
          <t>BODEN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46250</v>
      </c>
      <c r="F303" t="inlineStr">
        <is>
          <t>NORRBOTTENS LÄN</t>
        </is>
      </c>
      <c r="G303" t="inlineStr">
        <is>
          <t>BODEN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45925</v>
      </c>
      <c r="E304" s="1" t="n">
        <v>46250</v>
      </c>
      <c r="F304" t="inlineStr">
        <is>
          <t>NORRBOTTENS LÄN</t>
        </is>
      </c>
      <c r="G304" t="inlineStr">
        <is>
          <t>BODEN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46250</v>
      </c>
      <c r="F305" t="inlineStr">
        <is>
          <t>NORRBOTTENS LÄN</t>
        </is>
      </c>
      <c r="G305" t="inlineStr">
        <is>
          <t>BODEN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46250</v>
      </c>
      <c r="F306" t="inlineStr">
        <is>
          <t>NORRBOTTENS LÄN</t>
        </is>
      </c>
      <c r="G306" t="inlineStr">
        <is>
          <t>BODEN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11651-2023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44994</v>
      </c>
      <c r="E307" s="1" t="n">
        <v>46250</v>
      </c>
      <c r="F307" t="inlineStr">
        <is>
          <t>NORRBOTTENS LÄN</t>
        </is>
      </c>
      <c r="G307" t="inlineStr">
        <is>
          <t>BODEN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45590</v>
      </c>
      <c r="E308" s="1" t="n">
        <v>46250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45930</v>
      </c>
      <c r="E309" s="1" t="n">
        <v>46250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46250</v>
      </c>
      <c r="F310" t="inlineStr">
        <is>
          <t>NORRBOTTENS LÄN</t>
        </is>
      </c>
      <c r="G310" t="inlineStr">
        <is>
          <t>BODEN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46250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46250</v>
      </c>
      <c r="F312" t="inlineStr">
        <is>
          <t>NORRBOTTENS LÄN</t>
        </is>
      </c>
      <c r="G312" t="inlineStr">
        <is>
          <t>BODEN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46250</v>
      </c>
      <c r="F313" t="inlineStr">
        <is>
          <t>NORRBOTTENS LÄN</t>
        </is>
      </c>
      <c r="G313" t="inlineStr">
        <is>
          <t>BODEN</t>
        </is>
      </c>
      <c r="I313" t="n">
        <v>9.199999999999999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46250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46250</v>
      </c>
      <c r="F315" t="inlineStr">
        <is>
          <t>NORRBOTTENS LÄN</t>
        </is>
      </c>
      <c r="G315" t="inlineStr">
        <is>
          <t>BODEN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59890-2023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45254</v>
      </c>
      <c r="E316" s="1" t="n">
        <v>46250</v>
      </c>
      <c r="F316" t="inlineStr">
        <is>
          <t>NORRBOTTENS LÄN</t>
        </is>
      </c>
      <c r="G316" t="inlineStr">
        <is>
          <t>BODEN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46250</v>
      </c>
      <c r="F317" t="inlineStr">
        <is>
          <t>NORRBOTTENS LÄN</t>
        </is>
      </c>
      <c r="G317" t="inlineStr">
        <is>
          <t>BODEN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46250</v>
      </c>
      <c r="F318" t="inlineStr">
        <is>
          <t>NORRBOTTENS LÄN</t>
        </is>
      </c>
      <c r="G318" t="inlineStr">
        <is>
          <t>BODEN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46087</v>
      </c>
      <c r="E319" s="1" t="n">
        <v>46250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46250</v>
      </c>
      <c r="F320" t="inlineStr">
        <is>
          <t>NORRBOTTENS LÄN</t>
        </is>
      </c>
      <c r="G320" t="inlineStr">
        <is>
          <t>BODEN</t>
        </is>
      </c>
      <c r="H320" t="inlineStr">
        <is>
          <t>Övriga Aktiebolag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56163-2022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46250</v>
      </c>
      <c r="F321" t="inlineStr">
        <is>
          <t>NORRBOTTENS LÄN</t>
        </is>
      </c>
      <c r="G321" t="inlineStr">
        <is>
          <t>BODEN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46250</v>
      </c>
      <c r="F322" t="inlineStr">
        <is>
          <t>NORRBOTTENS LÄN</t>
        </is>
      </c>
      <c r="G322" t="inlineStr">
        <is>
          <t>BODEN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46250</v>
      </c>
      <c r="F323" t="inlineStr">
        <is>
          <t>NORRBOTTENS LÄN</t>
        </is>
      </c>
      <c r="G323" t="inlineStr">
        <is>
          <t>BODEN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46250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46250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48172-2025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46250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46250</v>
      </c>
      <c r="F327" t="inlineStr">
        <is>
          <t>NORRBOTTENS LÄN</t>
        </is>
      </c>
      <c r="G327" t="inlineStr">
        <is>
          <t>BODEN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68565-2021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44529</v>
      </c>
      <c r="E328" s="1" t="n">
        <v>46250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45906</v>
      </c>
      <c r="E329" s="1" t="n">
        <v>46250</v>
      </c>
      <c r="F329" t="inlineStr">
        <is>
          <t>NORRBOTTENS LÄN</t>
        </is>
      </c>
      <c r="G329" t="inlineStr">
        <is>
          <t>BODEN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46250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48091-2025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45933</v>
      </c>
      <c r="E331" s="1" t="n">
        <v>46250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45356</v>
      </c>
      <c r="E332" s="1" t="n">
        <v>46250</v>
      </c>
      <c r="F332" t="inlineStr">
        <is>
          <t>NORRBOTTENS LÄN</t>
        </is>
      </c>
      <c r="G332" t="inlineStr">
        <is>
          <t>BODEN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46250</v>
      </c>
      <c r="F333" t="inlineStr">
        <is>
          <t>NORRBOTTENS LÄN</t>
        </is>
      </c>
      <c r="G333" t="inlineStr">
        <is>
          <t>BODEN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46250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54935-2021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44474</v>
      </c>
      <c r="E335" s="1" t="n">
        <v>46250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46250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45694</v>
      </c>
      <c r="E337" s="1" t="n">
        <v>46250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46250</v>
      </c>
      <c r="F338" t="inlineStr">
        <is>
          <t>NORRBOTTENS LÄN</t>
        </is>
      </c>
      <c r="G338" t="inlineStr">
        <is>
          <t>BODEN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46250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46250</v>
      </c>
      <c r="F340" t="inlineStr">
        <is>
          <t>NORRBOTTENS LÄN</t>
        </is>
      </c>
      <c r="G340" t="inlineStr">
        <is>
          <t>BODEN</t>
        </is>
      </c>
      <c r="I340" t="n">
        <v>33.9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46250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46250</v>
      </c>
      <c r="F342" t="inlineStr">
        <is>
          <t>NORRBOTTENS LÄN</t>
        </is>
      </c>
      <c r="G342" t="inlineStr">
        <is>
          <t>BODEN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46250</v>
      </c>
      <c r="F343" t="inlineStr">
        <is>
          <t>NORRBOTTENS LÄN</t>
        </is>
      </c>
      <c r="G343" t="inlineStr">
        <is>
          <t>BODEN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46250</v>
      </c>
      <c r="F344" t="inlineStr">
        <is>
          <t>NORRBOTTENS LÄN</t>
        </is>
      </c>
      <c r="G344" t="inlineStr">
        <is>
          <t>BODEN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44881</v>
      </c>
      <c r="E345" s="1" t="n">
        <v>46250</v>
      </c>
      <c r="F345" t="inlineStr">
        <is>
          <t>NORRBOTTENS LÄN</t>
        </is>
      </c>
      <c r="G345" t="inlineStr">
        <is>
          <t>BODEN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46250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44573</v>
      </c>
      <c r="E347" s="1" t="n">
        <v>46250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statliga verk och myndigheter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46250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46250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46250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46250</v>
      </c>
      <c r="F351" t="inlineStr">
        <is>
          <t>NORRBOTTENS LÄN</t>
        </is>
      </c>
      <c r="G351" t="inlineStr">
        <is>
          <t>BODEN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46250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46250</v>
      </c>
      <c r="F353" t="inlineStr">
        <is>
          <t>NORRBOTTENS LÄN</t>
        </is>
      </c>
      <c r="G353" t="inlineStr">
        <is>
          <t>BODEN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7442-2024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45345</v>
      </c>
      <c r="E354" s="1" t="n">
        <v>46250</v>
      </c>
      <c r="F354" t="inlineStr">
        <is>
          <t>NORRBOTTENS LÄN</t>
        </is>
      </c>
      <c r="G354" t="inlineStr">
        <is>
          <t>BODEN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46250</v>
      </c>
      <c r="F355" t="inlineStr">
        <is>
          <t>NORRBOTTENS LÄN</t>
        </is>
      </c>
      <c r="G355" t="inlineStr">
        <is>
          <t>BODEN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64975-2023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45285</v>
      </c>
      <c r="E356" s="1" t="n">
        <v>46250</v>
      </c>
      <c r="F356" t="inlineStr">
        <is>
          <t>NORRBOTTENS LÄN</t>
        </is>
      </c>
      <c r="G356" t="inlineStr">
        <is>
          <t>BODEN</t>
        </is>
      </c>
      <c r="I356" t="n">
        <v>9.4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46250</v>
      </c>
      <c r="F357" t="inlineStr">
        <is>
          <t>NORRBOTTENS LÄN</t>
        </is>
      </c>
      <c r="G357" t="inlineStr">
        <is>
          <t>BODEN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46250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46250</v>
      </c>
      <c r="F359" t="inlineStr">
        <is>
          <t>NORRBOTTENS LÄN</t>
        </is>
      </c>
      <c r="G359" t="inlineStr">
        <is>
          <t>BODEN</t>
        </is>
      </c>
      <c r="H359" t="inlineStr">
        <is>
          <t>Övriga Aktiebolag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35115-2024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45529</v>
      </c>
      <c r="E360" s="1" t="n">
        <v>46250</v>
      </c>
      <c r="F360" t="inlineStr">
        <is>
          <t>NORRBOTTENS LÄN</t>
        </is>
      </c>
      <c r="G360" t="inlineStr">
        <is>
          <t>BODEN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14245-2026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46099</v>
      </c>
      <c r="E361" s="1" t="n">
        <v>46250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45132</v>
      </c>
      <c r="E362" s="1" t="n">
        <v>46250</v>
      </c>
      <c r="F362" t="inlineStr">
        <is>
          <t>NORRBOTTENS LÄN</t>
        </is>
      </c>
      <c r="G362" t="inlineStr">
        <is>
          <t>BODEN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25627-2022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44732</v>
      </c>
      <c r="E363" s="1" t="n">
        <v>46250</v>
      </c>
      <c r="F363" t="inlineStr">
        <is>
          <t>NORRBOTTENS LÄN</t>
        </is>
      </c>
      <c r="G363" t="inlineStr">
        <is>
          <t>BODEN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45013</v>
      </c>
      <c r="E364" s="1" t="n">
        <v>46250</v>
      </c>
      <c r="F364" t="inlineStr">
        <is>
          <t>NORRBOTTENS LÄN</t>
        </is>
      </c>
      <c r="G364" t="inlineStr">
        <is>
          <t>BODEN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46250</v>
      </c>
      <c r="F365" t="inlineStr">
        <is>
          <t>NORRBOTTENS LÄN</t>
        </is>
      </c>
      <c r="G365" t="inlineStr">
        <is>
          <t>BODEN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46250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18002-2025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45761</v>
      </c>
      <c r="E367" s="1" t="n">
        <v>46250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statliga verk och myndigheter</t>
        </is>
      </c>
      <c r="I367" t="n">
        <v>11.5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45323</v>
      </c>
      <c r="E368" s="1" t="n">
        <v>46250</v>
      </c>
      <c r="F368" t="inlineStr">
        <is>
          <t>NORRBOTTENS LÄN</t>
        </is>
      </c>
      <c r="G368" t="inlineStr">
        <is>
          <t>BODEN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46250</v>
      </c>
      <c r="F369" t="inlineStr">
        <is>
          <t>NORRBOTTENS LÄN</t>
        </is>
      </c>
      <c r="G369" t="inlineStr">
        <is>
          <t>BODEN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46250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59331-2021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46250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46250</v>
      </c>
      <c r="F372" t="inlineStr">
        <is>
          <t>NORRBOTTENS LÄN</t>
        </is>
      </c>
      <c r="G372" t="inlineStr">
        <is>
          <t>BODEN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46250</v>
      </c>
      <c r="F373" t="inlineStr">
        <is>
          <t>NORRBOTTENS LÄN</t>
        </is>
      </c>
      <c r="G373" t="inlineStr">
        <is>
          <t>BODEN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46250</v>
      </c>
      <c r="F374" t="inlineStr">
        <is>
          <t>NORRBOTTENS LÄN</t>
        </is>
      </c>
      <c r="G374" t="inlineStr">
        <is>
          <t>BODEN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45953</v>
      </c>
      <c r="E375" s="1" t="n">
        <v>46250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46250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46250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51525-2025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45950</v>
      </c>
      <c r="E378" s="1" t="n">
        <v>46250</v>
      </c>
      <c r="F378" t="inlineStr">
        <is>
          <t>NORRBOTTENS LÄN</t>
        </is>
      </c>
      <c r="G378" t="inlineStr">
        <is>
          <t>BODEN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46250</v>
      </c>
      <c r="F379" t="inlineStr">
        <is>
          <t>NORRBOTTENS LÄN</t>
        </is>
      </c>
      <c r="G379" t="inlineStr">
        <is>
          <t>BODEN</t>
        </is>
      </c>
      <c r="H379" t="inlineStr">
        <is>
          <t>Övriga Aktiebolag</t>
        </is>
      </c>
      <c r="I379" t="n">
        <v>15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46250</v>
      </c>
      <c r="F380" t="inlineStr">
        <is>
          <t>NORRBOTTENS LÄN</t>
        </is>
      </c>
      <c r="G380" t="inlineStr">
        <is>
          <t>BODEN</t>
        </is>
      </c>
      <c r="I380" t="n">
        <v>47.3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49124-2023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46250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45957</v>
      </c>
      <c r="E382" s="1" t="n">
        <v>46250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46250</v>
      </c>
      <c r="F383" t="inlineStr">
        <is>
          <t>NORRBOTTENS LÄN</t>
        </is>
      </c>
      <c r="G383" t="inlineStr">
        <is>
          <t>BODEN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46250</v>
      </c>
      <c r="F384" t="inlineStr">
        <is>
          <t>NORRBOTTENS LÄN</t>
        </is>
      </c>
      <c r="G384" t="inlineStr">
        <is>
          <t>BODEN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52645-2025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45955</v>
      </c>
      <c r="E385" s="1" t="n">
        <v>46250</v>
      </c>
      <c r="F385" t="inlineStr">
        <is>
          <t>NORRBOTTENS LÄN</t>
        </is>
      </c>
      <c r="G385" t="inlineStr">
        <is>
          <t>BODEN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45955</v>
      </c>
      <c r="E386" s="1" t="n">
        <v>46250</v>
      </c>
      <c r="F386" t="inlineStr">
        <is>
          <t>NORRBOTTENS LÄN</t>
        </is>
      </c>
      <c r="G386" t="inlineStr">
        <is>
          <t>BODEN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45523</v>
      </c>
      <c r="E387" s="1" t="n">
        <v>46250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44445</v>
      </c>
      <c r="E388" s="1" t="n">
        <v>46250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46250</v>
      </c>
      <c r="F389" t="inlineStr">
        <is>
          <t>NORRBOTTENS LÄN</t>
        </is>
      </c>
      <c r="G389" t="inlineStr">
        <is>
          <t>BODEN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45692</v>
      </c>
      <c r="E390" s="1" t="n">
        <v>46250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46250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53623-2025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45960</v>
      </c>
      <c r="E392" s="1" t="n">
        <v>46250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45509</v>
      </c>
      <c r="E393" s="1" t="n">
        <v>46250</v>
      </c>
      <c r="F393" t="inlineStr">
        <is>
          <t>NORRBOTTENS LÄN</t>
        </is>
      </c>
      <c r="G393" t="inlineStr">
        <is>
          <t>BODEN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46250</v>
      </c>
      <c r="F394" t="inlineStr">
        <is>
          <t>NORRBOTTENS LÄN</t>
        </is>
      </c>
      <c r="G394" t="inlineStr">
        <is>
          <t>BODEN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46250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46250</v>
      </c>
      <c r="F396" t="inlineStr">
        <is>
          <t>NORRBOTTENS LÄN</t>
        </is>
      </c>
      <c r="G396" t="inlineStr">
        <is>
          <t>BODEN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45964</v>
      </c>
      <c r="E397" s="1" t="n">
        <v>46250</v>
      </c>
      <c r="F397" t="inlineStr">
        <is>
          <t>NORRBOTTENS LÄN</t>
        </is>
      </c>
      <c r="G397" t="inlineStr">
        <is>
          <t>BODEN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46250</v>
      </c>
      <c r="F398" t="inlineStr">
        <is>
          <t>NORRBOTTENS LÄN</t>
        </is>
      </c>
      <c r="G398" t="inlineStr">
        <is>
          <t>BODEN</t>
        </is>
      </c>
      <c r="I398" t="n">
        <v>11.3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44726</v>
      </c>
      <c r="E399" s="1" t="n">
        <v>46250</v>
      </c>
      <c r="F399" t="inlineStr">
        <is>
          <t>NORRBOTTENS LÄN</t>
        </is>
      </c>
      <c r="G399" t="inlineStr">
        <is>
          <t>BODEN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45537</v>
      </c>
      <c r="E400" s="1" t="n">
        <v>46250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46250</v>
      </c>
      <c r="F401" t="inlineStr">
        <is>
          <t>NORRBOTTENS LÄN</t>
        </is>
      </c>
      <c r="G401" t="inlineStr">
        <is>
          <t>BODEN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46250</v>
      </c>
      <c r="F402" t="inlineStr">
        <is>
          <t>NORRBOTTENS LÄN</t>
        </is>
      </c>
      <c r="G402" t="inlineStr">
        <is>
          <t>BODEN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46250</v>
      </c>
      <c r="F403" t="inlineStr">
        <is>
          <t>NORRBOTTENS LÄN</t>
        </is>
      </c>
      <c r="G403" t="inlineStr">
        <is>
          <t>BODEN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54834-2025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46250</v>
      </c>
      <c r="F404" t="inlineStr">
        <is>
          <t>NORRBOTTENS LÄN</t>
        </is>
      </c>
      <c r="G404" t="inlineStr">
        <is>
          <t>BODEN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54833-2025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46250</v>
      </c>
      <c r="F405" t="inlineStr">
        <is>
          <t>NORRBOTTENS LÄN</t>
        </is>
      </c>
      <c r="G405" t="inlineStr">
        <is>
          <t>BODEN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46250</v>
      </c>
      <c r="F406" t="inlineStr">
        <is>
          <t>NORRBOTTENS LÄN</t>
        </is>
      </c>
      <c r="G406" t="inlineStr">
        <is>
          <t>BODEN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46250</v>
      </c>
      <c r="F407" t="inlineStr">
        <is>
          <t>NORRBOTTENS LÄN</t>
        </is>
      </c>
      <c r="G407" t="inlineStr">
        <is>
          <t>BODEN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46250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44642</v>
      </c>
      <c r="E409" s="1" t="n">
        <v>46250</v>
      </c>
      <c r="F409" t="inlineStr">
        <is>
          <t>NORRBOTTENS LÄN</t>
        </is>
      </c>
      <c r="G409" t="inlineStr">
        <is>
          <t>BODEN</t>
        </is>
      </c>
      <c r="H409" t="inlineStr">
        <is>
          <t>Övriga statliga verk och myndigheter</t>
        </is>
      </c>
      <c r="I409" t="n">
        <v>15.8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45548</v>
      </c>
      <c r="E410" s="1" t="n">
        <v>46250</v>
      </c>
      <c r="F410" t="inlineStr">
        <is>
          <t>NORRBOTTENS LÄN</t>
        </is>
      </c>
      <c r="G410" t="inlineStr">
        <is>
          <t>BODEN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45054</v>
      </c>
      <c r="E411" s="1" t="n">
        <v>46250</v>
      </c>
      <c r="F411" t="inlineStr">
        <is>
          <t>NORRBOTTENS LÄN</t>
        </is>
      </c>
      <c r="G411" t="inlineStr">
        <is>
          <t>BODEN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46250</v>
      </c>
      <c r="F412" t="inlineStr">
        <is>
          <t>NORRBOTTENS LÄN</t>
        </is>
      </c>
      <c r="G412" t="inlineStr">
        <is>
          <t>BODEN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46250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46250</v>
      </c>
      <c r="F414" t="inlineStr">
        <is>
          <t>NORRBOTTENS LÄN</t>
        </is>
      </c>
      <c r="G414" t="inlineStr">
        <is>
          <t>BODEN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55562-2025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45971</v>
      </c>
      <c r="E415" s="1" t="n">
        <v>46250</v>
      </c>
      <c r="F415" t="inlineStr">
        <is>
          <t>NORRBOTTENS LÄN</t>
        </is>
      </c>
      <c r="G415" t="inlineStr">
        <is>
          <t>BODEN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45764</v>
      </c>
      <c r="E416" s="1" t="n">
        <v>46250</v>
      </c>
      <c r="F416" t="inlineStr">
        <is>
          <t>NORRBOTTENS LÄN</t>
        </is>
      </c>
      <c r="G416" t="inlineStr">
        <is>
          <t>BODEN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46250</v>
      </c>
      <c r="F417" t="inlineStr">
        <is>
          <t>NORRBOTTENS LÄN</t>
        </is>
      </c>
      <c r="G417" t="inlineStr">
        <is>
          <t>BODEN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46250</v>
      </c>
      <c r="F418" t="inlineStr">
        <is>
          <t>NORRBOTTENS LÄN</t>
        </is>
      </c>
      <c r="G418" t="inlineStr">
        <is>
          <t>BODEN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46250</v>
      </c>
      <c r="F419" t="inlineStr">
        <is>
          <t>NORRBOTTENS LÄN</t>
        </is>
      </c>
      <c r="G419" t="inlineStr">
        <is>
          <t>BODEN</t>
        </is>
      </c>
      <c r="H419" t="inlineStr">
        <is>
          <t>Naturvårdsverket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45770</v>
      </c>
      <c r="E420" s="1" t="n">
        <v>46250</v>
      </c>
      <c r="F420" t="inlineStr">
        <is>
          <t>NORRBOTTENS LÄN</t>
        </is>
      </c>
      <c r="G420" t="inlineStr">
        <is>
          <t>BODEN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46250</v>
      </c>
      <c r="F421" t="inlineStr">
        <is>
          <t>NORRBOTTENS LÄN</t>
        </is>
      </c>
      <c r="G421" t="inlineStr">
        <is>
          <t>BODEN</t>
        </is>
      </c>
      <c r="I421" t="n">
        <v>19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44657</v>
      </c>
      <c r="E422" s="1" t="n">
        <v>46250</v>
      </c>
      <c r="F422" t="inlineStr">
        <is>
          <t>NORRBOTTENS LÄN</t>
        </is>
      </c>
      <c r="G422" t="inlineStr">
        <is>
          <t>BODEN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44657</v>
      </c>
      <c r="E423" s="1" t="n">
        <v>46250</v>
      </c>
      <c r="F423" t="inlineStr">
        <is>
          <t>NORRBOTTENS LÄN</t>
        </is>
      </c>
      <c r="G423" t="inlineStr">
        <is>
          <t>BODEN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46250</v>
      </c>
      <c r="F424" t="inlineStr">
        <is>
          <t>NORRBOTTENS LÄN</t>
        </is>
      </c>
      <c r="G424" t="inlineStr">
        <is>
          <t>BODEN</t>
        </is>
      </c>
      <c r="H424" t="inlineStr">
        <is>
          <t>Naturvårdsverket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11647-2023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44994</v>
      </c>
      <c r="E425" s="1" t="n">
        <v>46250</v>
      </c>
      <c r="F425" t="inlineStr">
        <is>
          <t>NORRBOTTENS LÄN</t>
        </is>
      </c>
      <c r="G425" t="inlineStr">
        <is>
          <t>BODEN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46250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46250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46250</v>
      </c>
      <c r="F428" t="inlineStr">
        <is>
          <t>NORRBOTTENS LÄN</t>
        </is>
      </c>
      <c r="G428" t="inlineStr">
        <is>
          <t>BODEN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46250</v>
      </c>
      <c r="F429" t="inlineStr">
        <is>
          <t>NORRBOTTENS LÄN</t>
        </is>
      </c>
      <c r="G429" t="inlineStr">
        <is>
          <t>BODEN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46250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46250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46250</v>
      </c>
      <c r="F432" t="inlineStr">
        <is>
          <t>NORRBOTTENS LÄN</t>
        </is>
      </c>
      <c r="G432" t="inlineStr">
        <is>
          <t>BODEN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46250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46250</v>
      </c>
      <c r="F434" t="inlineStr">
        <is>
          <t>NORRBOTTENS LÄN</t>
        </is>
      </c>
      <c r="G434" t="inlineStr">
        <is>
          <t>BODEN</t>
        </is>
      </c>
      <c r="H434" t="inlineStr">
        <is>
          <t>Naturvårdsverket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46250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46250</v>
      </c>
      <c r="F436" t="inlineStr">
        <is>
          <t>NORRBOTTENS LÄN</t>
        </is>
      </c>
      <c r="G436" t="inlineStr">
        <is>
          <t>BODEN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46250</v>
      </c>
      <c r="F437" t="inlineStr">
        <is>
          <t>NORRBOTTENS LÄN</t>
        </is>
      </c>
      <c r="G437" t="inlineStr">
        <is>
          <t>BODEN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46250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58203-2025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45984</v>
      </c>
      <c r="E439" s="1" t="n">
        <v>46250</v>
      </c>
      <c r="F439" t="inlineStr">
        <is>
          <t>NORRBOTTENS LÄN</t>
        </is>
      </c>
      <c r="G439" t="inlineStr">
        <is>
          <t>BODEN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46250</v>
      </c>
      <c r="F440" t="inlineStr">
        <is>
          <t>NORRBOTTENS LÄN</t>
        </is>
      </c>
      <c r="G440" t="inlineStr">
        <is>
          <t>BODEN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46250</v>
      </c>
      <c r="F441" t="inlineStr">
        <is>
          <t>NORRBOTTENS LÄN</t>
        </is>
      </c>
      <c r="G441" t="inlineStr">
        <is>
          <t>BODEN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28432-2022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44747</v>
      </c>
      <c r="E442" s="1" t="n">
        <v>46250</v>
      </c>
      <c r="F442" t="inlineStr">
        <is>
          <t>NORRBOTTENS LÄN</t>
        </is>
      </c>
      <c r="G442" t="inlineStr">
        <is>
          <t>BODEN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44706</v>
      </c>
      <c r="E443" s="1" t="n">
        <v>46250</v>
      </c>
      <c r="F443" t="inlineStr">
        <is>
          <t>NORRBOTTENS LÄN</t>
        </is>
      </c>
      <c r="G443" t="inlineStr">
        <is>
          <t>BODEN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41180-2021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44423</v>
      </c>
      <c r="E444" s="1" t="n">
        <v>46250</v>
      </c>
      <c r="F444" t="inlineStr">
        <is>
          <t>NORRBOTTENS LÄN</t>
        </is>
      </c>
      <c r="G444" t="inlineStr">
        <is>
          <t>BODEN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46250</v>
      </c>
      <c r="F445" t="inlineStr">
        <is>
          <t>NORRBOTTENS LÄN</t>
        </is>
      </c>
      <c r="G445" t="inlineStr">
        <is>
          <t>BODEN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46250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46250</v>
      </c>
      <c r="F447" t="inlineStr">
        <is>
          <t>NORRBOTTENS LÄN</t>
        </is>
      </c>
      <c r="G447" t="inlineStr">
        <is>
          <t>BODEN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44880</v>
      </c>
      <c r="E448" s="1" t="n">
        <v>46250</v>
      </c>
      <c r="F448" t="inlineStr">
        <is>
          <t>NORRBOTTENS LÄN</t>
        </is>
      </c>
      <c r="G448" t="inlineStr">
        <is>
          <t>BODEN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9969-2023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44979</v>
      </c>
      <c r="E449" s="1" t="n">
        <v>46250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statliga verk och myndigheter</t>
        </is>
      </c>
      <c r="I449" t="n">
        <v>18.8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46250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877-2023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44931</v>
      </c>
      <c r="E451" s="1" t="n">
        <v>46250</v>
      </c>
      <c r="F451" t="inlineStr">
        <is>
          <t>NORRBOTTENS LÄN</t>
        </is>
      </c>
      <c r="G451" t="inlineStr">
        <is>
          <t>BODEN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46250</v>
      </c>
      <c r="F452" t="inlineStr">
        <is>
          <t>NORRBOTTENS LÄN</t>
        </is>
      </c>
      <c r="G452" t="inlineStr">
        <is>
          <t>BODEN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45625</v>
      </c>
      <c r="E453" s="1" t="n">
        <v>46250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46250</v>
      </c>
      <c r="F454" t="inlineStr">
        <is>
          <t>NORRBOTTENS LÄN</t>
        </is>
      </c>
      <c r="G454" t="inlineStr">
        <is>
          <t>BODEN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59029-2022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46250</v>
      </c>
      <c r="F455" t="inlineStr">
        <is>
          <t>NORRBOTTENS LÄN</t>
        </is>
      </c>
      <c r="G455" t="inlineStr">
        <is>
          <t>BODEN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46250</v>
      </c>
      <c r="F456" t="inlineStr">
        <is>
          <t>NORRBOTTENS LÄN</t>
        </is>
      </c>
      <c r="G456" t="inlineStr">
        <is>
          <t>BODEN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46250</v>
      </c>
      <c r="F457" t="inlineStr">
        <is>
          <t>NORRBOTTENS LÄN</t>
        </is>
      </c>
      <c r="G457" t="inlineStr">
        <is>
          <t>BODEN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46250</v>
      </c>
      <c r="F458" t="inlineStr">
        <is>
          <t>NORRBOTTENS LÄN</t>
        </is>
      </c>
      <c r="G458" t="inlineStr">
        <is>
          <t>BODEN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45994</v>
      </c>
      <c r="E459" s="1" t="n">
        <v>46250</v>
      </c>
      <c r="F459" t="inlineStr">
        <is>
          <t>NORRBOTTENS LÄN</t>
        </is>
      </c>
      <c r="G459" t="inlineStr">
        <is>
          <t>BODEN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18221-2026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46250</v>
      </c>
      <c r="F460" t="inlineStr">
        <is>
          <t>NORRBOTTENS LÄN</t>
        </is>
      </c>
      <c r="G460" t="inlineStr">
        <is>
          <t>BODEN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46250</v>
      </c>
      <c r="F461" t="inlineStr">
        <is>
          <t>NORRBOTTENS LÄN</t>
        </is>
      </c>
      <c r="G461" t="inlineStr">
        <is>
          <t>BODEN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46250</v>
      </c>
      <c r="F462" t="inlineStr">
        <is>
          <t>NORRBOTTENS LÄN</t>
        </is>
      </c>
      <c r="G462" t="inlineStr">
        <is>
          <t>BODEN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60395-2025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46250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46250</v>
      </c>
      <c r="F464" t="inlineStr">
        <is>
          <t>NORRBOTTENS LÄN</t>
        </is>
      </c>
      <c r="G464" t="inlineStr">
        <is>
          <t>BODEN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46250</v>
      </c>
      <c r="F465" t="inlineStr">
        <is>
          <t>NORRBOTTENS LÄN</t>
        </is>
      </c>
      <c r="G465" t="inlineStr">
        <is>
          <t>BODEN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45996</v>
      </c>
      <c r="E466" s="1" t="n">
        <v>46250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46250</v>
      </c>
      <c r="F467" t="inlineStr">
        <is>
          <t>NORRBOTTENS LÄN</t>
        </is>
      </c>
      <c r="G467" t="inlineStr">
        <is>
          <t>BODEN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46250</v>
      </c>
      <c r="F468" t="inlineStr">
        <is>
          <t>NORRBOTTENS LÄN</t>
        </is>
      </c>
      <c r="G468" t="inlineStr">
        <is>
          <t>BODEN</t>
        </is>
      </c>
      <c r="I468" t="n">
        <v>11.7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45212</v>
      </c>
      <c r="E469" s="1" t="n">
        <v>46250</v>
      </c>
      <c r="F469" t="inlineStr">
        <is>
          <t>NORRBOTTENS LÄN</t>
        </is>
      </c>
      <c r="G469" t="inlineStr">
        <is>
          <t>BODEN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46250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45906</v>
      </c>
      <c r="E471" s="1" t="n">
        <v>46250</v>
      </c>
      <c r="F471" t="inlineStr">
        <is>
          <t>NORRBOTTENS LÄN</t>
        </is>
      </c>
      <c r="G471" t="inlineStr">
        <is>
          <t>BODEN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46250</v>
      </c>
      <c r="F472" t="inlineStr">
        <is>
          <t>NORRBOTTENS LÄN</t>
        </is>
      </c>
      <c r="G472" t="inlineStr">
        <is>
          <t>BODEN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46250</v>
      </c>
      <c r="F473" t="inlineStr">
        <is>
          <t>NORRBOTTENS LÄN</t>
        </is>
      </c>
      <c r="G473" t="inlineStr">
        <is>
          <t>BODEN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48471-2024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45591</v>
      </c>
      <c r="E474" s="1" t="n">
        <v>46250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61384-2025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46001</v>
      </c>
      <c r="E475" s="1" t="n">
        <v>46250</v>
      </c>
      <c r="F475" t="inlineStr">
        <is>
          <t>NORRBOTTENS LÄN</t>
        </is>
      </c>
      <c r="G475" t="inlineStr">
        <is>
          <t>BODEN</t>
        </is>
      </c>
      <c r="I475" t="n">
        <v>17.1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46250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46001</v>
      </c>
      <c r="E477" s="1" t="n">
        <v>46250</v>
      </c>
      <c r="F477" t="inlineStr">
        <is>
          <t>NORRBOTTENS LÄN</t>
        </is>
      </c>
      <c r="G477" t="inlineStr">
        <is>
          <t>BODEN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46250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46250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19050-2026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46250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46250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46250</v>
      </c>
      <c r="F482" t="inlineStr">
        <is>
          <t>NORRBOTTENS LÄN</t>
        </is>
      </c>
      <c r="G482" t="inlineStr">
        <is>
          <t>BODEN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46250</v>
      </c>
      <c r="F483" t="inlineStr">
        <is>
          <t>NORRBOTTENS LÄN</t>
        </is>
      </c>
      <c r="G483" t="inlineStr">
        <is>
          <t>BODEN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14757-2023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45014</v>
      </c>
      <c r="E484" s="1" t="n">
        <v>46250</v>
      </c>
      <c r="F484" t="inlineStr">
        <is>
          <t>NORRBOTTENS LÄN</t>
        </is>
      </c>
      <c r="G484" t="inlineStr">
        <is>
          <t>BODEN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46250</v>
      </c>
      <c r="F485" t="inlineStr">
        <is>
          <t>NORRBOTTENS LÄN</t>
        </is>
      </c>
      <c r="G485" t="inlineStr">
        <is>
          <t>BODEN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12801-2023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45001</v>
      </c>
      <c r="E486" s="1" t="n">
        <v>46250</v>
      </c>
      <c r="F486" t="inlineStr">
        <is>
          <t>NORRBOTTENS LÄN</t>
        </is>
      </c>
      <c r="G486" t="inlineStr">
        <is>
          <t>BODEN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61949-2025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46250</v>
      </c>
      <c r="F487" t="inlineStr">
        <is>
          <t>NORRBOTTENS LÄN</t>
        </is>
      </c>
      <c r="G487" t="inlineStr">
        <is>
          <t>BODEN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46250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46250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46008</v>
      </c>
      <c r="E490" s="1" t="n">
        <v>46250</v>
      </c>
      <c r="F490" t="inlineStr">
        <is>
          <t>NORRBOTTENS LÄN</t>
        </is>
      </c>
      <c r="G490" t="inlineStr">
        <is>
          <t>BODEN</t>
        </is>
      </c>
      <c r="I490" t="n">
        <v>10.1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62673-2025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46008</v>
      </c>
      <c r="E491" s="1" t="n">
        <v>46250</v>
      </c>
      <c r="F491" t="inlineStr">
        <is>
          <t>NORRBOTTENS LÄN</t>
        </is>
      </c>
      <c r="G491" t="inlineStr">
        <is>
          <t>BODEN</t>
        </is>
      </c>
      <c r="I491" t="n">
        <v>18.6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46250</v>
      </c>
      <c r="F492" t="inlineStr">
        <is>
          <t>NORRBOTTENS LÄN</t>
        </is>
      </c>
      <c r="G492" t="inlineStr">
        <is>
          <t>BODEN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63333-2025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46250</v>
      </c>
      <c r="F493" t="inlineStr">
        <is>
          <t>NORRBOTTENS LÄN</t>
        </is>
      </c>
      <c r="G493" t="inlineStr">
        <is>
          <t>BODEN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46250</v>
      </c>
      <c r="F494" t="inlineStr">
        <is>
          <t>NORRBOTTENS LÄN</t>
        </is>
      </c>
      <c r="G494" t="inlineStr">
        <is>
          <t>BODEN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44796</v>
      </c>
      <c r="E495" s="1" t="n">
        <v>46250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62992-2025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46250</v>
      </c>
      <c r="F496" t="inlineStr">
        <is>
          <t>NORRBOTTENS LÄN</t>
        </is>
      </c>
      <c r="G496" t="inlineStr">
        <is>
          <t>BODEN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45105</v>
      </c>
      <c r="E497" s="1" t="n">
        <v>46250</v>
      </c>
      <c r="F497" t="inlineStr">
        <is>
          <t>NORRBOTTENS LÄN</t>
        </is>
      </c>
      <c r="G497" t="inlineStr">
        <is>
          <t>BODEN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3462-2022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44585</v>
      </c>
      <c r="E498" s="1" t="n">
        <v>46250</v>
      </c>
      <c r="F498" t="inlineStr">
        <is>
          <t>NORRBOTTENS LÄN</t>
        </is>
      </c>
      <c r="G498" t="inlineStr">
        <is>
          <t>BODEN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46012</v>
      </c>
      <c r="E499" s="1" t="n">
        <v>46250</v>
      </c>
      <c r="F499" t="inlineStr">
        <is>
          <t>NORRBOTTENS LÄN</t>
        </is>
      </c>
      <c r="G499" t="inlineStr">
        <is>
          <t>BODEN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63399-2025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46012</v>
      </c>
      <c r="E500" s="1" t="n">
        <v>46250</v>
      </c>
      <c r="F500" t="inlineStr">
        <is>
          <t>NORRBOTTENS LÄN</t>
        </is>
      </c>
      <c r="G500" t="inlineStr">
        <is>
          <t>BODEN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46012</v>
      </c>
      <c r="E501" s="1" t="n">
        <v>46250</v>
      </c>
      <c r="F501" t="inlineStr">
        <is>
          <t>NORRBOTTENS LÄN</t>
        </is>
      </c>
      <c r="G501" t="inlineStr">
        <is>
          <t>BODEN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45902</v>
      </c>
      <c r="E502" s="1" t="n">
        <v>46250</v>
      </c>
      <c r="F502" t="inlineStr">
        <is>
          <t>NORRBOTTENS LÄN</t>
        </is>
      </c>
      <c r="G502" t="inlineStr">
        <is>
          <t>BODEN</t>
        </is>
      </c>
      <c r="H502" t="inlineStr">
        <is>
          <t>Övriga statliga verk och myndigheter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46564-2022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46250</v>
      </c>
      <c r="F503" t="inlineStr">
        <is>
          <t>NORRBOTTENS LÄN</t>
        </is>
      </c>
      <c r="G503" t="inlineStr">
        <is>
          <t>BODEN</t>
        </is>
      </c>
      <c r="I503" t="n">
        <v>28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25916-2023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45085</v>
      </c>
      <c r="E504" s="1" t="n">
        <v>46250</v>
      </c>
      <c r="F504" t="inlineStr">
        <is>
          <t>NORRBOTTENS LÄN</t>
        </is>
      </c>
      <c r="G504" t="inlineStr">
        <is>
          <t>BODEN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46020</v>
      </c>
      <c r="E505" s="1" t="n">
        <v>46250</v>
      </c>
      <c r="F505" t="inlineStr">
        <is>
          <t>NORRBOTTENS LÄN</t>
        </is>
      </c>
      <c r="G505" t="inlineStr">
        <is>
          <t>BODEN</t>
        </is>
      </c>
      <c r="I505" t="n">
        <v>12.5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8752-2026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46250</v>
      </c>
      <c r="F506" t="inlineStr">
        <is>
          <t>NORRBOTTENS LÄN</t>
        </is>
      </c>
      <c r="G506" t="inlineStr">
        <is>
          <t>BODEN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46250</v>
      </c>
      <c r="F507" t="inlineStr">
        <is>
          <t>NORRBOTTENS LÄN</t>
        </is>
      </c>
      <c r="G507" t="inlineStr">
        <is>
          <t>BODEN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46007</v>
      </c>
      <c r="E508" s="1" t="n">
        <v>46250</v>
      </c>
      <c r="F508" t="inlineStr">
        <is>
          <t>NORRBOTTENS LÄN</t>
        </is>
      </c>
      <c r="G508" t="inlineStr">
        <is>
          <t>BODEN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46250</v>
      </c>
      <c r="F509" t="inlineStr">
        <is>
          <t>NORRBOTTENS LÄN</t>
        </is>
      </c>
      <c r="G509" t="inlineStr">
        <is>
          <t>BODEN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46250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31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46250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45649</v>
      </c>
      <c r="E512" s="1" t="n">
        <v>46250</v>
      </c>
      <c r="F512" t="inlineStr">
        <is>
          <t>NORRBOTTENS LÄN</t>
        </is>
      </c>
      <c r="G512" t="inlineStr">
        <is>
          <t>BODEN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46250</v>
      </c>
      <c r="F513" t="inlineStr">
        <is>
          <t>NORRBOTTENS LÄN</t>
        </is>
      </c>
      <c r="G513" t="inlineStr">
        <is>
          <t>BODEN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46250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46250</v>
      </c>
      <c r="F515" t="inlineStr">
        <is>
          <t>NORRBOTTENS LÄN</t>
        </is>
      </c>
      <c r="G515" t="inlineStr">
        <is>
          <t>BODEN</t>
        </is>
      </c>
      <c r="I515" t="n">
        <v>16.1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46250</v>
      </c>
      <c r="F516" t="inlineStr">
        <is>
          <t>NORRBOTTENS LÄN</t>
        </is>
      </c>
      <c r="G516" t="inlineStr">
        <is>
          <t>BODEN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73910-2021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44552</v>
      </c>
      <c r="E517" s="1" t="n">
        <v>46250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46250</v>
      </c>
      <c r="F518" t="inlineStr">
        <is>
          <t>NORRBOTTENS LÄN</t>
        </is>
      </c>
      <c r="G518" t="inlineStr">
        <is>
          <t>BODEN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48107-2022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44856</v>
      </c>
      <c r="E519" s="1" t="n">
        <v>46250</v>
      </c>
      <c r="F519" t="inlineStr">
        <is>
          <t>NORRBOTTENS LÄN</t>
        </is>
      </c>
      <c r="G519" t="inlineStr">
        <is>
          <t>BODEN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44614</v>
      </c>
      <c r="E520" s="1" t="n">
        <v>46250</v>
      </c>
      <c r="F520" t="inlineStr">
        <is>
          <t>NORRBOTTENS LÄN</t>
        </is>
      </c>
      <c r="G520" t="inlineStr">
        <is>
          <t>BODEN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46250</v>
      </c>
      <c r="F521" t="inlineStr">
        <is>
          <t>NORRBOTTENS LÄN</t>
        </is>
      </c>
      <c r="G521" t="inlineStr">
        <is>
          <t>BODEN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40624-2022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44823</v>
      </c>
      <c r="E522" s="1" t="n">
        <v>46250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26806-2024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45470</v>
      </c>
      <c r="E523" s="1" t="n">
        <v>46250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47423-2024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45587</v>
      </c>
      <c r="E524" s="1" t="n">
        <v>46250</v>
      </c>
      <c r="F524" t="inlineStr">
        <is>
          <t>NORRBOTTENS LÄN</t>
        </is>
      </c>
      <c r="G524" t="inlineStr">
        <is>
          <t>BODEN</t>
        </is>
      </c>
      <c r="I524" t="n">
        <v>17.2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718-2022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44568</v>
      </c>
      <c r="E525" s="1" t="n">
        <v>46250</v>
      </c>
      <c r="F525" t="inlineStr">
        <is>
          <t>NORRBOTTENS LÄN</t>
        </is>
      </c>
      <c r="G525" t="inlineStr">
        <is>
          <t>BODEN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44484</v>
      </c>
      <c r="E526" s="1" t="n">
        <v>46250</v>
      </c>
      <c r="F526" t="inlineStr">
        <is>
          <t>NORRBOTTENS LÄN</t>
        </is>
      </c>
      <c r="G526" t="inlineStr">
        <is>
          <t>BODEN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708-2022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44566</v>
      </c>
      <c r="E527" s="1" t="n">
        <v>46250</v>
      </c>
      <c r="F527" t="inlineStr">
        <is>
          <t>NORRBOTTENS LÄN</t>
        </is>
      </c>
      <c r="G527" t="inlineStr">
        <is>
          <t>BODEN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46250</v>
      </c>
      <c r="F528" t="inlineStr">
        <is>
          <t>NORRBOTTENS LÄN</t>
        </is>
      </c>
      <c r="G528" t="inlineStr">
        <is>
          <t>BODEN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46250</v>
      </c>
      <c r="F529" t="inlineStr">
        <is>
          <t>NORRBOTTENS LÄN</t>
        </is>
      </c>
      <c r="G529" t="inlineStr">
        <is>
          <t>BODEN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45543</v>
      </c>
      <c r="E530" s="1" t="n">
        <v>46250</v>
      </c>
      <c r="F530" t="inlineStr">
        <is>
          <t>NORRBOTTENS LÄN</t>
        </is>
      </c>
      <c r="G530" t="inlineStr">
        <is>
          <t>BODEN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45935</v>
      </c>
      <c r="E531" s="1" t="n">
        <v>46250</v>
      </c>
      <c r="F531" t="inlineStr">
        <is>
          <t>NORRBOTTENS LÄN</t>
        </is>
      </c>
      <c r="G531" t="inlineStr">
        <is>
          <t>BODEN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46036</v>
      </c>
      <c r="E532" s="1" t="n">
        <v>46250</v>
      </c>
      <c r="F532" t="inlineStr">
        <is>
          <t>NORRBOTTENS LÄN</t>
        </is>
      </c>
      <c r="G532" t="inlineStr">
        <is>
          <t>BODEN</t>
        </is>
      </c>
      <c r="H532" t="inlineStr">
        <is>
          <t>Kommuner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45667</v>
      </c>
      <c r="E533" s="1" t="n">
        <v>46250</v>
      </c>
      <c r="F533" t="inlineStr">
        <is>
          <t>NORRBOTTENS LÄN</t>
        </is>
      </c>
      <c r="G533" t="inlineStr">
        <is>
          <t>BODEN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46250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13714-2022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44648</v>
      </c>
      <c r="E535" s="1" t="n">
        <v>46250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46250</v>
      </c>
      <c r="F536" t="inlineStr">
        <is>
          <t>NORRBOTTENS LÄN</t>
        </is>
      </c>
      <c r="G536" t="inlineStr">
        <is>
          <t>BODEN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45035-2022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44841</v>
      </c>
      <c r="E537" s="1" t="n">
        <v>46250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45762</v>
      </c>
      <c r="E538" s="1" t="n">
        <v>46250</v>
      </c>
      <c r="F538" t="inlineStr">
        <is>
          <t>NORRBOTTENS LÄN</t>
        </is>
      </c>
      <c r="G538" t="inlineStr">
        <is>
          <t>BODEN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46250</v>
      </c>
      <c r="F539" t="inlineStr">
        <is>
          <t>NORRBOTTENS LÄN</t>
        </is>
      </c>
      <c r="G539" t="inlineStr">
        <is>
          <t>BODEN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45476</v>
      </c>
      <c r="E540" s="1" t="n">
        <v>46250</v>
      </c>
      <c r="F540" t="inlineStr">
        <is>
          <t>NORRBOTTENS LÄN</t>
        </is>
      </c>
      <c r="G540" t="inlineStr">
        <is>
          <t>BODEN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46250</v>
      </c>
      <c r="F541" t="inlineStr">
        <is>
          <t>NORRBOTTENS LÄN</t>
        </is>
      </c>
      <c r="G541" t="inlineStr">
        <is>
          <t>BODEN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45499</v>
      </c>
      <c r="E542" s="1" t="n">
        <v>46250</v>
      </c>
      <c r="F542" t="inlineStr">
        <is>
          <t>NORRBOTTENS LÄN</t>
        </is>
      </c>
      <c r="G542" t="inlineStr">
        <is>
          <t>BODEN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45194</v>
      </c>
      <c r="E543" s="1" t="n">
        <v>46250</v>
      </c>
      <c r="F543" t="inlineStr">
        <is>
          <t>NORRBOTTENS LÄN</t>
        </is>
      </c>
      <c r="G543" t="inlineStr">
        <is>
          <t>BODEN</t>
        </is>
      </c>
      <c r="H543" t="inlineStr">
        <is>
          <t>Sveaskog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46250</v>
      </c>
      <c r="F544" t="inlineStr">
        <is>
          <t>NORRBOTTENS LÄN</t>
        </is>
      </c>
      <c r="G544" t="inlineStr">
        <is>
          <t>BODEN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46136</v>
      </c>
      <c r="E545" s="1" t="n">
        <v>46250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45709</v>
      </c>
      <c r="E546" s="1" t="n">
        <v>46250</v>
      </c>
      <c r="F546" t="inlineStr">
        <is>
          <t>NORRBOTTENS LÄN</t>
        </is>
      </c>
      <c r="G546" t="inlineStr">
        <is>
          <t>BODEN</t>
        </is>
      </c>
      <c r="H546" t="inlineStr">
        <is>
          <t>Övriga Aktiebolag</t>
        </is>
      </c>
      <c r="I546" t="n">
        <v>14.3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46250</v>
      </c>
      <c r="F547" t="inlineStr">
        <is>
          <t>NORRBOTTENS LÄN</t>
        </is>
      </c>
      <c r="G547" t="inlineStr">
        <is>
          <t>BODEN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46250</v>
      </c>
      <c r="F548" t="inlineStr">
        <is>
          <t>NORRBOTTENS LÄN</t>
        </is>
      </c>
      <c r="G548" t="inlineStr">
        <is>
          <t>BODEN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46250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20260-2025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45773</v>
      </c>
      <c r="E550" s="1" t="n">
        <v>46250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46250</v>
      </c>
      <c r="F551" t="inlineStr">
        <is>
          <t>NORRBOTTENS LÄN</t>
        </is>
      </c>
      <c r="G551" t="inlineStr">
        <is>
          <t>BODEN</t>
        </is>
      </c>
      <c r="I551" t="n">
        <v>8.9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46250</v>
      </c>
      <c r="F552" t="inlineStr">
        <is>
          <t>NORRBOTTENS LÄN</t>
        </is>
      </c>
      <c r="G552" t="inlineStr">
        <is>
          <t>BODEN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46050</v>
      </c>
      <c r="E553" s="1" t="n">
        <v>46250</v>
      </c>
      <c r="F553" t="inlineStr">
        <is>
          <t>NORRBOTTENS LÄN</t>
        </is>
      </c>
      <c r="G553" t="inlineStr">
        <is>
          <t>BODEN</t>
        </is>
      </c>
      <c r="I553" t="n">
        <v>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46003</v>
      </c>
      <c r="E554" s="1" t="n">
        <v>46250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46250</v>
      </c>
      <c r="F555" t="inlineStr">
        <is>
          <t>NORRBOTTENS LÄN</t>
        </is>
      </c>
      <c r="G555" t="inlineStr">
        <is>
          <t>BODEN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46512-2021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44445</v>
      </c>
      <c r="E556" s="1" t="n">
        <v>46250</v>
      </c>
      <c r="F556" t="inlineStr">
        <is>
          <t>NORRBOTTENS LÄN</t>
        </is>
      </c>
      <c r="G556" t="inlineStr">
        <is>
          <t>BODEN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46250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46250</v>
      </c>
      <c r="F558" t="inlineStr">
        <is>
          <t>NORRBOTTENS LÄN</t>
        </is>
      </c>
      <c r="G558" t="inlineStr">
        <is>
          <t>BODEN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61588-2024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45646</v>
      </c>
      <c r="E559" s="1" t="n">
        <v>46250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55080-2021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44474</v>
      </c>
      <c r="E560" s="1" t="n">
        <v>46250</v>
      </c>
      <c r="F560" t="inlineStr">
        <is>
          <t>NORRBOTTENS LÄN</t>
        </is>
      </c>
      <c r="G560" t="inlineStr">
        <is>
          <t>BODEN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46250</v>
      </c>
      <c r="F561" t="inlineStr">
        <is>
          <t>NORRBOTTENS LÄN</t>
        </is>
      </c>
      <c r="G561" t="inlineStr">
        <is>
          <t>BODEN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46250</v>
      </c>
      <c r="F562" t="inlineStr">
        <is>
          <t>NORRBOTTENS LÄN</t>
        </is>
      </c>
      <c r="G562" t="inlineStr">
        <is>
          <t>BODEN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45748</v>
      </c>
      <c r="E563" s="1" t="n">
        <v>46250</v>
      </c>
      <c r="F563" t="inlineStr">
        <is>
          <t>NORRBOTTENS LÄN</t>
        </is>
      </c>
      <c r="G563" t="inlineStr">
        <is>
          <t>BODEN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45839</v>
      </c>
      <c r="E564" s="1" t="n">
        <v>46250</v>
      </c>
      <c r="F564" t="inlineStr">
        <is>
          <t>NORRBOTTENS LÄN</t>
        </is>
      </c>
      <c r="G564" t="inlineStr">
        <is>
          <t>BODEN</t>
        </is>
      </c>
      <c r="I564" t="n">
        <v>13.6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67438-2021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44524</v>
      </c>
      <c r="E565" s="1" t="n">
        <v>46250</v>
      </c>
      <c r="F565" t="inlineStr">
        <is>
          <t>NORRBOTTENS LÄN</t>
        </is>
      </c>
      <c r="G565" t="inlineStr">
        <is>
          <t>BODEN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46250</v>
      </c>
      <c r="F566" t="inlineStr">
        <is>
          <t>NORRBOTTENS LÄN</t>
        </is>
      </c>
      <c r="G566" t="inlineStr">
        <is>
          <t>BODEN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54104-2022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44881</v>
      </c>
      <c r="E567" s="1" t="n">
        <v>46250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46057</v>
      </c>
      <c r="E568" s="1" t="n">
        <v>46250</v>
      </c>
      <c r="F568" t="inlineStr">
        <is>
          <t>NORRBOTTENS LÄN</t>
        </is>
      </c>
      <c r="G568" t="inlineStr">
        <is>
          <t>BODEN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46250</v>
      </c>
      <c r="F569" t="inlineStr">
        <is>
          <t>NORRBOTTENS LÄN</t>
        </is>
      </c>
      <c r="G569" t="inlineStr">
        <is>
          <t>BODEN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45770</v>
      </c>
      <c r="E570" s="1" t="n">
        <v>46250</v>
      </c>
      <c r="F570" t="inlineStr">
        <is>
          <t>NORRBOTTENS LÄN</t>
        </is>
      </c>
      <c r="G570" t="inlineStr">
        <is>
          <t>BODEN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45884</v>
      </c>
      <c r="E571" s="1" t="n">
        <v>46250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45860</v>
      </c>
      <c r="E572" s="1" t="n">
        <v>46250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46250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45454</v>
      </c>
      <c r="E574" s="1" t="n">
        <v>46250</v>
      </c>
      <c r="F574" t="inlineStr">
        <is>
          <t>NORRBOTTENS LÄN</t>
        </is>
      </c>
      <c r="G574" t="inlineStr">
        <is>
          <t>BODEN</t>
        </is>
      </c>
      <c r="I574" t="n">
        <v>10.9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45818</v>
      </c>
      <c r="E575" s="1" t="n">
        <v>46250</v>
      </c>
      <c r="F575" t="inlineStr">
        <is>
          <t>NORRBOTTENS LÄN</t>
        </is>
      </c>
      <c r="G575" t="inlineStr">
        <is>
          <t>BODEN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46250</v>
      </c>
      <c r="F576" t="inlineStr">
        <is>
          <t>NORRBOTTENS LÄN</t>
        </is>
      </c>
      <c r="G576" t="inlineStr">
        <is>
          <t>BODEN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58099-2023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45248</v>
      </c>
      <c r="E577" s="1" t="n">
        <v>46250</v>
      </c>
      <c r="F577" t="inlineStr">
        <is>
          <t>NORRBOTTENS LÄN</t>
        </is>
      </c>
      <c r="G577" t="inlineStr">
        <is>
          <t>BODEN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46250</v>
      </c>
      <c r="F578" t="inlineStr">
        <is>
          <t>NORRBOTTENS LÄN</t>
        </is>
      </c>
      <c r="G578" t="inlineStr">
        <is>
          <t>BODEN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45677</v>
      </c>
      <c r="E579" s="1" t="n">
        <v>46250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46250</v>
      </c>
      <c r="F580" t="inlineStr">
        <is>
          <t>NORRBOTTENS LÄN</t>
        </is>
      </c>
      <c r="G580" t="inlineStr">
        <is>
          <t>BODEN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46250</v>
      </c>
      <c r="F581" t="inlineStr">
        <is>
          <t>NORRBOTTENS LÄN</t>
        </is>
      </c>
      <c r="G581" t="inlineStr">
        <is>
          <t>BODEN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46250</v>
      </c>
      <c r="F582" t="inlineStr">
        <is>
          <t>NORRBOTTENS LÄN</t>
        </is>
      </c>
      <c r="G582" t="inlineStr">
        <is>
          <t>BODEN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46250</v>
      </c>
      <c r="F583" t="inlineStr">
        <is>
          <t>NORRBOTTENS LÄN</t>
        </is>
      </c>
      <c r="G583" t="inlineStr">
        <is>
          <t>BODEN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45425</v>
      </c>
      <c r="E584" s="1" t="n">
        <v>46250</v>
      </c>
      <c r="F584" t="inlineStr">
        <is>
          <t>NORRBOTTENS LÄN</t>
        </is>
      </c>
      <c r="G584" t="inlineStr">
        <is>
          <t>BODEN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61214-2024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46250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46250</v>
      </c>
      <c r="F586" t="inlineStr">
        <is>
          <t>NORRBOTTENS LÄN</t>
        </is>
      </c>
      <c r="G586" t="inlineStr">
        <is>
          <t>BODEN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45125</v>
      </c>
      <c r="E587" s="1" t="n">
        <v>46250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46250</v>
      </c>
      <c r="F588" t="inlineStr">
        <is>
          <t>NORRBOTTENS LÄN</t>
        </is>
      </c>
      <c r="G588" t="inlineStr">
        <is>
          <t>BODEN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46029</v>
      </c>
      <c r="E589" s="1" t="n">
        <v>46250</v>
      </c>
      <c r="F589" t="inlineStr">
        <is>
          <t>NORRBOTTENS LÄN</t>
        </is>
      </c>
      <c r="G589" t="inlineStr">
        <is>
          <t>BODEN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45766</v>
      </c>
      <c r="E590" s="1" t="n">
        <v>46250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49127-2023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45210</v>
      </c>
      <c r="E591" s="1" t="n">
        <v>46250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46250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46250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45408</v>
      </c>
      <c r="E594" s="1" t="n">
        <v>46250</v>
      </c>
      <c r="F594" t="inlineStr">
        <is>
          <t>NORRBOTTENS LÄN</t>
        </is>
      </c>
      <c r="G594" t="inlineStr">
        <is>
          <t>BODEN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44565</v>
      </c>
      <c r="E595" s="1" t="n">
        <v>46250</v>
      </c>
      <c r="F595" t="inlineStr">
        <is>
          <t>NORRBOTTENS LÄN</t>
        </is>
      </c>
      <c r="G595" t="inlineStr">
        <is>
          <t>BODEN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46250</v>
      </c>
      <c r="F596" t="inlineStr">
        <is>
          <t>NORRBOTTENS LÄN</t>
        </is>
      </c>
      <c r="G596" t="inlineStr">
        <is>
          <t>BODEN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46250</v>
      </c>
      <c r="F597" t="inlineStr">
        <is>
          <t>NORRBOTTENS LÄN</t>
        </is>
      </c>
      <c r="G597" t="inlineStr">
        <is>
          <t>BODEN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54616-2023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45233</v>
      </c>
      <c r="E598" s="1" t="n">
        <v>46250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45635</v>
      </c>
      <c r="E599" s="1" t="n">
        <v>46250</v>
      </c>
      <c r="F599" t="inlineStr">
        <is>
          <t>NORRBOTTENS LÄN</t>
        </is>
      </c>
      <c r="G599" t="inlineStr">
        <is>
          <t>BODEN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22460-2023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46250</v>
      </c>
      <c r="F600" t="inlineStr">
        <is>
          <t>NORRBOTTENS LÄN</t>
        </is>
      </c>
      <c r="G600" t="inlineStr">
        <is>
          <t>BODEN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45085</v>
      </c>
      <c r="E601" s="1" t="n">
        <v>46250</v>
      </c>
      <c r="F601" t="inlineStr">
        <is>
          <t>NORRBOTTENS LÄN</t>
        </is>
      </c>
      <c r="G601" t="inlineStr">
        <is>
          <t>BODEN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45115-2021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44438</v>
      </c>
      <c r="E602" s="1" t="n">
        <v>46250</v>
      </c>
      <c r="F602" t="inlineStr">
        <is>
          <t>NORRBOTTENS LÄN</t>
        </is>
      </c>
      <c r="G602" t="inlineStr">
        <is>
          <t>BODEN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45099</v>
      </c>
      <c r="E603" s="1" t="n">
        <v>46250</v>
      </c>
      <c r="F603" t="inlineStr">
        <is>
          <t>NORRBOTTENS LÄN</t>
        </is>
      </c>
      <c r="G603" t="inlineStr">
        <is>
          <t>BODEN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45677-2021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44441</v>
      </c>
      <c r="E604" s="1" t="n">
        <v>46250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68591-2021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44529</v>
      </c>
      <c r="E605" s="1" t="n">
        <v>46250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22458-2023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45070</v>
      </c>
      <c r="E606" s="1" t="n">
        <v>46250</v>
      </c>
      <c r="F606" t="inlineStr">
        <is>
          <t>NORRBOTTENS LÄN</t>
        </is>
      </c>
      <c r="G606" t="inlineStr">
        <is>
          <t>BODEN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15017-2022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44657</v>
      </c>
      <c r="E607" s="1" t="n">
        <v>46250</v>
      </c>
      <c r="F607" t="inlineStr">
        <is>
          <t>NORRBOTTENS LÄN</t>
        </is>
      </c>
      <c r="G607" t="inlineStr">
        <is>
          <t>BODEN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61487-2023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46250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46250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46250</v>
      </c>
      <c r="F610" t="inlineStr">
        <is>
          <t>NORRBOTTENS LÄN</t>
        </is>
      </c>
      <c r="G610" t="inlineStr">
        <is>
          <t>BODEN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8028-2024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45350</v>
      </c>
      <c r="E611" s="1" t="n">
        <v>46250</v>
      </c>
      <c r="F611" t="inlineStr">
        <is>
          <t>NORRBOTTENS LÄN</t>
        </is>
      </c>
      <c r="G611" t="inlineStr">
        <is>
          <t>BODEN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45379</v>
      </c>
      <c r="E612" s="1" t="n">
        <v>46250</v>
      </c>
      <c r="F612" t="inlineStr">
        <is>
          <t>NORRBOTTENS LÄN</t>
        </is>
      </c>
      <c r="G612" t="inlineStr">
        <is>
          <t>BODEN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52075-2021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44463</v>
      </c>
      <c r="E613" s="1" t="n">
        <v>46250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46250</v>
      </c>
      <c r="F614" t="inlineStr">
        <is>
          <t>NORRBOTTENS LÄN</t>
        </is>
      </c>
      <c r="G614" t="inlineStr">
        <is>
          <t>BODEN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57873-2021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44484</v>
      </c>
      <c r="E615" s="1" t="n">
        <v>46250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44486</v>
      </c>
      <c r="E616" s="1" t="n">
        <v>46250</v>
      </c>
      <c r="F616" t="inlineStr">
        <is>
          <t>NORRBOTTENS LÄN</t>
        </is>
      </c>
      <c r="G616" t="inlineStr">
        <is>
          <t>BODEN</t>
        </is>
      </c>
      <c r="I616" t="n">
        <v>9.199999999999999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46250</v>
      </c>
      <c r="F617" t="inlineStr">
        <is>
          <t>NORRBOTTENS LÄN</t>
        </is>
      </c>
      <c r="G617" t="inlineStr">
        <is>
          <t>BODEN</t>
        </is>
      </c>
      <c r="I617" t="n">
        <v>7.1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46250</v>
      </c>
      <c r="F618" t="inlineStr">
        <is>
          <t>NORRBOTTENS LÄN</t>
        </is>
      </c>
      <c r="G618" t="inlineStr">
        <is>
          <t>BODEN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46250</v>
      </c>
      <c r="F619" t="inlineStr">
        <is>
          <t>NORRBOTTENS LÄN</t>
        </is>
      </c>
      <c r="G619" t="inlineStr">
        <is>
          <t>BODEN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44812</v>
      </c>
      <c r="E620" s="1" t="n">
        <v>46250</v>
      </c>
      <c r="F620" t="inlineStr">
        <is>
          <t>NORRBOTTENS LÄN</t>
        </is>
      </c>
      <c r="G620" t="inlineStr">
        <is>
          <t>BODEN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46250</v>
      </c>
      <c r="F621" t="inlineStr">
        <is>
          <t>NORRBOTTENS LÄN</t>
        </is>
      </c>
      <c r="G621" t="inlineStr">
        <is>
          <t>BODEN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28444-2023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45102</v>
      </c>
      <c r="E622" s="1" t="n">
        <v>46250</v>
      </c>
      <c r="F622" t="inlineStr">
        <is>
          <t>NORRBOTTENS LÄN</t>
        </is>
      </c>
      <c r="G622" t="inlineStr">
        <is>
          <t>BODEN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48592-2024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45593</v>
      </c>
      <c r="E623" s="1" t="n">
        <v>46250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45893</v>
      </c>
      <c r="E624" s="1" t="n">
        <v>46250</v>
      </c>
      <c r="F624" t="inlineStr">
        <is>
          <t>NORRBOTTENS LÄN</t>
        </is>
      </c>
      <c r="G624" t="inlineStr">
        <is>
          <t>BODEN</t>
        </is>
      </c>
      <c r="H624" t="inlineStr">
        <is>
          <t>Övriga statliga verk och myndigheter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45035</v>
      </c>
      <c r="E625" s="1" t="n">
        <v>46250</v>
      </c>
      <c r="F625" t="inlineStr">
        <is>
          <t>NORRBOTTENS LÄN</t>
        </is>
      </c>
      <c r="G625" t="inlineStr">
        <is>
          <t>BODEN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45841</v>
      </c>
      <c r="E626" s="1" t="n">
        <v>46250</v>
      </c>
      <c r="F626" t="inlineStr">
        <is>
          <t>NORRBOTTENS LÄN</t>
        </is>
      </c>
      <c r="G626" t="inlineStr">
        <is>
          <t>BODEN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45341</v>
      </c>
      <c r="E627" s="1" t="n">
        <v>46250</v>
      </c>
      <c r="F627" t="inlineStr">
        <is>
          <t>NORRBOTTENS LÄN</t>
        </is>
      </c>
      <c r="G627" t="inlineStr">
        <is>
          <t>BODEN</t>
        </is>
      </c>
      <c r="H627" t="inlineStr">
        <is>
          <t>Övriga statliga verk och myndigheter</t>
        </is>
      </c>
      <c r="I627" t="n">
        <v>12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46250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45653</v>
      </c>
      <c r="E629" s="1" t="n">
        <v>46250</v>
      </c>
      <c r="F629" t="inlineStr">
        <is>
          <t>NORRBOTTENS LÄN</t>
        </is>
      </c>
      <c r="G629" t="inlineStr">
        <is>
          <t>BODEN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46250</v>
      </c>
      <c r="F630" t="inlineStr">
        <is>
          <t>NORRBOTTENS LÄN</t>
        </is>
      </c>
      <c r="G630" t="inlineStr">
        <is>
          <t>BODEN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46250</v>
      </c>
      <c r="F631" t="inlineStr">
        <is>
          <t>NORRBOTTENS LÄN</t>
        </is>
      </c>
      <c r="G631" t="inlineStr">
        <is>
          <t>BODEN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46250</v>
      </c>
      <c r="F632" t="inlineStr">
        <is>
          <t>NORRBOTTENS LÄN</t>
        </is>
      </c>
      <c r="G632" t="inlineStr">
        <is>
          <t>BODEN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42995-2022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44833</v>
      </c>
      <c r="E633" s="1" t="n">
        <v>46250</v>
      </c>
      <c r="F633" t="inlineStr">
        <is>
          <t>NORRBOTTENS LÄN</t>
        </is>
      </c>
      <c r="G633" t="inlineStr">
        <is>
          <t>BODEN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22264-2026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46150</v>
      </c>
      <c r="E634" s="1" t="n">
        <v>46250</v>
      </c>
      <c r="F634" t="inlineStr">
        <is>
          <t>NORRBOTTENS LÄN</t>
        </is>
      </c>
      <c r="G634" t="inlineStr">
        <is>
          <t>BODEN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22259-2026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46250</v>
      </c>
      <c r="F635" t="inlineStr">
        <is>
          <t>NORRBOTTENS LÄN</t>
        </is>
      </c>
      <c r="G635" t="inlineStr">
        <is>
          <t>BODEN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21688-2026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46149</v>
      </c>
      <c r="E636" s="1" t="n">
        <v>46250</v>
      </c>
      <c r="F636" t="inlineStr">
        <is>
          <t>NORRBOTTENS LÄN</t>
        </is>
      </c>
      <c r="G636" t="inlineStr">
        <is>
          <t>BODEN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59893-2023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45254</v>
      </c>
      <c r="E637" s="1" t="n">
        <v>46250</v>
      </c>
      <c r="F637" t="inlineStr">
        <is>
          <t>NORRBOTTENS LÄN</t>
        </is>
      </c>
      <c r="G637" t="inlineStr">
        <is>
          <t>BODEN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46250</v>
      </c>
      <c r="F638" t="inlineStr">
        <is>
          <t>NORRBOTTENS LÄN</t>
        </is>
      </c>
      <c r="G638" t="inlineStr">
        <is>
          <t>BODEN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45406</v>
      </c>
      <c r="E639" s="1" t="n">
        <v>46250</v>
      </c>
      <c r="F639" t="inlineStr">
        <is>
          <t>NORRBOTTENS LÄN</t>
        </is>
      </c>
      <c r="G639" t="inlineStr">
        <is>
          <t>BODEN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44935</v>
      </c>
      <c r="E640" s="1" t="n">
        <v>46250</v>
      </c>
      <c r="F640" t="inlineStr">
        <is>
          <t>NORRBOTTENS LÄN</t>
        </is>
      </c>
      <c r="G640" t="inlineStr">
        <is>
          <t>BODEN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46250</v>
      </c>
      <c r="F641" t="inlineStr">
        <is>
          <t>NORRBOTTENS LÄN</t>
        </is>
      </c>
      <c r="G641" t="inlineStr">
        <is>
          <t>BODEN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46250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58877-2021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44489</v>
      </c>
      <c r="E643" s="1" t="n">
        <v>46250</v>
      </c>
      <c r="F643" t="inlineStr">
        <is>
          <t>NORRBOTTENS LÄN</t>
        </is>
      </c>
      <c r="G643" t="inlineStr">
        <is>
          <t>BODEN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16699-2024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45408</v>
      </c>
      <c r="E644" s="1" t="n">
        <v>46250</v>
      </c>
      <c r="F644" t="inlineStr">
        <is>
          <t>NORRBOTTENS LÄN</t>
        </is>
      </c>
      <c r="G644" t="inlineStr">
        <is>
          <t>BODEN</t>
        </is>
      </c>
      <c r="I644" t="n">
        <v>14.9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19068-2024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45427</v>
      </c>
      <c r="E645" s="1" t="n">
        <v>46250</v>
      </c>
      <c r="F645" t="inlineStr">
        <is>
          <t>NORRBOTTENS LÄN</t>
        </is>
      </c>
      <c r="G645" t="inlineStr">
        <is>
          <t>BODEN</t>
        </is>
      </c>
      <c r="I645" t="n">
        <v>22.1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46250</v>
      </c>
      <c r="F646" t="inlineStr">
        <is>
          <t>NORRBOTTENS LÄN</t>
        </is>
      </c>
      <c r="G646" t="inlineStr">
        <is>
          <t>BODEN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61103-2022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44908</v>
      </c>
      <c r="E647" s="1" t="n">
        <v>46250</v>
      </c>
      <c r="F647" t="inlineStr">
        <is>
          <t>NORRBOTTENS LÄN</t>
        </is>
      </c>
      <c r="G647" t="inlineStr">
        <is>
          <t>BODEN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60085-2024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45639</v>
      </c>
      <c r="E648" s="1" t="n">
        <v>46250</v>
      </c>
      <c r="F648" t="inlineStr">
        <is>
          <t>NORRBOTTENS LÄN</t>
        </is>
      </c>
      <c r="G648" t="inlineStr">
        <is>
          <t>BODEN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45988</v>
      </c>
      <c r="E649" s="1" t="n">
        <v>46250</v>
      </c>
      <c r="F649" t="inlineStr">
        <is>
          <t>NORRBOTTENS LÄN</t>
        </is>
      </c>
      <c r="G649" t="inlineStr">
        <is>
          <t>BODEN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28359-2023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45099</v>
      </c>
      <c r="E650" s="1" t="n">
        <v>46250</v>
      </c>
      <c r="F650" t="inlineStr">
        <is>
          <t>NORRBOTTENS LÄN</t>
        </is>
      </c>
      <c r="G650" t="inlineStr">
        <is>
          <t>BODEN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61587-2024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46250</v>
      </c>
      <c r="F651" t="inlineStr">
        <is>
          <t>NORRBOTTENS LÄN</t>
        </is>
      </c>
      <c r="G651" t="inlineStr">
        <is>
          <t>BODEN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56837-2023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45244</v>
      </c>
      <c r="E652" s="1" t="n">
        <v>46250</v>
      </c>
      <c r="F652" t="inlineStr">
        <is>
          <t>NORRBOTTENS LÄN</t>
        </is>
      </c>
      <c r="G652" t="inlineStr">
        <is>
          <t>BODEN</t>
        </is>
      </c>
      <c r="H652" t="inlineStr">
        <is>
          <t>Övriga statliga verk och myndigheter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61969-2024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45653</v>
      </c>
      <c r="E653" s="1" t="n">
        <v>46250</v>
      </c>
      <c r="F653" t="inlineStr">
        <is>
          <t>NORRBOTTENS LÄN</t>
        </is>
      </c>
      <c r="G653" t="inlineStr">
        <is>
          <t>BODEN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46250</v>
      </c>
      <c r="F654" t="inlineStr">
        <is>
          <t>NORRBOTTENS LÄN</t>
        </is>
      </c>
      <c r="G654" t="inlineStr">
        <is>
          <t>BODEN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21329-2024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45440</v>
      </c>
      <c r="E655" s="1" t="n">
        <v>46250</v>
      </c>
      <c r="F655" t="inlineStr">
        <is>
          <t>NORRBOTTENS LÄN</t>
        </is>
      </c>
      <c r="G655" t="inlineStr">
        <is>
          <t>BODEN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9319-2024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45358</v>
      </c>
      <c r="E656" s="1" t="n">
        <v>46250</v>
      </c>
      <c r="F656" t="inlineStr">
        <is>
          <t>NORRBOTTENS LÄN</t>
        </is>
      </c>
      <c r="G656" t="inlineStr">
        <is>
          <t>BODEN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46250</v>
      </c>
      <c r="F657" t="inlineStr">
        <is>
          <t>NORRBOTTENS LÄN</t>
        </is>
      </c>
      <c r="G657" t="inlineStr">
        <is>
          <t>BODEN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19624-2025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46250</v>
      </c>
      <c r="F658" t="inlineStr">
        <is>
          <t>NORRBOTTENS LÄN</t>
        </is>
      </c>
      <c r="G658" t="inlineStr">
        <is>
          <t>BODEN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28079-2024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45476</v>
      </c>
      <c r="E659" s="1" t="n">
        <v>46250</v>
      </c>
      <c r="F659" t="inlineStr">
        <is>
          <t>NORRBOTTENS LÄN</t>
        </is>
      </c>
      <c r="G659" t="inlineStr">
        <is>
          <t>BODEN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46250</v>
      </c>
      <c r="F660" t="inlineStr">
        <is>
          <t>NORRBOTTENS LÄN</t>
        </is>
      </c>
      <c r="G660" t="inlineStr">
        <is>
          <t>BODEN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45764</v>
      </c>
      <c r="E661" s="1" t="n">
        <v>46250</v>
      </c>
      <c r="F661" t="inlineStr">
        <is>
          <t>NORRBOTTENS LÄN</t>
        </is>
      </c>
      <c r="G661" t="inlineStr">
        <is>
          <t>BODEN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44881</v>
      </c>
      <c r="E662" s="1" t="n">
        <v>46250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28139-2025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46250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30299-2023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45110</v>
      </c>
      <c r="E664" s="1" t="n">
        <v>46250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14801-2024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45397</v>
      </c>
      <c r="E665" s="1" t="n">
        <v>46250</v>
      </c>
      <c r="F665" t="inlineStr">
        <is>
          <t>NORRBOTTENS LÄN</t>
        </is>
      </c>
      <c r="G665" t="inlineStr">
        <is>
          <t>BODEN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14802-2024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45397</v>
      </c>
      <c r="E666" s="1" t="n">
        <v>46250</v>
      </c>
      <c r="F666" t="inlineStr">
        <is>
          <t>NORRBOTTENS LÄN</t>
        </is>
      </c>
      <c r="G666" t="inlineStr">
        <is>
          <t>BODEN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37212-2025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45875</v>
      </c>
      <c r="E667" s="1" t="n">
        <v>46250</v>
      </c>
      <c r="F667" t="inlineStr">
        <is>
          <t>NORRBOTTENS LÄN</t>
        </is>
      </c>
      <c r="G667" t="inlineStr">
        <is>
          <t>BODEN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45744</v>
      </c>
      <c r="E668" s="1" t="n">
        <v>46250</v>
      </c>
      <c r="F668" t="inlineStr">
        <is>
          <t>NORRBOTTENS LÄN</t>
        </is>
      </c>
      <c r="G668" t="inlineStr">
        <is>
          <t>BODEN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45691</v>
      </c>
      <c r="E669" s="1" t="n">
        <v>46250</v>
      </c>
      <c r="F669" t="inlineStr">
        <is>
          <t>NORRBOTTENS LÄN</t>
        </is>
      </c>
      <c r="G669" t="inlineStr">
        <is>
          <t>BODEN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13925-2024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45391</v>
      </c>
      <c r="E670" s="1" t="n">
        <v>46250</v>
      </c>
      <c r="F670" t="inlineStr">
        <is>
          <t>NORRBOTTENS LÄN</t>
        </is>
      </c>
      <c r="G670" t="inlineStr">
        <is>
          <t>BODEN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46250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46164</v>
      </c>
      <c r="E672" s="1" t="n">
        <v>46250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45778</v>
      </c>
      <c r="E673" s="1" t="n">
        <v>46250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39272-2024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45551</v>
      </c>
      <c r="E674" s="1" t="n">
        <v>46250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21349-2025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45782</v>
      </c>
      <c r="E675" s="1" t="n">
        <v>46250</v>
      </c>
      <c r="F675" t="inlineStr">
        <is>
          <t>NORRBOTTENS LÄN</t>
        </is>
      </c>
      <c r="G675" t="inlineStr">
        <is>
          <t>BODEN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23788-2026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46250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23789-2026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46164</v>
      </c>
      <c r="E677" s="1" t="n">
        <v>46250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46250</v>
      </c>
      <c r="F678" t="inlineStr">
        <is>
          <t>NORRBOTTENS LÄN</t>
        </is>
      </c>
      <c r="G678" t="inlineStr">
        <is>
          <t>BODEN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45544</v>
      </c>
      <c r="E679" s="1" t="n">
        <v>46250</v>
      </c>
      <c r="F679" t="inlineStr">
        <is>
          <t>NORRBOTTENS LÄN</t>
        </is>
      </c>
      <c r="G679" t="inlineStr">
        <is>
          <t>BODEN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45574</v>
      </c>
      <c r="E680" s="1" t="n">
        <v>46250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44567-2024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45574</v>
      </c>
      <c r="E681" s="1" t="n">
        <v>46250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46250</v>
      </c>
      <c r="F682" t="inlineStr">
        <is>
          <t>NORRBOTTENS LÄN</t>
        </is>
      </c>
      <c r="G682" t="inlineStr">
        <is>
          <t>BODEN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46250</v>
      </c>
      <c r="F683" t="inlineStr">
        <is>
          <t>NORRBOTTENS LÄN</t>
        </is>
      </c>
      <c r="G683" t="inlineStr">
        <is>
          <t>BODEN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64649-2023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45281</v>
      </c>
      <c r="E684" s="1" t="n">
        <v>46250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68611-2021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44529</v>
      </c>
      <c r="E685" s="1" t="n">
        <v>46250</v>
      </c>
      <c r="F685" t="inlineStr">
        <is>
          <t>NORRBOTTENS LÄN</t>
        </is>
      </c>
      <c r="G685" t="inlineStr">
        <is>
          <t>BODEN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24427-2026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46250</v>
      </c>
      <c r="F686" t="inlineStr">
        <is>
          <t>NORRBOTTENS LÄN</t>
        </is>
      </c>
      <c r="G686" t="inlineStr">
        <is>
          <t>BODEN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24235-2026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46250</v>
      </c>
      <c r="F687" t="inlineStr">
        <is>
          <t>NORRBOTTENS LÄN</t>
        </is>
      </c>
      <c r="G687" t="inlineStr">
        <is>
          <t>BODEN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40157-2025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46250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17.6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46250</v>
      </c>
      <c r="F689" t="inlineStr">
        <is>
          <t>NORRBOTTENS LÄN</t>
        </is>
      </c>
      <c r="G689" t="inlineStr">
        <is>
          <t>BODEN</t>
        </is>
      </c>
      <c r="H689" t="inlineStr">
        <is>
          <t>Kommuner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46250</v>
      </c>
      <c r="F690" t="inlineStr">
        <is>
          <t>NORRBOTTENS LÄN</t>
        </is>
      </c>
      <c r="G690" t="inlineStr">
        <is>
          <t>BODEN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46250</v>
      </c>
      <c r="F691" t="inlineStr">
        <is>
          <t>NORRBOTTENS LÄN</t>
        </is>
      </c>
      <c r="G691" t="inlineStr">
        <is>
          <t>BODEN</t>
        </is>
      </c>
      <c r="H691" t="inlineStr">
        <is>
          <t>Kommuner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46250</v>
      </c>
      <c r="F692" t="inlineStr">
        <is>
          <t>NORRBOTTENS LÄN</t>
        </is>
      </c>
      <c r="G692" t="inlineStr">
        <is>
          <t>BODEN</t>
        </is>
      </c>
      <c r="H692" t="inlineStr">
        <is>
          <t>Kommuner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46250</v>
      </c>
      <c r="F693" t="inlineStr">
        <is>
          <t>NORRBOTTENS LÄN</t>
        </is>
      </c>
      <c r="G693" t="inlineStr">
        <is>
          <t>BODEN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30332-2026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46208</v>
      </c>
      <c r="E694" s="1" t="n">
        <v>46250</v>
      </c>
      <c r="F694" t="inlineStr">
        <is>
          <t>NORRBOTTENS LÄN</t>
        </is>
      </c>
      <c r="G694" t="inlineStr">
        <is>
          <t>BODEN</t>
        </is>
      </c>
      <c r="I694" t="n">
        <v>9.800000000000001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46250</v>
      </c>
      <c r="F695" t="inlineStr">
        <is>
          <t>NORRBOTTENS LÄN</t>
        </is>
      </c>
      <c r="G695" t="inlineStr">
        <is>
          <t>BODEN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46250</v>
      </c>
      <c r="F696" t="inlineStr">
        <is>
          <t>NORRBOTTENS LÄN</t>
        </is>
      </c>
      <c r="G696" t="inlineStr">
        <is>
          <t>BODEN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45156</v>
      </c>
      <c r="E697" s="1" t="n">
        <v>46250</v>
      </c>
      <c r="F697" t="inlineStr">
        <is>
          <t>NORRBOTTENS LÄN</t>
        </is>
      </c>
      <c r="G697" t="inlineStr">
        <is>
          <t>BODEN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46250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46250</v>
      </c>
      <c r="F699" t="inlineStr">
        <is>
          <t>NORRBOTTENS LÄN</t>
        </is>
      </c>
      <c r="G699" t="inlineStr">
        <is>
          <t>BODEN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9596-2023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44983</v>
      </c>
      <c r="E700" s="1" t="n">
        <v>46250</v>
      </c>
      <c r="F700" t="inlineStr">
        <is>
          <t>NORRBOTTENS LÄN</t>
        </is>
      </c>
      <c r="G700" t="inlineStr">
        <is>
          <t>BODEN</t>
        </is>
      </c>
      <c r="I700" t="n">
        <v>37.1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54718-2024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45618</v>
      </c>
      <c r="E701" s="1" t="n">
        <v>46250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22372-2025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45786</v>
      </c>
      <c r="E702" s="1" t="n">
        <v>46250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16.3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36115-2023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46250</v>
      </c>
      <c r="F703" t="inlineStr">
        <is>
          <t>NORRBOTTENS LÄN</t>
        </is>
      </c>
      <c r="G703" t="inlineStr">
        <is>
          <t>BODEN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46250</v>
      </c>
      <c r="F704" t="inlineStr">
        <is>
          <t>NORRBOTTENS LÄN</t>
        </is>
      </c>
      <c r="G704" t="inlineStr">
        <is>
          <t>BODEN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12558-2024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45379</v>
      </c>
      <c r="E705" s="1" t="n">
        <v>46250</v>
      </c>
      <c r="F705" t="inlineStr">
        <is>
          <t>NORRBOTTENS LÄN</t>
        </is>
      </c>
      <c r="G705" t="inlineStr">
        <is>
          <t>BODEN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45791</v>
      </c>
      <c r="E706" s="1" t="n">
        <v>46250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46250</v>
      </c>
      <c r="F707" t="inlineStr">
        <is>
          <t>NORRBOTTENS LÄN</t>
        </is>
      </c>
      <c r="G707" t="inlineStr">
        <is>
          <t>BODEN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20041-2025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45772</v>
      </c>
      <c r="E708" s="1" t="n">
        <v>46250</v>
      </c>
      <c r="F708" t="inlineStr">
        <is>
          <t>NORRBOTTENS LÄN</t>
        </is>
      </c>
      <c r="G708" t="inlineStr">
        <is>
          <t>BODEN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24805-2026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46172</v>
      </c>
      <c r="E709" s="1" t="n">
        <v>46250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67068-2021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44522</v>
      </c>
      <c r="E710" s="1" t="n">
        <v>46250</v>
      </c>
      <c r="F710" t="inlineStr">
        <is>
          <t>NORRBOTTENS LÄN</t>
        </is>
      </c>
      <c r="G710" t="inlineStr">
        <is>
          <t>BODEN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45591</v>
      </c>
      <c r="E711" s="1" t="n">
        <v>46250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7.7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8120-2022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44609</v>
      </c>
      <c r="E712" s="1" t="n">
        <v>46250</v>
      </c>
      <c r="F712" t="inlineStr">
        <is>
          <t>NORRBOTTENS LÄN</t>
        </is>
      </c>
      <c r="G712" t="inlineStr">
        <is>
          <t>BODEN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23724-2025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45793</v>
      </c>
      <c r="E713" s="1" t="n">
        <v>46250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25042-2026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46250</v>
      </c>
      <c r="F714" t="inlineStr">
        <is>
          <t>NORRBOTTENS LÄN</t>
        </is>
      </c>
      <c r="G714" t="inlineStr">
        <is>
          <t>BODEN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45590</v>
      </c>
      <c r="E715" s="1" t="n">
        <v>46250</v>
      </c>
      <c r="F715" t="inlineStr">
        <is>
          <t>NORRBOTTENS LÄN</t>
        </is>
      </c>
      <c r="G715" t="inlineStr">
        <is>
          <t>BODEN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48427-2024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45590</v>
      </c>
      <c r="E716" s="1" t="n">
        <v>46250</v>
      </c>
      <c r="F716" t="inlineStr">
        <is>
          <t>NORRBOTTENS LÄN</t>
        </is>
      </c>
      <c r="G716" t="inlineStr">
        <is>
          <t>BODEN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23763-2025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45793</v>
      </c>
      <c r="E717" s="1" t="n">
        <v>46250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46175</v>
      </c>
      <c r="E718" s="1" t="n">
        <v>46250</v>
      </c>
      <c r="F718" t="inlineStr">
        <is>
          <t>NORRBOTTENS LÄN</t>
        </is>
      </c>
      <c r="G718" t="inlineStr">
        <is>
          <t>BODEN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23761-2025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46250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46250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46250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24699-2025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45798</v>
      </c>
      <c r="E722" s="1" t="n">
        <v>46250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38371-2023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45161</v>
      </c>
      <c r="E723" s="1" t="n">
        <v>46250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46250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17839-2025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46250</v>
      </c>
      <c r="F725" t="inlineStr">
        <is>
          <t>NORRBOTTENS LÄN</t>
        </is>
      </c>
      <c r="G725" t="inlineStr">
        <is>
          <t>BODEN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24538-2025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45798</v>
      </c>
      <c r="E726" s="1" t="n">
        <v>46250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15.8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45797</v>
      </c>
      <c r="E727" s="1" t="n">
        <v>46250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45798</v>
      </c>
      <c r="E728" s="1" t="n">
        <v>46250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49806-2022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44862</v>
      </c>
      <c r="E729" s="1" t="n">
        <v>46250</v>
      </c>
      <c r="F729" t="inlineStr">
        <is>
          <t>NORRBOTTENS LÄN</t>
        </is>
      </c>
      <c r="G729" t="inlineStr">
        <is>
          <t>BODEN</t>
        </is>
      </c>
      <c r="I729" t="n">
        <v>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34760-2022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44795</v>
      </c>
      <c r="E730" s="1" t="n">
        <v>46250</v>
      </c>
      <c r="F730" t="inlineStr">
        <is>
          <t>NORRBOTTENS LÄN</t>
        </is>
      </c>
      <c r="G730" t="inlineStr">
        <is>
          <t>BODEN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46250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45799</v>
      </c>
      <c r="E732" s="1" t="n">
        <v>46250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50327-2023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45216</v>
      </c>
      <c r="E733" s="1" t="n">
        <v>46250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49730-2024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45596</v>
      </c>
      <c r="E734" s="1" t="n">
        <v>46250</v>
      </c>
      <c r="F734" t="inlineStr">
        <is>
          <t>NORRBOTTENS LÄN</t>
        </is>
      </c>
      <c r="G734" t="inlineStr">
        <is>
          <t>BODEN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50103-2024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45600</v>
      </c>
      <c r="E735" s="1" t="n">
        <v>46250</v>
      </c>
      <c r="F735" t="inlineStr">
        <is>
          <t>NORRBOTTENS LÄN</t>
        </is>
      </c>
      <c r="G735" t="inlineStr">
        <is>
          <t>BODEN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50107-2024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45600</v>
      </c>
      <c r="E736" s="1" t="n">
        <v>46250</v>
      </c>
      <c r="F736" t="inlineStr">
        <is>
          <t>NORRBOTTENS LÄN</t>
        </is>
      </c>
      <c r="G736" t="inlineStr">
        <is>
          <t>BODEN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706-2022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44566</v>
      </c>
      <c r="E737" s="1" t="n">
        <v>46250</v>
      </c>
      <c r="F737" t="inlineStr">
        <is>
          <t>NORRBOTTENS LÄN</t>
        </is>
      </c>
      <c r="G737" t="inlineStr">
        <is>
          <t>BODEN</t>
        </is>
      </c>
      <c r="I737" t="n">
        <v>12.4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46250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25536-2026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46250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25983-2025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45803</v>
      </c>
      <c r="E740" s="1" t="n">
        <v>46250</v>
      </c>
      <c r="F740" t="inlineStr">
        <is>
          <t>NORRBOTTENS LÄN</t>
        </is>
      </c>
      <c r="G740" t="inlineStr">
        <is>
          <t>BODEN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45590</v>
      </c>
      <c r="E741" s="1" t="n">
        <v>46250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52247-2024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45608</v>
      </c>
      <c r="E742" s="1" t="n">
        <v>46250</v>
      </c>
      <c r="F742" t="inlineStr">
        <is>
          <t>NORRBOTTENS LÄN</t>
        </is>
      </c>
      <c r="G742" t="inlineStr">
        <is>
          <t>BODEN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52248-2024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46250</v>
      </c>
      <c r="F743" t="inlineStr">
        <is>
          <t>NORRBOTTENS LÄN</t>
        </is>
      </c>
      <c r="G743" t="inlineStr">
        <is>
          <t>BODEN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18671-2025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45763</v>
      </c>
      <c r="E744" s="1" t="n">
        <v>46250</v>
      </c>
      <c r="F744" t="inlineStr">
        <is>
          <t>NORRBOTTENS LÄN</t>
        </is>
      </c>
      <c r="G744" t="inlineStr">
        <is>
          <t>BODEN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8869-2024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45356</v>
      </c>
      <c r="E745" s="1" t="n">
        <v>46250</v>
      </c>
      <c r="F745" t="inlineStr">
        <is>
          <t>NORRBOTTENS LÄN</t>
        </is>
      </c>
      <c r="G745" t="inlineStr">
        <is>
          <t>BODEN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46250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26122-2026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46181</v>
      </c>
      <c r="E747" s="1" t="n">
        <v>46250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28758-2024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45478</v>
      </c>
      <c r="E748" s="1" t="n">
        <v>46250</v>
      </c>
      <c r="F748" t="inlineStr">
        <is>
          <t>NORRBOTTENS LÄN</t>
        </is>
      </c>
      <c r="G748" t="inlineStr">
        <is>
          <t>BODEN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26056-2026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46181</v>
      </c>
      <c r="E749" s="1" t="n">
        <v>46250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46250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45464</v>
      </c>
      <c r="E751" s="1" t="n">
        <v>46250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56474-2023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45243</v>
      </c>
      <c r="E752" s="1" t="n">
        <v>46250</v>
      </c>
      <c r="F752" t="inlineStr">
        <is>
          <t>NORRBOTTENS LÄN</t>
        </is>
      </c>
      <c r="G752" t="inlineStr">
        <is>
          <t>BODEN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61031-2024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46250</v>
      </c>
      <c r="F753" t="inlineStr">
        <is>
          <t>NORRBOTTENS LÄN</t>
        </is>
      </c>
      <c r="G753" t="inlineStr">
        <is>
          <t>BODEN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19564-2024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45429</v>
      </c>
      <c r="E754" s="1" t="n">
        <v>46250</v>
      </c>
      <c r="F754" t="inlineStr">
        <is>
          <t>NORRBOTTENS LÄN</t>
        </is>
      </c>
      <c r="G754" t="inlineStr">
        <is>
          <t>BODEN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45411</v>
      </c>
      <c r="E755" s="1" t="n">
        <v>46250</v>
      </c>
      <c r="F755" t="inlineStr">
        <is>
          <t>NORRBOTTENS LÄN</t>
        </is>
      </c>
      <c r="G755" t="inlineStr">
        <is>
          <t>BODEN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2426-2024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45310</v>
      </c>
      <c r="E756" s="1" t="n">
        <v>46250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31652-2026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46225</v>
      </c>
      <c r="E757" s="1" t="n">
        <v>46250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31655-2026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46225</v>
      </c>
      <c r="E758" s="1" t="n">
        <v>46250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11.1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45813</v>
      </c>
      <c r="E759" s="1" t="n">
        <v>46250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27508-2025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45813</v>
      </c>
      <c r="E760" s="1" t="n">
        <v>46250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46250</v>
      </c>
      <c r="F761" t="inlineStr">
        <is>
          <t>NORRBOTTENS LÄN</t>
        </is>
      </c>
      <c r="G761" t="inlineStr">
        <is>
          <t>BODEN</t>
        </is>
      </c>
      <c r="I761" t="n">
        <v>18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46250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26386-2026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46250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26182-2026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46250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8.5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27604-2025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45813</v>
      </c>
      <c r="E765" s="1" t="n">
        <v>46250</v>
      </c>
      <c r="F765" t="inlineStr">
        <is>
          <t>NORRBOTTENS LÄN</t>
        </is>
      </c>
      <c r="G765" t="inlineStr">
        <is>
          <t>BODEN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19080-2025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45766</v>
      </c>
      <c r="E766" s="1" t="n">
        <v>46250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46250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45818</v>
      </c>
      <c r="E768" s="1" t="n">
        <v>46250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45316</v>
      </c>
      <c r="E769" s="1" t="n">
        <v>46250</v>
      </c>
      <c r="F769" t="inlineStr">
        <is>
          <t>NORRBOTTENS LÄN</t>
        </is>
      </c>
      <c r="G769" t="inlineStr">
        <is>
          <t>BODEN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45427</v>
      </c>
      <c r="E770" s="1" t="n">
        <v>46250</v>
      </c>
      <c r="F770" t="inlineStr">
        <is>
          <t>NORRBOTTENS LÄN</t>
        </is>
      </c>
      <c r="G770" t="inlineStr">
        <is>
          <t>BODEN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46250</v>
      </c>
      <c r="F771" t="inlineStr">
        <is>
          <t>NORRBOTTENS LÄN</t>
        </is>
      </c>
      <c r="G771" t="inlineStr">
        <is>
          <t>BODEN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11092-2022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44628</v>
      </c>
      <c r="E772" s="1" t="n">
        <v>46250</v>
      </c>
      <c r="F772" t="inlineStr">
        <is>
          <t>NORRBOTTENS LÄN</t>
        </is>
      </c>
      <c r="G772" t="inlineStr">
        <is>
          <t>BODEN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44625-2024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45574</v>
      </c>
      <c r="E773" s="1" t="n">
        <v>46250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41957-2024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46250</v>
      </c>
      <c r="F774" t="inlineStr">
        <is>
          <t>NORRBOTTENS LÄN</t>
        </is>
      </c>
      <c r="G774" t="inlineStr">
        <is>
          <t>BODEN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29109-2024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45481</v>
      </c>
      <c r="E775" s="1" t="n">
        <v>46250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32347-2024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45512</v>
      </c>
      <c r="E776" s="1" t="n">
        <v>46250</v>
      </c>
      <c r="F776" t="inlineStr">
        <is>
          <t>NORRBOTTENS LÄN</t>
        </is>
      </c>
      <c r="G776" t="inlineStr">
        <is>
          <t>BODEN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28270-2025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45818</v>
      </c>
      <c r="E777" s="1" t="n">
        <v>46250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26996-2026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46250</v>
      </c>
      <c r="F778" t="inlineStr">
        <is>
          <t>NORRBOTTENS LÄN</t>
        </is>
      </c>
      <c r="G778" t="inlineStr">
        <is>
          <t>BODEN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46250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  <c r="Z779">
        <f>HYPERLINK("https://klasma.github.io/Logging_2582/knärot/A 26776-2026 karta knärot.png", "A 26776-2026")</f>
        <v/>
      </c>
      <c r="AA779">
        <f>HYPERLINK("https://klasma.github.io/Logging_2582/klagomål/A 26776-2026 FSC-klagomål.docx", "A 26776-2026")</f>
        <v/>
      </c>
      <c r="AB779">
        <f>HYPERLINK("https://klasma.github.io/Logging_2582/klagomålsmail/A 26776-2026 FSC-klagomål mail.docx", "A 26776-2026")</f>
        <v/>
      </c>
      <c r="AC779">
        <f>HYPERLINK("https://klasma.github.io/Logging_2582/tillsyn/A 26776-2026 tillsynsbegäran.docx", "A 26776-2026")</f>
        <v/>
      </c>
      <c r="AD779">
        <f>HYPERLINK("https://klasma.github.io/Logging_2582/tillsynsmail/A 26776-2026 tillsynsbegäran mail.docx", "A 26776-2026")</f>
        <v/>
      </c>
    </row>
    <row r="780" ht="15" customHeight="1">
      <c r="A780" t="inlineStr">
        <is>
          <t>A 26714-2026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46250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46217</v>
      </c>
      <c r="E781" s="1" t="n">
        <v>46250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26662-2026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46184</v>
      </c>
      <c r="E782" s="1" t="n">
        <v>46250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42.2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48950-2022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44859</v>
      </c>
      <c r="E783" s="1" t="n">
        <v>46250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45826</v>
      </c>
      <c r="E784" s="1" t="n">
        <v>46250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49859-2023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45212</v>
      </c>
      <c r="E785" s="1" t="n">
        <v>46250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46250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41487-2024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45560</v>
      </c>
      <c r="E787" s="1" t="n">
        <v>46250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19590-2025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46250</v>
      </c>
      <c r="F788" t="inlineStr">
        <is>
          <t>NORRBOTTENS LÄN</t>
        </is>
      </c>
      <c r="G788" t="inlineStr">
        <is>
          <t>BODEN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31203-2025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45832</v>
      </c>
      <c r="E789" s="1" t="n">
        <v>46250</v>
      </c>
      <c r="F789" t="inlineStr">
        <is>
          <t>NORRBOTTENS LÄN</t>
        </is>
      </c>
      <c r="G789" t="inlineStr">
        <is>
          <t>BODEN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45832</v>
      </c>
      <c r="E790" s="1" t="n">
        <v>46250</v>
      </c>
      <c r="F790" t="inlineStr">
        <is>
          <t>NORRBOTTENS LÄN</t>
        </is>
      </c>
      <c r="G790" t="inlineStr">
        <is>
          <t>BODEN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31487-2025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45833</v>
      </c>
      <c r="E791" s="1" t="n">
        <v>46250</v>
      </c>
      <c r="F791" t="inlineStr">
        <is>
          <t>NORRBOTTENS LÄN</t>
        </is>
      </c>
      <c r="G791" t="inlineStr">
        <is>
          <t>BODEN</t>
        </is>
      </c>
      <c r="H791" t="inlineStr">
        <is>
          <t>Övriga Aktiebolag</t>
        </is>
      </c>
      <c r="I791" t="n">
        <v>9.800000000000001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27698-2026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46190</v>
      </c>
      <c r="E792" s="1" t="n">
        <v>46250</v>
      </c>
      <c r="F792" t="inlineStr">
        <is>
          <t>NORRBOTTENS LÄN</t>
        </is>
      </c>
      <c r="G792" t="inlineStr">
        <is>
          <t>BODEN</t>
        </is>
      </c>
      <c r="I792" t="n">
        <v>22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45833</v>
      </c>
      <c r="E793" s="1" t="n">
        <v>46250</v>
      </c>
      <c r="F793" t="inlineStr">
        <is>
          <t>NORRBOTTENS LÄN</t>
        </is>
      </c>
      <c r="G793" t="inlineStr">
        <is>
          <t>BODEN</t>
        </is>
      </c>
      <c r="H793" t="inlineStr">
        <is>
          <t>Övriga Aktiebolag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25926-2025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45803</v>
      </c>
      <c r="E794" s="1" t="n">
        <v>46250</v>
      </c>
      <c r="F794" t="inlineStr">
        <is>
          <t>NORRBOTTENS LÄN</t>
        </is>
      </c>
      <c r="G794" t="inlineStr">
        <is>
          <t>BODEN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32086-2026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46234</v>
      </c>
      <c r="E795" s="1" t="n">
        <v>46250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46234</v>
      </c>
      <c r="E796" s="1" t="n">
        <v>46250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32052-2025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45835</v>
      </c>
      <c r="E797" s="1" t="n">
        <v>46250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46234</v>
      </c>
      <c r="E798" s="1" t="n">
        <v>46250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31456-2024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45505</v>
      </c>
      <c r="E799" s="1" t="n">
        <v>46250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46250</v>
      </c>
      <c r="F800" t="inlineStr">
        <is>
          <t>NORRBOTTENS LÄN</t>
        </is>
      </c>
      <c r="G800" t="inlineStr">
        <is>
          <t>BODEN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32426-2026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46250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32427-2026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46238</v>
      </c>
      <c r="E802" s="1" t="n">
        <v>46250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33276-2025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45840</v>
      </c>
      <c r="E803" s="1" t="n">
        <v>46250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15486-2025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45747</v>
      </c>
      <c r="E804" s="1" t="n">
        <v>46250</v>
      </c>
      <c r="F804" t="inlineStr">
        <is>
          <t>NORRBOTTENS LÄN</t>
        </is>
      </c>
      <c r="G804" t="inlineStr">
        <is>
          <t>BODEN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33130-2025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45840</v>
      </c>
      <c r="E805" s="1" t="n">
        <v>46250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46250</v>
      </c>
      <c r="F806" t="inlineStr">
        <is>
          <t>NORRBOTTENS LÄN</t>
        </is>
      </c>
      <c r="G806" t="inlineStr">
        <is>
          <t>BODEN</t>
        </is>
      </c>
      <c r="H806" t="inlineStr">
        <is>
          <t>Naturvårdsverket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45460</v>
      </c>
      <c r="E807" s="1" t="n">
        <v>46250</v>
      </c>
      <c r="F807" t="inlineStr">
        <is>
          <t>NORRBOTTENS LÄN</t>
        </is>
      </c>
      <c r="G807" t="inlineStr">
        <is>
          <t>BODEN</t>
        </is>
      </c>
      <c r="H807" t="inlineStr">
        <is>
          <t>Övriga Aktiebolag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55317-2023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45237</v>
      </c>
      <c r="E808" s="1" t="n">
        <v>46250</v>
      </c>
      <c r="F808" t="inlineStr">
        <is>
          <t>NORRBOTTENS LÄN</t>
        </is>
      </c>
      <c r="G808" t="inlineStr">
        <is>
          <t>BODEN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10727-2025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45722</v>
      </c>
      <c r="E809" s="1" t="n">
        <v>46250</v>
      </c>
      <c r="F809" t="inlineStr">
        <is>
          <t>NORRBOTTENS LÄN</t>
        </is>
      </c>
      <c r="G809" t="inlineStr">
        <is>
          <t>BODEN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28566-2026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46250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46250</v>
      </c>
      <c r="F811" t="inlineStr">
        <is>
          <t>NORRBOTTENS LÄN</t>
        </is>
      </c>
      <c r="G811" t="inlineStr">
        <is>
          <t>BODEN</t>
        </is>
      </c>
      <c r="I811" t="n">
        <v>10.8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46250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33981-2025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45843</v>
      </c>
      <c r="E813" s="1" t="n">
        <v>46250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32562-2026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46239</v>
      </c>
      <c r="E814" s="1" t="n">
        <v>46250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26.6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46250</v>
      </c>
      <c r="F815" t="inlineStr">
        <is>
          <t>NORRBOTTENS LÄN</t>
        </is>
      </c>
      <c r="G815" t="inlineStr">
        <is>
          <t>BODEN</t>
        </is>
      </c>
      <c r="I815" t="n">
        <v>8.9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46240</v>
      </c>
      <c r="E816" s="1" t="n">
        <v>46250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51280-2024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45603</v>
      </c>
      <c r="E817" s="1" t="n">
        <v>46250</v>
      </c>
      <c r="F817" t="inlineStr">
        <is>
          <t>NORRBOTTENS LÄN</t>
        </is>
      </c>
      <c r="G817" t="inlineStr">
        <is>
          <t>BODEN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46250</v>
      </c>
      <c r="F818" t="inlineStr">
        <is>
          <t>NORRBOTTENS LÄN</t>
        </is>
      </c>
      <c r="G818" t="inlineStr">
        <is>
          <t>BODEN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28241-2026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46250</v>
      </c>
      <c r="F819" t="inlineStr">
        <is>
          <t>NORRBOTTENS LÄN</t>
        </is>
      </c>
      <c r="G819" t="inlineStr">
        <is>
          <t>BODEN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46197</v>
      </c>
      <c r="E820" s="1" t="n">
        <v>46250</v>
      </c>
      <c r="F820" t="inlineStr">
        <is>
          <t>NORRBOTTENS LÄN</t>
        </is>
      </c>
      <c r="G820" t="inlineStr">
        <is>
          <t>BODEN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60337-2024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45643</v>
      </c>
      <c r="E821" s="1" t="n">
        <v>46250</v>
      </c>
      <c r="F821" t="inlineStr">
        <is>
          <t>NORRBOTTENS LÄN</t>
        </is>
      </c>
      <c r="G821" t="inlineStr">
        <is>
          <t>BODEN</t>
        </is>
      </c>
      <c r="I821" t="n">
        <v>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46197</v>
      </c>
      <c r="E822" s="1" t="n">
        <v>46250</v>
      </c>
      <c r="F822" t="inlineStr">
        <is>
          <t>NORRBOTTENS LÄN</t>
        </is>
      </c>
      <c r="G822" t="inlineStr">
        <is>
          <t>BODEN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35561-2025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45856</v>
      </c>
      <c r="E823" s="1" t="n">
        <v>46250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46240</v>
      </c>
      <c r="E824" s="1" t="n">
        <v>46250</v>
      </c>
      <c r="F824" t="inlineStr">
        <is>
          <t>NORRBOTTENS LÄN</t>
        </is>
      </c>
      <c r="G824" t="inlineStr">
        <is>
          <t>BODEN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28490-2026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46197</v>
      </c>
      <c r="E825" s="1" t="n">
        <v>46250</v>
      </c>
      <c r="F825" t="inlineStr">
        <is>
          <t>NORRBOTTENS LÄN</t>
        </is>
      </c>
      <c r="G825" t="inlineStr">
        <is>
          <t>BODEN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2601-2025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45674</v>
      </c>
      <c r="E826" s="1" t="n">
        <v>46250</v>
      </c>
      <c r="F826" t="inlineStr">
        <is>
          <t>NORRBOTTENS LÄN</t>
        </is>
      </c>
      <c r="G826" t="inlineStr">
        <is>
          <t>BODEN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49728-2024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45596</v>
      </c>
      <c r="E827" s="1" t="n">
        <v>46250</v>
      </c>
      <c r="F827" t="inlineStr">
        <is>
          <t>NORRBOTTENS LÄN</t>
        </is>
      </c>
      <c r="G827" t="inlineStr">
        <is>
          <t>BODEN</t>
        </is>
      </c>
      <c r="I827" t="n">
        <v>22.7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24058-2025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45796</v>
      </c>
      <c r="E828" s="1" t="n">
        <v>46250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36019-2025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45863</v>
      </c>
      <c r="E829" s="1" t="n">
        <v>46250</v>
      </c>
      <c r="F829" t="inlineStr">
        <is>
          <t>NORRBOTTENS LÄN</t>
        </is>
      </c>
      <c r="G829" t="inlineStr">
        <is>
          <t>BODEN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32582-2025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45838</v>
      </c>
      <c r="E830" s="1" t="n">
        <v>46250</v>
      </c>
      <c r="F830" t="inlineStr">
        <is>
          <t>NORRBOTTENS LÄN</t>
        </is>
      </c>
      <c r="G830" t="inlineStr">
        <is>
          <t>BODEN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24193-2024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45456</v>
      </c>
      <c r="E831" s="1" t="n">
        <v>46250</v>
      </c>
      <c r="F831" t="inlineStr">
        <is>
          <t>NORRBOTTENS LÄN</t>
        </is>
      </c>
      <c r="G831" t="inlineStr">
        <is>
          <t>BODEN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10730-2024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45369</v>
      </c>
      <c r="E832" s="1" t="n">
        <v>46250</v>
      </c>
      <c r="F832" t="inlineStr">
        <is>
          <t>NORRBOTTENS LÄN</t>
        </is>
      </c>
      <c r="G832" t="inlineStr">
        <is>
          <t>BODEN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36926-2025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45874</v>
      </c>
      <c r="E833" s="1" t="n">
        <v>46250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36310-2025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45868</v>
      </c>
      <c r="E834" s="1" t="n">
        <v>46250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46203</v>
      </c>
      <c r="E835" s="1" t="n">
        <v>46250</v>
      </c>
      <c r="F835" t="inlineStr">
        <is>
          <t>NORRBOTTENS LÄN</t>
        </is>
      </c>
      <c r="G835" t="inlineStr">
        <is>
          <t>BODEN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46250</v>
      </c>
      <c r="F836" t="inlineStr">
        <is>
          <t>NORRBOTTENS LÄN</t>
        </is>
      </c>
      <c r="G836" t="inlineStr">
        <is>
          <t>BODEN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29555-2026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46250</v>
      </c>
      <c r="F837" t="inlineStr">
        <is>
          <t>NORRBOTTENS LÄN</t>
        </is>
      </c>
      <c r="G837" t="inlineStr">
        <is>
          <t>BODEN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46250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46202</v>
      </c>
      <c r="E839" s="1" t="n">
        <v>46250</v>
      </c>
      <c r="F839" t="inlineStr">
        <is>
          <t>NORRBOTTENS LÄN</t>
        </is>
      </c>
      <c r="G839" t="inlineStr">
        <is>
          <t>BODEN</t>
        </is>
      </c>
      <c r="I839" t="n">
        <v>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29147-2026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46202</v>
      </c>
      <c r="E840" s="1" t="n">
        <v>46250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29152-2026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46202</v>
      </c>
      <c r="E841" s="1" t="n">
        <v>46250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29394-2026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46250</v>
      </c>
      <c r="F842" t="inlineStr">
        <is>
          <t>NORRBOTTENS LÄN</t>
        </is>
      </c>
      <c r="G842" t="inlineStr">
        <is>
          <t>BODEN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29746-2026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46250</v>
      </c>
      <c r="F843" t="inlineStr">
        <is>
          <t>NORRBOTTENS LÄN</t>
        </is>
      </c>
      <c r="G843" t="inlineStr">
        <is>
          <t>BODEN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46246</v>
      </c>
      <c r="E844" s="1" t="n">
        <v>46250</v>
      </c>
      <c r="F844" t="inlineStr">
        <is>
          <t>NORRBOTTENS LÄN</t>
        </is>
      </c>
      <c r="G844" t="inlineStr">
        <is>
          <t>BODEN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30745-2026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46211</v>
      </c>
      <c r="E845" s="1" t="n">
        <v>46250</v>
      </c>
      <c r="F845" t="inlineStr">
        <is>
          <t>NORRBOTTENS LÄN</t>
        </is>
      </c>
      <c r="G845" t="inlineStr">
        <is>
          <t>BODEN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29568-2026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46204</v>
      </c>
      <c r="E846" s="1" t="n">
        <v>46250</v>
      </c>
      <c r="F846" t="inlineStr">
        <is>
          <t>NORRBOTTENS LÄN</t>
        </is>
      </c>
      <c r="G846" t="inlineStr">
        <is>
          <t>BODEN</t>
        </is>
      </c>
      <c r="I846" t="n">
        <v>12.2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30023-2026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46250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30025-2026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46206</v>
      </c>
      <c r="E848" s="1" t="n">
        <v>46250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30077-2026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46206</v>
      </c>
      <c r="E849" s="1" t="n">
        <v>46250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33671-2026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46248</v>
      </c>
      <c r="E850" s="1" t="n">
        <v>46250</v>
      </c>
      <c r="F850" t="inlineStr">
        <is>
          <t>NORRBOTTENS LÄN</t>
        </is>
      </c>
      <c r="G850" t="inlineStr">
        <is>
          <t>BODEN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29759-2026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46204</v>
      </c>
      <c r="E851" s="1" t="n">
        <v>46250</v>
      </c>
      <c r="F851" t="inlineStr">
        <is>
          <t>NORRBOTTENS LÄN</t>
        </is>
      </c>
      <c r="G851" t="inlineStr">
        <is>
          <t>BODEN</t>
        </is>
      </c>
      <c r="I851" t="n">
        <v>38.7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46250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45013</v>
      </c>
      <c r="E853" s="1" t="n">
        <v>46250</v>
      </c>
      <c r="F853" t="inlineStr">
        <is>
          <t>NORRBOTTENS LÄN</t>
        </is>
      </c>
      <c r="G853" t="inlineStr">
        <is>
          <t>BODEN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883-2024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46250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52-2025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45667</v>
      </c>
      <c r="E855" s="1" t="n">
        <v>46250</v>
      </c>
      <c r="F855" t="inlineStr">
        <is>
          <t>NORRBOTTENS LÄN</t>
        </is>
      </c>
      <c r="G855" t="inlineStr">
        <is>
          <t>BODEN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190-2023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44945</v>
      </c>
      <c r="E856" s="1" t="n">
        <v>46250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6.8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977-2025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46250</v>
      </c>
      <c r="F857" t="inlineStr">
        <is>
          <t>NORRBOTTENS LÄN</t>
        </is>
      </c>
      <c r="G857" t="inlineStr">
        <is>
          <t>BODEN</t>
        </is>
      </c>
      <c r="I857" t="n">
        <v>11.1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978-2025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45743</v>
      </c>
      <c r="E858" s="1" t="n">
        <v>46250</v>
      </c>
      <c r="F858" t="inlineStr">
        <is>
          <t>NORRBOTTENS LÄN</t>
        </is>
      </c>
      <c r="G858" t="inlineStr">
        <is>
          <t>BODEN</t>
        </is>
      </c>
      <c r="I858" t="n">
        <v>19.5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1498-2025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45789</v>
      </c>
      <c r="E859" s="1" t="n">
        <v>46250</v>
      </c>
      <c r="F859" t="inlineStr">
        <is>
          <t>NORRBOTTENS LÄN</t>
        </is>
      </c>
      <c r="G859" t="inlineStr">
        <is>
          <t>BODEN</t>
        </is>
      </c>
      <c r="H859" t="inlineStr">
        <is>
          <t>Övriga Aktiebolag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1572-2025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45792</v>
      </c>
      <c r="E860" s="1" t="n">
        <v>46250</v>
      </c>
      <c r="F860" t="inlineStr">
        <is>
          <t>NORRBOTTENS LÄN</t>
        </is>
      </c>
      <c r="G860" t="inlineStr">
        <is>
          <t>BODEN</t>
        </is>
      </c>
      <c r="I860" t="n">
        <v>8.6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46250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1633-2025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46250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1632-2025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46250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1734-2025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45810</v>
      </c>
      <c r="E864" s="1" t="n">
        <v>46250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1811-2025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45818</v>
      </c>
      <c r="E865" s="1" t="n">
        <v>46250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2072-2025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45840</v>
      </c>
      <c r="E866" s="1" t="n">
        <v>46250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3580-2025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46018</v>
      </c>
      <c r="E867" s="1" t="n">
        <v>46250</v>
      </c>
      <c r="F867" t="inlineStr">
        <is>
          <t>NORRBOTTENS LÄN</t>
        </is>
      </c>
      <c r="G867" t="inlineStr">
        <is>
          <t>BODEN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46250</v>
      </c>
      <c r="F868" t="inlineStr">
        <is>
          <t>NORRBOTTENS LÄN</t>
        </is>
      </c>
      <c r="G868" t="inlineStr">
        <is>
          <t>BODEN</t>
        </is>
      </c>
      <c r="I868" t="n">
        <v>57.4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1261-2026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46250</v>
      </c>
      <c r="F869" t="inlineStr">
        <is>
          <t>NORRBOTTENS LÄN</t>
        </is>
      </c>
      <c r="G869" t="inlineStr">
        <is>
          <t>BODEN</t>
        </is>
      </c>
      <c r="I869" t="n">
        <v>16.9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1262-2026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46250</v>
      </c>
      <c r="F870" t="inlineStr">
        <is>
          <t>NORRBOTTENS LÄN</t>
        </is>
      </c>
      <c r="G870" t="inlineStr">
        <is>
          <t>BODEN</t>
        </is>
      </c>
      <c r="H870" t="inlineStr">
        <is>
          <t>Kommuner</t>
        </is>
      </c>
      <c r="I870" t="n">
        <v>16.2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1356-2026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46250</v>
      </c>
      <c r="F871" t="inlineStr">
        <is>
          <t>NORRBOTTENS LÄN</t>
        </is>
      </c>
      <c r="G871" t="inlineStr">
        <is>
          <t>BODEN</t>
        </is>
      </c>
      <c r="I871" t="n">
        <v>124.7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1357-2026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46152</v>
      </c>
      <c r="E872" s="1" t="n">
        <v>46250</v>
      </c>
      <c r="F872" t="inlineStr">
        <is>
          <t>NORRBOTTENS LÄN</t>
        </is>
      </c>
      <c r="G872" t="inlineStr">
        <is>
          <t>BODEN</t>
        </is>
      </c>
      <c r="I872" t="n">
        <v>38.2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>
      <c r="A873" t="inlineStr">
        <is>
          <t>S 1297-2026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46148</v>
      </c>
      <c r="E873" s="1" t="n">
        <v>46250</v>
      </c>
      <c r="F873" t="inlineStr">
        <is>
          <t>NORRBOTTENS LÄN</t>
        </is>
      </c>
      <c r="G873" t="inlineStr">
        <is>
          <t>BODEN</t>
        </is>
      </c>
      <c r="I873" t="n">
        <v>20.5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2026-08-16T01:48:04Z</dcterms:created>
  <dcterms:modified xmlns:dcterms="http://purl.org/dc/terms/" xmlns:xsi="http://www.w3.org/2001/XMLSchema-instance" xsi:type="dcterms:W3CDTF">2026-08-16T01:48:05Z</dcterms:modified>
</cp:coreProperties>
</file>