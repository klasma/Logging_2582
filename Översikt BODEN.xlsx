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46309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46309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46309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46309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46309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46309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46309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46309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46309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46309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46309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46309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46309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46309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46309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46309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46309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46309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46309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46309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46309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46309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46309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46309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46309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46309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43007-2022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44833</v>
      </c>
      <c r="E49" s="1" t="n">
        <v>46309</v>
      </c>
      <c r="F49" t="inlineStr">
        <is>
          <t>NORRBOTTENS LÄN</t>
        </is>
      </c>
      <c r="G49" t="inlineStr">
        <is>
          <t>BODEN</t>
        </is>
      </c>
      <c r="I49" t="n">
        <v>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Kransmossa
Liljekonvalj
Nattviol</t>
        </is>
      </c>
      <c r="W49">
        <f>HYPERLINK("https://klasma.github.io/Logging_2582/artfynd/A 43007-2022 artfynd.xlsx", "A 43007-2022")</f>
        <v/>
      </c>
      <c r="X49">
        <f>HYPERLINK("https://klasma.github.io/Logging_2582/kartor/A 43007-2022 karta.png", "A 43007-2022")</f>
        <v/>
      </c>
      <c r="Y49">
        <f>HYPERLINK("https://klasma.github.io/Logging_2582/kartor_geotiff/A 43007-2022 georefererad karta.tif", "A 43007-2022")</f>
        <v/>
      </c>
      <c r="AA49">
        <f>HYPERLINK("https://klasma.github.io/Logging_2582/klagomål/A 43007-2022 FSC-klagomål.docx", "A 43007-2022")</f>
        <v/>
      </c>
      <c r="AB49">
        <f>HYPERLINK("https://klasma.github.io/Logging_2582/klagomålsmail/A 43007-2022 FSC-klagomål mail.docx", "A 43007-2022")</f>
        <v/>
      </c>
      <c r="AC49">
        <f>HYPERLINK("https://klasma.github.io/Logging_2582/tillsyn/A 43007-2022 tillsynsbegäran.docx", "A 43007-2022")</f>
        <v/>
      </c>
      <c r="AD49">
        <f>HYPERLINK("https://klasma.github.io/Logging_2582/tillsynsmail/A 43007-2022 tillsynsbegäran mail.docx", "A 43007-2022")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46309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46309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46309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46309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46309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46309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46309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46309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46309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46309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46309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46309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46309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46309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59435-2024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46309</v>
      </c>
      <c r="F73" t="inlineStr">
        <is>
          <t>NORRBOTTENS LÄN</t>
        </is>
      </c>
      <c r="G73" t="inlineStr">
        <is>
          <t>BODEN</t>
        </is>
      </c>
      <c r="I73" t="n">
        <v>2.1</v>
      </c>
      <c r="J73" t="n">
        <v>1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Lappranunkel
Ögonpyrola</t>
        </is>
      </c>
      <c r="W73">
        <f>HYPERLINK("https://klasma.github.io/Logging_2582/artfynd/A 59435-2024 artfynd.xlsx", "A 59435-2024")</f>
        <v/>
      </c>
      <c r="X73">
        <f>HYPERLINK("https://klasma.github.io/Logging_2582/kartor/A 59435-2024 karta.png", "A 59435-2024")</f>
        <v/>
      </c>
      <c r="Y73">
        <f>HYPERLINK("https://klasma.github.io/Logging_2582/kartor_geotiff/A 59435-2024 georefererad karta.tif", "A 59435-2024")</f>
        <v/>
      </c>
      <c r="AA73">
        <f>HYPERLINK("https://klasma.github.io/Logging_2582/klagomål/A 59435-2024 FSC-klagomål.docx", "A 59435-2024")</f>
        <v/>
      </c>
      <c r="AB73">
        <f>HYPERLINK("https://klasma.github.io/Logging_2582/klagomålsmail/A 59435-2024 FSC-klagomål mail.docx", "A 59435-2024")</f>
        <v/>
      </c>
      <c r="AC73">
        <f>HYPERLINK("https://klasma.github.io/Logging_2582/tillsyn/A 59435-2024 tillsynsbegäran.docx", "A 59435-2024")</f>
        <v/>
      </c>
      <c r="AD73">
        <f>HYPERLINK("https://klasma.github.io/Logging_2582/tillsynsmail/A 59435-2024 tillsynsbegäran mail.docx", "A 59435-2024")</f>
        <v/>
      </c>
    </row>
    <row r="74" ht="15" customHeight="1">
      <c r="A74" t="inlineStr">
        <is>
          <t>A 8703-2026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46066</v>
      </c>
      <c r="E74" s="1" t="n">
        <v>46309</v>
      </c>
      <c r="F74" t="inlineStr">
        <is>
          <t>NORRBOTTENS LÄN</t>
        </is>
      </c>
      <c r="G74" t="inlineStr">
        <is>
          <t>BODEN</t>
        </is>
      </c>
      <c r="I74" t="n">
        <v>1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Ullticka
Skinnlav</t>
        </is>
      </c>
      <c r="W74">
        <f>HYPERLINK("https://klasma.github.io/Logging_2582/artfynd/A 8703-2026 artfynd.xlsx", "A 8703-2026")</f>
        <v/>
      </c>
      <c r="X74">
        <f>HYPERLINK("https://klasma.github.io/Logging_2582/kartor/A 8703-2026 karta.png", "A 8703-2026")</f>
        <v/>
      </c>
      <c r="Y74">
        <f>HYPERLINK("https://klasma.github.io/Logging_2582/kartor_geotiff/A 8703-2026 georefererad karta.tif", "A 8703-2026")</f>
        <v/>
      </c>
      <c r="AA74">
        <f>HYPERLINK("https://klasma.github.io/Logging_2582/klagomål/A 8703-2026 FSC-klagomål.docx", "A 8703-2026")</f>
        <v/>
      </c>
      <c r="AB74">
        <f>HYPERLINK("https://klasma.github.io/Logging_2582/klagomålsmail/A 8703-2026 FSC-klagomål mail.docx", "A 8703-2026")</f>
        <v/>
      </c>
      <c r="AC74">
        <f>HYPERLINK("https://klasma.github.io/Logging_2582/tillsyn/A 8703-2026 tillsynsbegäran.docx", "A 8703-2026")</f>
        <v/>
      </c>
      <c r="AD74">
        <f>HYPERLINK("https://klasma.github.io/Logging_2582/tillsynsmail/A 8703-2026 tillsynsbegäran mail.docx", "A 8703-2026")</f>
        <v/>
      </c>
    </row>
    <row r="75" ht="15" customHeight="1">
      <c r="A75" t="inlineStr">
        <is>
          <t>A 8754-2026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46309</v>
      </c>
      <c r="F75" t="inlineStr">
        <is>
          <t>NORRBOTTENS LÄN</t>
        </is>
      </c>
      <c r="G75" t="inlineStr">
        <is>
          <t>BODEN</t>
        </is>
      </c>
      <c r="I75" t="n">
        <v>2.1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Ullticka</t>
        </is>
      </c>
      <c r="W75">
        <f>HYPERLINK("https://klasma.github.io/Logging_2582/artfynd/A 8754-2026 artfynd.xlsx", "A 8754-2026")</f>
        <v/>
      </c>
      <c r="X75">
        <f>HYPERLINK("https://klasma.github.io/Logging_2582/kartor/A 8754-2026 karta.png", "A 8754-2026")</f>
        <v/>
      </c>
      <c r="Y75">
        <f>HYPERLINK("https://klasma.github.io/Logging_2582/kartor_geotiff/A 8754-2026 georefererad karta.tif", "A 8754-2026")</f>
        <v/>
      </c>
      <c r="AA75">
        <f>HYPERLINK("https://klasma.github.io/Logging_2582/klagomål/A 8754-2026 FSC-klagomål.docx", "A 8754-2026")</f>
        <v/>
      </c>
      <c r="AB75">
        <f>HYPERLINK("https://klasma.github.io/Logging_2582/klagomålsmail/A 8754-2026 FSC-klagomål mail.docx", "A 8754-2026")</f>
        <v/>
      </c>
      <c r="AC75">
        <f>HYPERLINK("https://klasma.github.io/Logging_2582/tillsyn/A 8754-2026 tillsynsbegäran.docx", "A 8754-2026")</f>
        <v/>
      </c>
      <c r="AD75">
        <f>HYPERLINK("https://klasma.github.io/Logging_2582/tillsynsmail/A 8754-2026 tillsynsbegäran mail.docx", "A 8754-2026")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46309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46309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46309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28867-2025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46309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8.199999999999999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12</v>
      </c>
      <c r="U79" t="n">
        <v>12</v>
      </c>
      <c r="V79" s="2" t="inlineStr">
        <is>
          <t>Knärot
Fläcknycklar</t>
        </is>
      </c>
      <c r="W79">
        <f>HYPERLINK("https://klasma.github.io/Logging_2582/artfynd/A 28867-2025 artfynd.xlsx", "A 28867-2025")</f>
        <v/>
      </c>
      <c r="X79">
        <f>HYPERLINK("https://klasma.github.io/Logging_2582/kartor/A 28867-2025 karta.png", "A 28867-2025")</f>
        <v/>
      </c>
      <c r="Y79">
        <f>HYPERLINK("https://klasma.github.io/Logging_2582/kartor_geotiff/A 28867-2025 georefererad karta.tif", "A 28867-2025")</f>
        <v/>
      </c>
      <c r="Z79">
        <f>HYPERLINK("https://klasma.github.io/Logging_2582/knärot/A 28867-2025 karta knärot.png", "A 28867-2025")</f>
        <v/>
      </c>
      <c r="AA79">
        <f>HYPERLINK("https://klasma.github.io/Logging_2582/klagomål/A 28867-2025 FSC-klagomål.docx", "A 28867-2025")</f>
        <v/>
      </c>
      <c r="AB79">
        <f>HYPERLINK("https://klasma.github.io/Logging_2582/klagomålsmail/A 28867-2025 FSC-klagomål mail.docx", "A 28867-2025")</f>
        <v/>
      </c>
      <c r="AC79">
        <f>HYPERLINK("https://klasma.github.io/Logging_2582/tillsyn/A 28867-2025 tillsynsbegäran.docx", "A 28867-2025")</f>
        <v/>
      </c>
      <c r="AD79">
        <f>HYPERLINK("https://klasma.github.io/Logging_2582/tillsynsmail/A 28867-2025 tillsynsbegäran mail.docx", "A 28867-2025")</f>
        <v/>
      </c>
    </row>
    <row r="80" ht="15" customHeight="1">
      <c r="A80" t="inlineStr">
        <is>
          <t>A 45477-2025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46309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9.1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Doftticka
Lunglav</t>
        </is>
      </c>
      <c r="W80">
        <f>HYPERLINK("https://klasma.github.io/Logging_2582/artfynd/A 45477-2025 artfynd.xlsx", "A 45477-2025")</f>
        <v/>
      </c>
      <c r="X80">
        <f>HYPERLINK("https://klasma.github.io/Logging_2582/kartor/A 45477-2025 karta.png", "A 45477-2025")</f>
        <v/>
      </c>
      <c r="Y80">
        <f>HYPERLINK("https://klasma.github.io/Logging_2582/kartor_geotiff/A 45477-2025 georefererad karta.tif", "A 45477-2025")</f>
        <v/>
      </c>
      <c r="AA80">
        <f>HYPERLINK("https://klasma.github.io/Logging_2582/klagomål/A 45477-2025 FSC-klagomål.docx", "A 45477-2025")</f>
        <v/>
      </c>
      <c r="AB80">
        <f>HYPERLINK("https://klasma.github.io/Logging_2582/klagomålsmail/A 45477-2025 FSC-klagomål mail.docx", "A 45477-2025")</f>
        <v/>
      </c>
      <c r="AC80">
        <f>HYPERLINK("https://klasma.github.io/Logging_2582/tillsyn/A 45477-2025 tillsynsbegäran.docx", "A 45477-2025")</f>
        <v/>
      </c>
      <c r="AD80">
        <f>HYPERLINK("https://klasma.github.io/Logging_2582/tillsynsmail/A 45477-2025 tillsynsbegäran mail.docx", "A 45477-2025")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46309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46309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37086-2025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46309</v>
      </c>
      <c r="F83" t="inlineStr">
        <is>
          <t>NORRBOTTENS LÄN</t>
        </is>
      </c>
      <c r="G83" t="inlineStr">
        <is>
          <t>BODEN</t>
        </is>
      </c>
      <c r="H83" t="inlineStr">
        <is>
          <t>Övriga Aktiebolag</t>
        </is>
      </c>
      <c r="I83" t="n">
        <v>22.8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37086-2025 artfynd.xlsx", "A 37086-2025")</f>
        <v/>
      </c>
      <c r="X83">
        <f>HYPERLINK("https://klasma.github.io/Logging_2582/kartor/A 37086-2025 karta.png", "A 37086-2025")</f>
        <v/>
      </c>
      <c r="Y83">
        <f>HYPERLINK("https://klasma.github.io/Logging_2582/kartor_geotiff/A 37086-2025 georefererad karta.tif", "A 37086-2025")</f>
        <v/>
      </c>
      <c r="AA83">
        <f>HYPERLINK("https://klasma.github.io/Logging_2582/klagomål/A 37086-2025 FSC-klagomål.docx", "A 37086-2025")</f>
        <v/>
      </c>
      <c r="AB83">
        <f>HYPERLINK("https://klasma.github.io/Logging_2582/klagomålsmail/A 37086-2025 FSC-klagomål mail.docx", "A 37086-2025")</f>
        <v/>
      </c>
      <c r="AC83">
        <f>HYPERLINK("https://klasma.github.io/Logging_2582/tillsyn/A 37086-2025 tillsynsbegäran.docx", "A 37086-2025")</f>
        <v/>
      </c>
      <c r="AD83">
        <f>HYPERLINK("https://klasma.github.io/Logging_2582/tillsynsmail/A 37086-2025 tillsynsbegäran mail.docx", "A 37086-2025")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46309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46309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17292-2022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46309</v>
      </c>
      <c r="F86" t="inlineStr">
        <is>
          <t>NORRBOTTENS LÄN</t>
        </is>
      </c>
      <c r="G86" t="inlineStr">
        <is>
          <t>BODEN</t>
        </is>
      </c>
      <c r="H86" t="inlineStr">
        <is>
          <t>Kyrkan</t>
        </is>
      </c>
      <c r="I86" t="n">
        <v>0.8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Revlummer</t>
        </is>
      </c>
      <c r="W86">
        <f>HYPERLINK("https://klasma.github.io/Logging_2582/artfynd/A 17292-2022 artfynd.xlsx", "A 17292-2022")</f>
        <v/>
      </c>
      <c r="X86">
        <f>HYPERLINK("https://klasma.github.io/Logging_2582/kartor/A 17292-2022 karta.png", "A 17292-2022")</f>
        <v/>
      </c>
      <c r="Y86">
        <f>HYPERLINK("https://klasma.github.io/Logging_2582/kartor_geotiff/A 17292-2022 georefererad karta.tif", "A 17292-2022")</f>
        <v/>
      </c>
      <c r="AA86">
        <f>HYPERLINK("https://klasma.github.io/Logging_2582/klagomål/A 17292-2022 FSC-klagomål.docx", "A 17292-2022")</f>
        <v/>
      </c>
      <c r="AB86">
        <f>HYPERLINK("https://klasma.github.io/Logging_2582/klagomålsmail/A 17292-2022 FSC-klagomål mail.docx", "A 17292-2022")</f>
        <v/>
      </c>
      <c r="AC86">
        <f>HYPERLINK("https://klasma.github.io/Logging_2582/tillsyn/A 17292-2022 tillsynsbegäran.docx", "A 17292-2022")</f>
        <v/>
      </c>
      <c r="AD86">
        <f>HYPERLINK("https://klasma.github.io/Logging_2582/tillsynsmail/A 17292-2022 tillsynsbegäran mail.docx", "A 17292-2022")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46309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46309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46309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61210-2024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46309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4</v>
      </c>
      <c r="U90" t="n">
        <v>0</v>
      </c>
      <c r="V90" s="2" t="inlineStr">
        <is>
          <t>Skrovlig taggsvamp
Blå taggsvamp</t>
        </is>
      </c>
      <c r="W90">
        <f>HYPERLINK("https://klasma.github.io/Logging_2582/artfynd/A 61210-2024 artfynd.xlsx", "A 61210-2024")</f>
        <v/>
      </c>
      <c r="X90">
        <f>HYPERLINK("https://klasma.github.io/Logging_2582/kartor/A 61210-2024 karta.png", "A 61210-2024")</f>
        <v/>
      </c>
      <c r="Y90">
        <f>HYPERLINK("https://klasma.github.io/Logging_2582/kartor_geotiff/A 61210-2024 georefererad karta.tif", "A 61210-2024")</f>
        <v/>
      </c>
      <c r="AA90">
        <f>HYPERLINK("https://klasma.github.io/Logging_2582/klagomål/A 61210-2024 FSC-klagomål.docx", "A 61210-2024")</f>
        <v/>
      </c>
      <c r="AB90">
        <f>HYPERLINK("https://klasma.github.io/Logging_2582/klagomålsmail/A 61210-2024 FSC-klagomål mail.docx", "A 61210-2024")</f>
        <v/>
      </c>
      <c r="AC90">
        <f>HYPERLINK("https://klasma.github.io/Logging_2582/tillsyn/A 61210-2024 tillsynsbegäran.docx", "A 61210-2024")</f>
        <v/>
      </c>
      <c r="AD90">
        <f>HYPERLINK("https://klasma.github.io/Logging_2582/tillsynsmail/A 61210-2024 tillsynsbegäran mail.docx", "A 61210-2024")</f>
        <v/>
      </c>
    </row>
    <row r="91" ht="15" customHeight="1">
      <c r="A91" t="inlineStr">
        <is>
          <t>A 1507-2022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46309</v>
      </c>
      <c r="F91" t="inlineStr">
        <is>
          <t>NORRBOTTENS LÄN</t>
        </is>
      </c>
      <c r="G91" t="inlineStr">
        <is>
          <t>BODEN</t>
        </is>
      </c>
      <c r="H91" t="inlineStr">
        <is>
          <t>Övriga statliga verk och myndigheter</t>
        </is>
      </c>
      <c r="I91" t="n">
        <v>15.4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Gråspett</t>
        </is>
      </c>
      <c r="W91">
        <f>HYPERLINK("https://klasma.github.io/Logging_2582/artfynd/A 1507-2022 artfynd.xlsx", "A 1507-2022")</f>
        <v/>
      </c>
      <c r="X91">
        <f>HYPERLINK("https://klasma.github.io/Logging_2582/kartor/A 1507-2022 karta.png", "A 1507-2022")</f>
        <v/>
      </c>
      <c r="Y91">
        <f>HYPERLINK("https://klasma.github.io/Logging_2582/kartor_geotiff/A 1507-2022 georefererad karta.tif", "A 1507-2022")</f>
        <v/>
      </c>
      <c r="AA91">
        <f>HYPERLINK("https://klasma.github.io/Logging_2582/klagomål/A 1507-2022 FSC-klagomål.docx", "A 1507-2022")</f>
        <v/>
      </c>
      <c r="AB91">
        <f>HYPERLINK("https://klasma.github.io/Logging_2582/klagomålsmail/A 1507-2022 FSC-klagomål mail.docx", "A 1507-2022")</f>
        <v/>
      </c>
      <c r="AC91">
        <f>HYPERLINK("https://klasma.github.io/Logging_2582/tillsyn/A 1507-2022 tillsynsbegäran.docx", "A 1507-2022")</f>
        <v/>
      </c>
      <c r="AD91">
        <f>HYPERLINK("https://klasma.github.io/Logging_2582/tillsynsmail/A 1507-2022 tillsynsbegäran mail.docx", "A 1507-2022")</f>
        <v/>
      </c>
      <c r="AE91">
        <f>HYPERLINK("https://klasma.github.io/Logging_2582/fåglar/A 1507-2022 prioriterade fågelarter.docx", "A 1507-2022")</f>
        <v/>
      </c>
    </row>
    <row r="92" ht="15" customHeight="1">
      <c r="A92" t="inlineStr">
        <is>
          <t>A 32971-2024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46309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5</v>
      </c>
      <c r="U92" t="n">
        <v>4</v>
      </c>
      <c r="V92" s="2" t="inlineStr">
        <is>
          <t>Lunglav
Fläcknycklar</t>
        </is>
      </c>
      <c r="W92">
        <f>HYPERLINK("https://klasma.github.io/Logging_2582/artfynd/A 32971-2024 artfynd.xlsx", "A 32971-2024")</f>
        <v/>
      </c>
      <c r="X92">
        <f>HYPERLINK("https://klasma.github.io/Logging_2582/kartor/A 32971-2024 karta.png", "A 32971-2024")</f>
        <v/>
      </c>
      <c r="Y92">
        <f>HYPERLINK("https://klasma.github.io/Logging_2582/kartor_geotiff/A 32971-2024 georefererad karta.tif", "A 32971-2024")</f>
        <v/>
      </c>
      <c r="AA92">
        <f>HYPERLINK("https://klasma.github.io/Logging_2582/klagomål/A 32971-2024 FSC-klagomål.docx", "A 32971-2024")</f>
        <v/>
      </c>
      <c r="AB92">
        <f>HYPERLINK("https://klasma.github.io/Logging_2582/klagomålsmail/A 32971-2024 FSC-klagomål mail.docx", "A 32971-2024")</f>
        <v/>
      </c>
      <c r="AC92">
        <f>HYPERLINK("https://klasma.github.io/Logging_2582/tillsyn/A 32971-2024 tillsynsbegäran.docx", "A 32971-2024")</f>
        <v/>
      </c>
      <c r="AD92">
        <f>HYPERLINK("https://klasma.github.io/Logging_2582/tillsynsmail/A 32971-2024 tillsynsbegäran mail.docx", "A 32971-2024")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46309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48899-2024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46309</v>
      </c>
      <c r="F94" t="inlineStr">
        <is>
          <t>NORRBOTTENS LÄN</t>
        </is>
      </c>
      <c r="G94" t="inlineStr">
        <is>
          <t>BODEN</t>
        </is>
      </c>
      <c r="H94" t="inlineStr">
        <is>
          <t>SCA</t>
        </is>
      </c>
      <c r="I94" t="n">
        <v>18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Hässlebrodd
Fläcknycklar</t>
        </is>
      </c>
      <c r="W94">
        <f>HYPERLINK("https://klasma.github.io/Logging_2582/artfynd/A 48899-2024 artfynd.xlsx", "A 48899-2024")</f>
        <v/>
      </c>
      <c r="X94">
        <f>HYPERLINK("https://klasma.github.io/Logging_2582/kartor/A 48899-2024 karta.png", "A 48899-2024")</f>
        <v/>
      </c>
      <c r="Y94">
        <f>HYPERLINK("https://klasma.github.io/Logging_2582/kartor_geotiff/A 48899-2024 georefererad karta.tif", "A 48899-2024")</f>
        <v/>
      </c>
      <c r="AA94">
        <f>HYPERLINK("https://klasma.github.io/Logging_2582/klagomål/A 48899-2024 FSC-klagomål.docx", "A 48899-2024")</f>
        <v/>
      </c>
      <c r="AB94">
        <f>HYPERLINK("https://klasma.github.io/Logging_2582/klagomålsmail/A 48899-2024 FSC-klagomål mail.docx", "A 48899-2024")</f>
        <v/>
      </c>
      <c r="AC94">
        <f>HYPERLINK("https://klasma.github.io/Logging_2582/tillsyn/A 48899-2024 tillsynsbegäran.docx", "A 48899-2024")</f>
        <v/>
      </c>
      <c r="AD94">
        <f>HYPERLINK("https://klasma.github.io/Logging_2582/tillsynsmail/A 48899-2024 tillsynsbegäran mail.docx", "A 48899-2024")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46309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46309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29807-2026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46309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Mörk kolflarnlav</t>
        </is>
      </c>
      <c r="W97">
        <f>HYPERLINK("https://klasma.github.io/Logging_2582/artfynd/A 29807-2026 artfynd.xlsx", "A 29807-2026")</f>
        <v/>
      </c>
      <c r="X97">
        <f>HYPERLINK("https://klasma.github.io/Logging_2582/kartor/A 29807-2026 karta.png", "A 29807-2026")</f>
        <v/>
      </c>
      <c r="Y97">
        <f>HYPERLINK("https://klasma.github.io/Logging_2582/kartor_geotiff/A 29807-2026 georefererad karta.tif", "A 29807-2026")</f>
        <v/>
      </c>
      <c r="AA97">
        <f>HYPERLINK("https://klasma.github.io/Logging_2582/klagomål/A 29807-2026 FSC-klagomål.docx", "A 29807-2026")</f>
        <v/>
      </c>
      <c r="AB97">
        <f>HYPERLINK("https://klasma.github.io/Logging_2582/klagomålsmail/A 29807-2026 FSC-klagomål mail.docx", "A 29807-2026")</f>
        <v/>
      </c>
      <c r="AC97">
        <f>HYPERLINK("https://klasma.github.io/Logging_2582/tillsyn/A 29807-2026 tillsynsbegäran.docx", "A 29807-2026")</f>
        <v/>
      </c>
      <c r="AD97">
        <f>HYPERLINK("https://klasma.github.io/Logging_2582/tillsynsmail/A 29807-2026 tillsynsbegäran mail.docx", "A 29807-2026")</f>
        <v/>
      </c>
    </row>
    <row r="98" ht="15" customHeight="1">
      <c r="A98" t="inlineStr">
        <is>
          <t>A 29860-2026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46309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Knottrig blåslav
Lunglav</t>
        </is>
      </c>
      <c r="W98">
        <f>HYPERLINK("https://klasma.github.io/Logging_2582/artfynd/A 29860-2026 artfynd.xlsx", "A 29860-2026")</f>
        <v/>
      </c>
      <c r="X98">
        <f>HYPERLINK("https://klasma.github.io/Logging_2582/kartor/A 29860-2026 karta.png", "A 29860-2026")</f>
        <v/>
      </c>
      <c r="Y98">
        <f>HYPERLINK("https://klasma.github.io/Logging_2582/kartor_geotiff/A 29860-2026 georefererad karta.tif", "A 29860-2026")</f>
        <v/>
      </c>
      <c r="AA98">
        <f>HYPERLINK("https://klasma.github.io/Logging_2582/klagomål/A 29860-2026 FSC-klagomål.docx", "A 29860-2026")</f>
        <v/>
      </c>
      <c r="AB98">
        <f>HYPERLINK("https://klasma.github.io/Logging_2582/klagomålsmail/A 29860-2026 FSC-klagomål mail.docx", "A 29860-2026")</f>
        <v/>
      </c>
      <c r="AC98">
        <f>HYPERLINK("https://klasma.github.io/Logging_2582/tillsyn/A 29860-2026 tillsynsbegäran.docx", "A 29860-2026")</f>
        <v/>
      </c>
      <c r="AD98">
        <f>HYPERLINK("https://klasma.github.io/Logging_2582/tillsynsmail/A 29860-2026 tillsynsbegäran mail.docx", "A 29860-2026")</f>
        <v/>
      </c>
    </row>
    <row r="99" ht="15" customHeight="1">
      <c r="A99" t="inlineStr">
        <is>
          <t>A 31233-2026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46309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18.5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3</v>
      </c>
      <c r="V99" s="2" t="inlineStr">
        <is>
          <t>Lunglav
Fläcknycklar</t>
        </is>
      </c>
      <c r="W99">
        <f>HYPERLINK("https://klasma.github.io/Logging_2582/artfynd/A 31233-2026 artfynd.xlsx", "A 31233-2026")</f>
        <v/>
      </c>
      <c r="X99">
        <f>HYPERLINK("https://klasma.github.io/Logging_2582/kartor/A 31233-2026 karta.png", "A 31233-2026")</f>
        <v/>
      </c>
      <c r="Y99">
        <f>HYPERLINK("https://klasma.github.io/Logging_2582/kartor_geotiff/A 31233-2026 georefererad karta.tif", "A 31233-2026")</f>
        <v/>
      </c>
      <c r="AA99">
        <f>HYPERLINK("https://klasma.github.io/Logging_2582/klagomål/A 31233-2026 FSC-klagomål.docx", "A 31233-2026")</f>
        <v/>
      </c>
      <c r="AB99">
        <f>HYPERLINK("https://klasma.github.io/Logging_2582/klagomålsmail/A 31233-2026 FSC-klagomål mail.docx", "A 31233-2026")</f>
        <v/>
      </c>
      <c r="AC99">
        <f>HYPERLINK("https://klasma.github.io/Logging_2582/tillsyn/A 31233-2026 tillsynsbegäran.docx", "A 31233-2026")</f>
        <v/>
      </c>
      <c r="AD99">
        <f>HYPERLINK("https://klasma.github.io/Logging_2582/tillsynsmail/A 31233-2026 tillsynsbegäran mail.docx", "A 31233-2026")</f>
        <v/>
      </c>
    </row>
    <row r="100" ht="15" customHeight="1">
      <c r="A100" t="inlineStr">
        <is>
          <t>A 31655-2026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46225</v>
      </c>
      <c r="E100" s="1" t="n">
        <v>46309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Lunglav</t>
        </is>
      </c>
      <c r="W100">
        <f>HYPERLINK("https://klasma.github.io/Logging_2582/artfynd/A 31655-2026 artfynd.xlsx", "A 31655-2026")</f>
        <v/>
      </c>
      <c r="X100">
        <f>HYPERLINK("https://klasma.github.io/Logging_2582/kartor/A 31655-2026 karta.png", "A 31655-2026")</f>
        <v/>
      </c>
      <c r="Y100">
        <f>HYPERLINK("https://klasma.github.io/Logging_2582/kartor_geotiff/A 31655-2026 georefererad karta.tif", "A 31655-2026")</f>
        <v/>
      </c>
      <c r="AA100">
        <f>HYPERLINK("https://klasma.github.io/Logging_2582/klagomål/A 31655-2026 FSC-klagomål.docx", "A 31655-2026")</f>
        <v/>
      </c>
      <c r="AB100">
        <f>HYPERLINK("https://klasma.github.io/Logging_2582/klagomålsmail/A 31655-2026 FSC-klagomål mail.docx", "A 31655-2026")</f>
        <v/>
      </c>
      <c r="AC100">
        <f>HYPERLINK("https://klasma.github.io/Logging_2582/tillsyn/A 31655-2026 tillsynsbegäran.docx", "A 31655-2026")</f>
        <v/>
      </c>
      <c r="AD100">
        <f>HYPERLINK("https://klasma.github.io/Logging_2582/tillsynsmail/A 31655-2026 tillsynsbegäran mail.docx", "A 31655-2026")</f>
        <v/>
      </c>
    </row>
    <row r="101" ht="15" customHeight="1">
      <c r="A101" t="inlineStr">
        <is>
          <t>A 36163-2026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46267</v>
      </c>
      <c r="E101" s="1" t="n">
        <v>46309</v>
      </c>
      <c r="F101" t="inlineStr">
        <is>
          <t>NORRBOTTENS LÄN</t>
        </is>
      </c>
      <c r="G101" t="inlineStr">
        <is>
          <t>BODEN</t>
        </is>
      </c>
      <c r="I101" t="n">
        <v>7.2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Björktrast
Rödvingetrast</t>
        </is>
      </c>
      <c r="W101">
        <f>HYPERLINK("https://klasma.github.io/Logging_2582/artfynd/A 36163-2026 artfynd.xlsx", "A 36163-2026")</f>
        <v/>
      </c>
      <c r="X101">
        <f>HYPERLINK("https://klasma.github.io/Logging_2582/kartor/A 36163-2026 karta.png", "A 36163-2026")</f>
        <v/>
      </c>
      <c r="Y101">
        <f>HYPERLINK("https://klasma.github.io/Logging_2582/kartor_geotiff/A 36163-2026 georefererad karta.tif", "A 36163-2026")</f>
        <v/>
      </c>
      <c r="AA101">
        <f>HYPERLINK("https://klasma.github.io/Logging_2582/klagomål/A 36163-2026 FSC-klagomål.docx", "A 36163-2026")</f>
        <v/>
      </c>
      <c r="AB101">
        <f>HYPERLINK("https://klasma.github.io/Logging_2582/klagomålsmail/A 36163-2026 FSC-klagomål mail.docx", "A 36163-2026")</f>
        <v/>
      </c>
      <c r="AC101">
        <f>HYPERLINK("https://klasma.github.io/Logging_2582/tillsyn/A 36163-2026 tillsynsbegäran.docx", "A 36163-2026")</f>
        <v/>
      </c>
      <c r="AD101">
        <f>HYPERLINK("https://klasma.github.io/Logging_2582/tillsynsmail/A 36163-2026 tillsynsbegäran mail.docx", "A 36163-2026")</f>
        <v/>
      </c>
      <c r="AE101">
        <f>HYPERLINK("https://klasma.github.io/Logging_2582/fåglar/A 36163-2026 prioriterade fågelarter.docx", "A 36163-2026")</f>
        <v/>
      </c>
    </row>
    <row r="102" ht="15" customHeight="1">
      <c r="A102" t="inlineStr">
        <is>
          <t>A 36622-2026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46270</v>
      </c>
      <c r="E102" s="1" t="n">
        <v>46309</v>
      </c>
      <c r="F102" t="inlineStr">
        <is>
          <t>NORRBOTTENS LÄN</t>
        </is>
      </c>
      <c r="G102" t="inlineStr">
        <is>
          <t>BODEN</t>
        </is>
      </c>
      <c r="I102" t="n">
        <v>11.7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Dropptaggsvamp
Revlummer</t>
        </is>
      </c>
      <c r="W102">
        <f>HYPERLINK("https://klasma.github.io/Logging_2582/artfynd/A 36622-2026 artfynd.xlsx", "A 36622-2026")</f>
        <v/>
      </c>
      <c r="X102">
        <f>HYPERLINK("https://klasma.github.io/Logging_2582/kartor/A 36622-2026 karta.png", "A 36622-2026")</f>
        <v/>
      </c>
      <c r="Y102">
        <f>HYPERLINK("https://klasma.github.io/Logging_2582/kartor_geotiff/A 36622-2026 georefererad karta.tif", "A 36622-2026")</f>
        <v/>
      </c>
      <c r="AA102">
        <f>HYPERLINK("https://klasma.github.io/Logging_2582/klagomål/A 36622-2026 FSC-klagomål.docx", "A 36622-2026")</f>
        <v/>
      </c>
      <c r="AB102">
        <f>HYPERLINK("https://klasma.github.io/Logging_2582/klagomålsmail/A 36622-2026 FSC-klagomål mail.docx", "A 36622-2026")</f>
        <v/>
      </c>
      <c r="AC102">
        <f>HYPERLINK("https://klasma.github.io/Logging_2582/tillsyn/A 36622-2026 tillsynsbegäran.docx", "A 36622-2026")</f>
        <v/>
      </c>
      <c r="AD102">
        <f>HYPERLINK("https://klasma.github.io/Logging_2582/tillsynsmail/A 36622-2026 tillsynsbegäran mail.docx", "A 36622-2026")</f>
        <v/>
      </c>
    </row>
    <row r="103" ht="15" customHeight="1">
      <c r="A103" t="inlineStr">
        <is>
          <t>A 42233-2022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44830</v>
      </c>
      <c r="E103" s="1" t="n">
        <v>46309</v>
      </c>
      <c r="F103" t="inlineStr">
        <is>
          <t>NORRBOTTENS LÄN</t>
        </is>
      </c>
      <c r="G103" t="inlineStr">
        <is>
          <t>BODEN</t>
        </is>
      </c>
      <c r="I103" t="n">
        <v>3.6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Enkelbeckasin
Svartvit flugsnappare</t>
        </is>
      </c>
      <c r="W103">
        <f>HYPERLINK("https://klasma.github.io/Logging_2582/artfynd/A 42233-2022 artfynd.xlsx", "A 42233-2022")</f>
        <v/>
      </c>
      <c r="X103">
        <f>HYPERLINK("https://klasma.github.io/Logging_2582/kartor/A 42233-2022 karta.png", "A 42233-2022")</f>
        <v/>
      </c>
      <c r="Y103">
        <f>HYPERLINK("https://klasma.github.io/Logging_2582/kartor_geotiff/A 42233-2022 georefererad karta.tif", "A 42233-2022")</f>
        <v/>
      </c>
      <c r="AA103">
        <f>HYPERLINK("https://klasma.github.io/Logging_2582/klagomål/A 42233-2022 FSC-klagomål.docx", "A 42233-2022")</f>
        <v/>
      </c>
      <c r="AB103">
        <f>HYPERLINK("https://klasma.github.io/Logging_2582/klagomålsmail/A 42233-2022 FSC-klagomål mail.docx", "A 42233-2022")</f>
        <v/>
      </c>
      <c r="AC103">
        <f>HYPERLINK("https://klasma.github.io/Logging_2582/tillsyn/A 42233-2022 tillsynsbegäran.docx", "A 42233-2022")</f>
        <v/>
      </c>
      <c r="AD103">
        <f>HYPERLINK("https://klasma.github.io/Logging_2582/tillsynsmail/A 42233-2022 tillsynsbegäran mail.docx", "A 42233-2022")</f>
        <v/>
      </c>
      <c r="AE103">
        <f>HYPERLINK("https://klasma.github.io/Logging_2582/fåglar/A 42233-2022 prioriterade fågelarter.docx", "A 42233-2022")</f>
        <v/>
      </c>
    </row>
    <row r="104" ht="15" customHeight="1">
      <c r="A104" t="inlineStr">
        <is>
          <t>A 38870-2026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46286</v>
      </c>
      <c r="E104" s="1" t="n">
        <v>46309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4.8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Fläcknycklar
Revlummer</t>
        </is>
      </c>
      <c r="W104">
        <f>HYPERLINK("https://klasma.github.io/Logging_2582/artfynd/A 38870-2026 artfynd.xlsx", "A 38870-2026")</f>
        <v/>
      </c>
      <c r="X104">
        <f>HYPERLINK("https://klasma.github.io/Logging_2582/kartor/A 38870-2026 karta.png", "A 38870-2026")</f>
        <v/>
      </c>
      <c r="Y104">
        <f>HYPERLINK("https://klasma.github.io/Logging_2582/kartor_geotiff/A 38870-2026 georefererad karta.tif", "A 38870-2026")</f>
        <v/>
      </c>
      <c r="AA104">
        <f>HYPERLINK("https://klasma.github.io/Logging_2582/klagomål/A 38870-2026 FSC-klagomål.docx", "A 38870-2026")</f>
        <v/>
      </c>
      <c r="AB104">
        <f>HYPERLINK("https://klasma.github.io/Logging_2582/klagomålsmail/A 38870-2026 FSC-klagomål mail.docx", "A 38870-2026")</f>
        <v/>
      </c>
      <c r="AC104">
        <f>HYPERLINK("https://klasma.github.io/Logging_2582/tillsyn/A 38870-2026 tillsynsbegäran.docx", "A 38870-2026")</f>
        <v/>
      </c>
      <c r="AD104">
        <f>HYPERLINK("https://klasma.github.io/Logging_2582/tillsynsmail/A 38870-2026 tillsynsbegäran mail.docx", "A 38870-2026")</f>
        <v/>
      </c>
    </row>
    <row r="105" ht="15" customHeight="1">
      <c r="A105" t="inlineStr">
        <is>
          <t>A 33096-2026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46309</v>
      </c>
      <c r="F105" t="inlineStr">
        <is>
          <t>NORRBOTTENS LÄN</t>
        </is>
      </c>
      <c r="G105" t="inlineStr">
        <is>
          <t>BODEN</t>
        </is>
      </c>
      <c r="I105" t="n">
        <v>36.6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HYPERLINK("https://klasma.github.io/Logging_2582/artfynd/A 33096-2026 artfynd.xlsx", "A 33096-2026")</f>
        <v/>
      </c>
      <c r="X105">
        <f>HYPERLINK("https://klasma.github.io/Logging_2582/kartor/A 33096-2026 karta.png", "A 33096-2026")</f>
        <v/>
      </c>
      <c r="Y105">
        <f>HYPERLINK("https://klasma.github.io/Logging_2582/kartor_geotiff/A 33096-2026 georefererad karta.tif", "A 33096-2026")</f>
        <v/>
      </c>
      <c r="AA105">
        <f>HYPERLINK("https://klasma.github.io/Logging_2582/klagomål/A 33096-2026 FSC-klagomål.docx", "A 33096-2026")</f>
        <v/>
      </c>
      <c r="AB105">
        <f>HYPERLINK("https://klasma.github.io/Logging_2582/klagomålsmail/A 33096-2026 FSC-klagomål mail.docx", "A 33096-2026")</f>
        <v/>
      </c>
      <c r="AC105">
        <f>HYPERLINK("https://klasma.github.io/Logging_2582/tillsyn/A 33096-2026 tillsynsbegäran.docx", "A 33096-2026")</f>
        <v/>
      </c>
      <c r="AD105">
        <f>HYPERLINK("https://klasma.github.io/Logging_2582/tillsynsmail/A 33096-2026 tillsynsbegäran mail.docx", "A 33096-2026")</f>
        <v/>
      </c>
    </row>
    <row r="106" ht="15" customHeight="1">
      <c r="A106" t="inlineStr">
        <is>
          <t>A 33416-2026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46309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7</v>
      </c>
      <c r="J106" t="n">
        <v>1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Plattlummer</t>
        </is>
      </c>
      <c r="W106">
        <f>HYPERLINK("https://klasma.github.io/Logging_2582/artfynd/A 33416-2026 artfynd.xlsx", "A 33416-2026")</f>
        <v/>
      </c>
      <c r="X106">
        <f>HYPERLINK("https://klasma.github.io/Logging_2582/kartor/A 33416-2026 karta.png", "A 33416-2026")</f>
        <v/>
      </c>
      <c r="Y106">
        <f>HYPERLINK("https://klasma.github.io/Logging_2582/kartor_geotiff/A 33416-2026 georefererad karta.tif", "A 33416-2026")</f>
        <v/>
      </c>
      <c r="AA106">
        <f>HYPERLINK("https://klasma.github.io/Logging_2582/klagomål/A 33416-2026 FSC-klagomål.docx", "A 33416-2026")</f>
        <v/>
      </c>
      <c r="AB106">
        <f>HYPERLINK("https://klasma.github.io/Logging_2582/klagomålsmail/A 33416-2026 FSC-klagomål mail.docx", "A 33416-2026")</f>
        <v/>
      </c>
      <c r="AC106">
        <f>HYPERLINK("https://klasma.github.io/Logging_2582/tillsyn/A 33416-2026 tillsynsbegäran.docx", "A 33416-2026")</f>
        <v/>
      </c>
      <c r="AD106">
        <f>HYPERLINK("https://klasma.github.io/Logging_2582/tillsynsmail/A 33416-2026 tillsynsbegäran mail.docx", "A 33416-2026")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46309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22906-2023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45072</v>
      </c>
      <c r="E108" s="1" t="n">
        <v>46309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3.5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Talltita
Utter</t>
        </is>
      </c>
      <c r="W108">
        <f>HYPERLINK("https://klasma.github.io/Logging_2582/artfynd/A 22906-2023 artfynd.xlsx", "A 22906-2023")</f>
        <v/>
      </c>
      <c r="X108">
        <f>HYPERLINK("https://klasma.github.io/Logging_2582/kartor/A 22906-2023 karta.png", "A 22906-2023")</f>
        <v/>
      </c>
      <c r="Y108">
        <f>HYPERLINK("https://klasma.github.io/Logging_2582/kartor_geotiff/A 22906-2023 georefererad karta.tif", "A 22906-2023")</f>
        <v/>
      </c>
      <c r="AA108">
        <f>HYPERLINK("https://klasma.github.io/Logging_2582/klagomål/A 22906-2023 FSC-klagomål.docx", "A 22906-2023")</f>
        <v/>
      </c>
      <c r="AB108">
        <f>HYPERLINK("https://klasma.github.io/Logging_2582/klagomålsmail/A 22906-2023 FSC-klagomål mail.docx", "A 22906-2023")</f>
        <v/>
      </c>
      <c r="AC108">
        <f>HYPERLINK("https://klasma.github.io/Logging_2582/tillsyn/A 22906-2023 tillsynsbegäran.docx", "A 22906-2023")</f>
        <v/>
      </c>
      <c r="AD108">
        <f>HYPERLINK("https://klasma.github.io/Logging_2582/tillsynsmail/A 22906-2023 tillsynsbegäran mail.docx", "A 22906-2023")</f>
        <v/>
      </c>
      <c r="AE108">
        <f>HYPERLINK("https://klasma.github.io/Logging_2582/fåglar/A 22906-2023 prioriterade fågelarter.docx", "A 22906-2023")</f>
        <v/>
      </c>
    </row>
    <row r="109" ht="15" customHeight="1">
      <c r="A109" t="inlineStr">
        <is>
          <t>A 6639-2024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46309</v>
      </c>
      <c r="F109" t="inlineStr">
        <is>
          <t>NORRBOTTENS LÄN</t>
        </is>
      </c>
      <c r="G109" t="inlineStr">
        <is>
          <t>BODEN</t>
        </is>
      </c>
      <c r="H109" t="inlineStr">
        <is>
          <t>Övriga statliga verk och myndigheter</t>
        </is>
      </c>
      <c r="I109" t="n">
        <v>23.8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Kungsfågel</t>
        </is>
      </c>
      <c r="W109">
        <f>HYPERLINK("https://klasma.github.io/Logging_2582/artfynd/A 6639-2024 artfynd.xlsx", "A 6639-2024")</f>
        <v/>
      </c>
      <c r="X109">
        <f>HYPERLINK("https://klasma.github.io/Logging_2582/kartor/A 6639-2024 karta.png", "A 6639-2024")</f>
        <v/>
      </c>
      <c r="Y109">
        <f>HYPERLINK("https://klasma.github.io/Logging_2582/kartor_geotiff/A 6639-2024 georefererad karta.tif", "A 6639-2024")</f>
        <v/>
      </c>
      <c r="AA109">
        <f>HYPERLINK("https://klasma.github.io/Logging_2582/klagomål/A 6639-2024 FSC-klagomål.docx", "A 6639-2024")</f>
        <v/>
      </c>
      <c r="AB109">
        <f>HYPERLINK("https://klasma.github.io/Logging_2582/klagomålsmail/A 6639-2024 FSC-klagomål mail.docx", "A 6639-2024")</f>
        <v/>
      </c>
      <c r="AC109">
        <f>HYPERLINK("https://klasma.github.io/Logging_2582/tillsyn/A 6639-2024 tillsynsbegäran.docx", "A 6639-2024")</f>
        <v/>
      </c>
      <c r="AD109">
        <f>HYPERLINK("https://klasma.github.io/Logging_2582/tillsynsmail/A 6639-2024 tillsynsbegäran mail.docx", "A 6639-2024")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46309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46309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46309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35418-2026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46309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8</v>
      </c>
      <c r="U113" t="n">
        <v>8</v>
      </c>
      <c r="V113" s="2" t="inlineStr">
        <is>
          <t>Knärot
Dropptaggsvamp</t>
        </is>
      </c>
      <c r="W113">
        <f>HYPERLINK("https://klasma.github.io/Logging_2582/artfynd/A 35418-2026 artfynd.xlsx", "A 35418-2026")</f>
        <v/>
      </c>
      <c r="X113">
        <f>HYPERLINK("https://klasma.github.io/Logging_2582/kartor/A 35418-2026 karta.png", "A 35418-2026")</f>
        <v/>
      </c>
      <c r="Y113">
        <f>HYPERLINK("https://klasma.github.io/Logging_2582/kartor_geotiff/A 35418-2026 georefererad karta.tif", "A 35418-2026")</f>
        <v/>
      </c>
      <c r="Z113">
        <f>HYPERLINK("https://klasma.github.io/Logging_2582/knärot/A 35418-2026 karta knärot.png", "A 35418-2026")</f>
        <v/>
      </c>
      <c r="AA113">
        <f>HYPERLINK("https://klasma.github.io/Logging_2582/klagomål/A 35418-2026 FSC-klagomål.docx", "A 35418-2026")</f>
        <v/>
      </c>
      <c r="AB113">
        <f>HYPERLINK("https://klasma.github.io/Logging_2582/klagomålsmail/A 35418-2026 FSC-klagomål mail.docx", "A 35418-2026")</f>
        <v/>
      </c>
      <c r="AC113">
        <f>HYPERLINK("https://klasma.github.io/Logging_2582/tillsyn/A 35418-2026 tillsynsbegäran.docx", "A 35418-2026")</f>
        <v/>
      </c>
      <c r="AD113">
        <f>HYPERLINK("https://klasma.github.io/Logging_2582/tillsynsmail/A 35418-2026 tillsynsbegäran mail.docx", "A 35418-2026")</f>
        <v/>
      </c>
    </row>
    <row r="114" ht="15" customHeight="1">
      <c r="A114" t="inlineStr">
        <is>
          <t>A 26721-2026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46184</v>
      </c>
      <c r="E114" s="1" t="n">
        <v>46309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7.8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Plattlummer
Tibast</t>
        </is>
      </c>
      <c r="W114">
        <f>HYPERLINK("https://klasma.github.io/Logging_2582/artfynd/A 26721-2026 artfynd.xlsx", "A 26721-2026")</f>
        <v/>
      </c>
      <c r="X114">
        <f>HYPERLINK("https://klasma.github.io/Logging_2582/kartor/A 26721-2026 karta.png", "A 26721-2026")</f>
        <v/>
      </c>
      <c r="Y114">
        <f>HYPERLINK("https://klasma.github.io/Logging_2582/kartor_geotiff/A 26721-2026 georefererad karta.tif", "A 26721-2026")</f>
        <v/>
      </c>
      <c r="AA114">
        <f>HYPERLINK("https://klasma.github.io/Logging_2582/klagomål/A 26721-2026 FSC-klagomål.docx", "A 26721-2026")</f>
        <v/>
      </c>
      <c r="AB114">
        <f>HYPERLINK("https://klasma.github.io/Logging_2582/klagomålsmail/A 26721-2026 FSC-klagomål mail.docx", "A 26721-2026")</f>
        <v/>
      </c>
      <c r="AC114">
        <f>HYPERLINK("https://klasma.github.io/Logging_2582/tillsyn/A 26721-2026 tillsynsbegäran.docx", "A 26721-2026")</f>
        <v/>
      </c>
      <c r="AD114">
        <f>HYPERLINK("https://klasma.github.io/Logging_2582/tillsynsmail/A 26721-2026 tillsynsbegäran mail.docx", "A 26721-2026")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46309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46309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49410-2023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46309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Lunglav</t>
        </is>
      </c>
      <c r="W119">
        <f>HYPERLINK("https://klasma.github.io/Logging_2582/artfynd/A 49410-2023 artfynd.xlsx", "A 49410-2023")</f>
        <v/>
      </c>
      <c r="X119">
        <f>HYPERLINK("https://klasma.github.io/Logging_2582/kartor/A 49410-2023 karta.png", "A 49410-2023")</f>
        <v/>
      </c>
      <c r="Y119">
        <f>HYPERLINK("https://klasma.github.io/Logging_2582/kartor_geotiff/A 49410-2023 georefererad karta.tif", "A 49410-2023")</f>
        <v/>
      </c>
      <c r="AA119">
        <f>HYPERLINK("https://klasma.github.io/Logging_2582/klagomål/A 49410-2023 FSC-klagomål.docx", "A 49410-2023")</f>
        <v/>
      </c>
      <c r="AB119">
        <f>HYPERLINK("https://klasma.github.io/Logging_2582/klagomålsmail/A 49410-2023 FSC-klagomål mail.docx", "A 49410-2023")</f>
        <v/>
      </c>
      <c r="AC119">
        <f>HYPERLINK("https://klasma.github.io/Logging_2582/tillsyn/A 49410-2023 tillsynsbegäran.docx", "A 49410-2023")</f>
        <v/>
      </c>
      <c r="AD119">
        <f>HYPERLINK("https://klasma.github.io/Logging_2582/tillsynsmail/A 49410-2023 tillsynsbegäran mail.docx", "A 49410-2023")</f>
        <v/>
      </c>
    </row>
    <row r="120" ht="15" customHeight="1">
      <c r="A120" t="inlineStr">
        <is>
          <t>A 16217-2024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45406</v>
      </c>
      <c r="E120" s="1" t="n">
        <v>46309</v>
      </c>
      <c r="F120" t="inlineStr">
        <is>
          <t>NORRBOTTENS LÄN</t>
        </is>
      </c>
      <c r="G120" t="inlineStr">
        <is>
          <t>BODEN</t>
        </is>
      </c>
      <c r="I120" t="n">
        <v>7.2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Videsparv</t>
        </is>
      </c>
      <c r="W120">
        <f>HYPERLINK("https://klasma.github.io/Logging_2582/artfynd/A 16217-2024 artfynd.xlsx", "A 16217-2024")</f>
        <v/>
      </c>
      <c r="X120">
        <f>HYPERLINK("https://klasma.github.io/Logging_2582/kartor/A 16217-2024 karta.png", "A 16217-2024")</f>
        <v/>
      </c>
      <c r="Y120">
        <f>HYPERLINK("https://klasma.github.io/Logging_2582/kartor_geotiff/A 16217-2024 georefererad karta.tif", "A 16217-2024")</f>
        <v/>
      </c>
      <c r="AA120">
        <f>HYPERLINK("https://klasma.github.io/Logging_2582/klagomål/A 16217-2024 FSC-klagomål.docx", "A 16217-2024")</f>
        <v/>
      </c>
      <c r="AB120">
        <f>HYPERLINK("https://klasma.github.io/Logging_2582/klagomålsmail/A 16217-2024 FSC-klagomål mail.docx", "A 16217-2024")</f>
        <v/>
      </c>
      <c r="AC120">
        <f>HYPERLINK("https://klasma.github.io/Logging_2582/tillsyn/A 16217-2024 tillsynsbegäran.docx", "A 16217-2024")</f>
        <v/>
      </c>
      <c r="AD120">
        <f>HYPERLINK("https://klasma.github.io/Logging_2582/tillsynsmail/A 16217-2024 tillsynsbegäran mail.docx", "A 16217-2024")</f>
        <v/>
      </c>
      <c r="AE120">
        <f>HYPERLINK("https://klasma.github.io/Logging_2582/fåglar/A 16217-2024 prioriterade fågelarter.docx", "A 16217-2024")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46309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42436-2025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46309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42436-2025 artfynd.xlsx", "A 42436-2025")</f>
        <v/>
      </c>
      <c r="X122">
        <f>HYPERLINK("https://klasma.github.io/Logging_2582/kartor/A 42436-2025 karta.png", "A 42436-2025")</f>
        <v/>
      </c>
      <c r="Y122">
        <f>HYPERLINK("https://klasma.github.io/Logging_2582/kartor_geotiff/A 42436-2025 georefererad karta.tif", "A 42436-2025")</f>
        <v/>
      </c>
      <c r="AA122">
        <f>HYPERLINK("https://klasma.github.io/Logging_2582/klagomål/A 42436-2025 FSC-klagomål.docx", "A 42436-2025")</f>
        <v/>
      </c>
      <c r="AB122">
        <f>HYPERLINK("https://klasma.github.io/Logging_2582/klagomålsmail/A 42436-2025 FSC-klagomål mail.docx", "A 42436-2025")</f>
        <v/>
      </c>
      <c r="AC122">
        <f>HYPERLINK("https://klasma.github.io/Logging_2582/tillsyn/A 42436-2025 tillsynsbegäran.docx", "A 42436-2025")</f>
        <v/>
      </c>
      <c r="AD122">
        <f>HYPERLINK("https://klasma.github.io/Logging_2582/tillsynsmail/A 42436-2025 tillsynsbegäran mail.docx", "A 42436-2025")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13568-2022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46309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Lavskrika</t>
        </is>
      </c>
      <c r="W124">
        <f>HYPERLINK("https://klasma.github.io/Logging_2582/artfynd/A 13568-2022 artfynd.xlsx", "A 13568-2022")</f>
        <v/>
      </c>
      <c r="X124">
        <f>HYPERLINK("https://klasma.github.io/Logging_2582/kartor/A 13568-2022 karta.png", "A 13568-2022")</f>
        <v/>
      </c>
      <c r="Y124">
        <f>HYPERLINK("https://klasma.github.io/Logging_2582/kartor_geotiff/A 13568-2022 georefererad karta.tif", "A 13568-2022")</f>
        <v/>
      </c>
      <c r="AA124">
        <f>HYPERLINK("https://klasma.github.io/Logging_2582/klagomål/A 13568-2022 FSC-klagomål.docx", "A 13568-2022")</f>
        <v/>
      </c>
      <c r="AB124">
        <f>HYPERLINK("https://klasma.github.io/Logging_2582/klagomålsmail/A 13568-2022 FSC-klagomål mail.docx", "A 13568-2022")</f>
        <v/>
      </c>
      <c r="AC124">
        <f>HYPERLINK("https://klasma.github.io/Logging_2582/tillsyn/A 13568-2022 tillsynsbegäran.docx", "A 13568-2022")</f>
        <v/>
      </c>
      <c r="AD124">
        <f>HYPERLINK("https://klasma.github.io/Logging_2582/tillsynsmail/A 13568-2022 tillsynsbegäran mail.docx", "A 13568-2022")</f>
        <v/>
      </c>
      <c r="AE124">
        <f>HYPERLINK("https://klasma.github.io/Logging_2582/fåglar/A 13568-2022 prioriterade fågelarter.docx", "A 13568-2022")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46309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41087-2024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45559</v>
      </c>
      <c r="E126" s="1" t="n">
        <v>46309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HYPERLINK("https://klasma.github.io/Logging_2582/artfynd/A 41087-2024 artfynd.xlsx", "A 41087-2024")</f>
        <v/>
      </c>
      <c r="X126">
        <f>HYPERLINK("https://klasma.github.io/Logging_2582/kartor/A 41087-2024 karta.png", "A 41087-2024")</f>
        <v/>
      </c>
      <c r="Y126">
        <f>HYPERLINK("https://klasma.github.io/Logging_2582/kartor_geotiff/A 41087-2024 georefererad karta.tif", "A 41087-2024")</f>
        <v/>
      </c>
      <c r="AA126">
        <f>HYPERLINK("https://klasma.github.io/Logging_2582/klagomål/A 41087-2024 FSC-klagomål.docx", "A 41087-2024")</f>
        <v/>
      </c>
      <c r="AB126">
        <f>HYPERLINK("https://klasma.github.io/Logging_2582/klagomålsmail/A 41087-2024 FSC-klagomål mail.docx", "A 41087-2024")</f>
        <v/>
      </c>
      <c r="AC126">
        <f>HYPERLINK("https://klasma.github.io/Logging_2582/tillsyn/A 41087-2024 tillsynsbegäran.docx", "A 41087-2024")</f>
        <v/>
      </c>
      <c r="AD126">
        <f>HYPERLINK("https://klasma.github.io/Logging_2582/tillsynsmail/A 41087-2024 tillsynsbegäran mail.docx", "A 41087-2024")</f>
        <v/>
      </c>
    </row>
    <row r="127" ht="15" customHeight="1">
      <c r="A127" t="inlineStr">
        <is>
          <t>A 48549-2025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46309</v>
      </c>
      <c r="F127" t="inlineStr">
        <is>
          <t>NORRBOTTENS LÄN</t>
        </is>
      </c>
      <c r="G127" t="inlineStr">
        <is>
          <t>BODEN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Gråspett</t>
        </is>
      </c>
      <c r="W127">
        <f>HYPERLINK("https://klasma.github.io/Logging_2582/artfynd/A 48549-2025 artfynd.xlsx", "A 48549-2025")</f>
        <v/>
      </c>
      <c r="X127">
        <f>HYPERLINK("https://klasma.github.io/Logging_2582/kartor/A 48549-2025 karta.png", "A 48549-2025")</f>
        <v/>
      </c>
      <c r="Y127">
        <f>HYPERLINK("https://klasma.github.io/Logging_2582/kartor_geotiff/A 48549-2025 georefererad karta.tif", "A 48549-2025")</f>
        <v/>
      </c>
      <c r="AA127">
        <f>HYPERLINK("https://klasma.github.io/Logging_2582/klagomål/A 48549-2025 FSC-klagomål.docx", "A 48549-2025")</f>
        <v/>
      </c>
      <c r="AB127">
        <f>HYPERLINK("https://klasma.github.io/Logging_2582/klagomålsmail/A 48549-2025 FSC-klagomål mail.docx", "A 48549-2025")</f>
        <v/>
      </c>
      <c r="AC127">
        <f>HYPERLINK("https://klasma.github.io/Logging_2582/tillsyn/A 48549-2025 tillsynsbegäran.docx", "A 48549-2025")</f>
        <v/>
      </c>
      <c r="AD127">
        <f>HYPERLINK("https://klasma.github.io/Logging_2582/tillsynsmail/A 48549-2025 tillsynsbegäran mail.docx", "A 48549-2025")</f>
        <v/>
      </c>
      <c r="AE127">
        <f>HYPERLINK("https://klasma.github.io/Logging_2582/fåglar/A 48549-2025 prioriterade fågelarter.docx", "A 48549-2025")</f>
        <v/>
      </c>
    </row>
    <row r="128" ht="15" customHeight="1">
      <c r="A128" t="inlineStr">
        <is>
          <t>A 32600-2024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46309</v>
      </c>
      <c r="F128" t="inlineStr">
        <is>
          <t>NORRBOTTENS LÄN</t>
        </is>
      </c>
      <c r="G128" t="inlineStr">
        <is>
          <t>BODEN</t>
        </is>
      </c>
      <c r="I128" t="n">
        <v>2.5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32600-2024 artfynd.xlsx", "A 32600-2024")</f>
        <v/>
      </c>
      <c r="X128">
        <f>HYPERLINK("https://klasma.github.io/Logging_2582/kartor/A 32600-2024 karta.png", "A 32600-2024")</f>
        <v/>
      </c>
      <c r="Y128">
        <f>HYPERLINK("https://klasma.github.io/Logging_2582/kartor_geotiff/A 32600-2024 georefererad karta.tif", "A 32600-2024")</f>
        <v/>
      </c>
      <c r="AA128">
        <f>HYPERLINK("https://klasma.github.io/Logging_2582/klagomål/A 32600-2024 FSC-klagomål.docx", "A 32600-2024")</f>
        <v/>
      </c>
      <c r="AB128">
        <f>HYPERLINK("https://klasma.github.io/Logging_2582/klagomålsmail/A 32600-2024 FSC-klagomål mail.docx", "A 32600-2024")</f>
        <v/>
      </c>
      <c r="AC128">
        <f>HYPERLINK("https://klasma.github.io/Logging_2582/tillsyn/A 32600-2024 tillsynsbegäran.docx", "A 32600-2024")</f>
        <v/>
      </c>
      <c r="AD128">
        <f>HYPERLINK("https://klasma.github.io/Logging_2582/tillsynsmail/A 32600-2024 tillsynsbegäran mail.docx", "A 32600-2024")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46309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4878-2026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46309</v>
      </c>
      <c r="F130" t="inlineStr">
        <is>
          <t>NORRBOTTENS LÄN</t>
        </is>
      </c>
      <c r="G130" t="inlineStr">
        <is>
          <t>BODEN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padda</t>
        </is>
      </c>
      <c r="W130">
        <f>HYPERLINK("https://klasma.github.io/Logging_2582/artfynd/A 4878-2026 artfynd.xlsx", "A 4878-2026")</f>
        <v/>
      </c>
      <c r="X130">
        <f>HYPERLINK("https://klasma.github.io/Logging_2582/kartor/A 4878-2026 karta.png", "A 4878-2026")</f>
        <v/>
      </c>
      <c r="Y130">
        <f>HYPERLINK("https://klasma.github.io/Logging_2582/kartor_geotiff/A 4878-2026 georefererad karta.tif", "A 4878-2026")</f>
        <v/>
      </c>
      <c r="AA130">
        <f>HYPERLINK("https://klasma.github.io/Logging_2582/klagomål/A 4878-2026 FSC-klagomål.docx", "A 4878-2026")</f>
        <v/>
      </c>
      <c r="AB130">
        <f>HYPERLINK("https://klasma.github.io/Logging_2582/klagomålsmail/A 4878-2026 FSC-klagomål mail.docx", "A 4878-2026")</f>
        <v/>
      </c>
      <c r="AC130">
        <f>HYPERLINK("https://klasma.github.io/Logging_2582/tillsyn/A 4878-2026 tillsynsbegäran.docx", "A 4878-2026")</f>
        <v/>
      </c>
      <c r="AD130">
        <f>HYPERLINK("https://klasma.github.io/Logging_2582/tillsynsmail/A 4878-2026 tillsynsbegäran mail.docx", "A 4878-2026")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46309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46309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46309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46309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38511-2025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46309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5.3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Knärot</t>
        </is>
      </c>
      <c r="W138">
        <f>HYPERLINK("https://klasma.github.io/Logging_2582/artfynd/A 38511-2025 artfynd.xlsx", "A 38511-2025")</f>
        <v/>
      </c>
      <c r="X138">
        <f>HYPERLINK("https://klasma.github.io/Logging_2582/kartor/A 38511-2025 karta.png", "A 38511-2025")</f>
        <v/>
      </c>
      <c r="Y138">
        <f>HYPERLINK("https://klasma.github.io/Logging_2582/kartor_geotiff/A 38511-2025 georefererad karta.tif", "A 38511-2025")</f>
        <v/>
      </c>
      <c r="Z138">
        <f>HYPERLINK("https://klasma.github.io/Logging_2582/knärot/A 38511-2025 karta knärot.png", "A 38511-2025")</f>
        <v/>
      </c>
      <c r="AA138">
        <f>HYPERLINK("https://klasma.github.io/Logging_2582/klagomål/A 38511-2025 FSC-klagomål.docx", "A 38511-2025")</f>
        <v/>
      </c>
      <c r="AB138">
        <f>HYPERLINK("https://klasma.github.io/Logging_2582/klagomålsmail/A 38511-2025 FSC-klagomål mail.docx", "A 38511-2025")</f>
        <v/>
      </c>
      <c r="AC138">
        <f>HYPERLINK("https://klasma.github.io/Logging_2582/tillsyn/A 38511-2025 tillsynsbegäran.docx", "A 38511-2025")</f>
        <v/>
      </c>
      <c r="AD138">
        <f>HYPERLINK("https://klasma.github.io/Logging_2582/tillsynsmail/A 38511-2025 tillsynsbegäran mail.docx", "A 38511-2025")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46309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60781-2025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46309</v>
      </c>
      <c r="F140" t="inlineStr">
        <is>
          <t>NORRBOTTENS LÄN</t>
        </is>
      </c>
      <c r="G140" t="inlineStr">
        <is>
          <t>BODEN</t>
        </is>
      </c>
      <c r="I140" t="n">
        <v>12.3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HYPERLINK("https://klasma.github.io/Logging_2582/artfynd/A 60781-2025 artfynd.xlsx", "A 60781-2025")</f>
        <v/>
      </c>
      <c r="X140">
        <f>HYPERLINK("https://klasma.github.io/Logging_2582/kartor/A 60781-2025 karta.png", "A 60781-2025")</f>
        <v/>
      </c>
      <c r="Y140">
        <f>HYPERLINK("https://klasma.github.io/Logging_2582/kartor_geotiff/A 60781-2025 georefererad karta.tif", "A 60781-2025")</f>
        <v/>
      </c>
      <c r="AA140">
        <f>HYPERLINK("https://klasma.github.io/Logging_2582/klagomål/A 60781-2025 FSC-klagomål.docx", "A 60781-2025")</f>
        <v/>
      </c>
      <c r="AB140">
        <f>HYPERLINK("https://klasma.github.io/Logging_2582/klagomålsmail/A 60781-2025 FSC-klagomål mail.docx", "A 60781-2025")</f>
        <v/>
      </c>
      <c r="AC140">
        <f>HYPERLINK("https://klasma.github.io/Logging_2582/tillsyn/A 60781-2025 tillsynsbegäran.docx", "A 60781-2025")</f>
        <v/>
      </c>
      <c r="AD140">
        <f>HYPERLINK("https://klasma.github.io/Logging_2582/tillsynsmail/A 60781-2025 tillsynsbegäran mail.docx", "A 60781-2025")</f>
        <v/>
      </c>
    </row>
    <row r="141" ht="15" customHeight="1">
      <c r="A141" t="inlineStr">
        <is>
          <t>A 62002-2025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46309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Vitgrynig nållav</t>
        </is>
      </c>
      <c r="W141">
        <f>HYPERLINK("https://klasma.github.io/Logging_2582/artfynd/A 62002-2025 artfynd.xlsx", "A 62002-2025")</f>
        <v/>
      </c>
      <c r="X141">
        <f>HYPERLINK("https://klasma.github.io/Logging_2582/kartor/A 62002-2025 karta.png", "A 62002-2025")</f>
        <v/>
      </c>
      <c r="Y141">
        <f>HYPERLINK("https://klasma.github.io/Logging_2582/kartor_geotiff/A 62002-2025 georefererad karta.tif", "A 62002-2025")</f>
        <v/>
      </c>
      <c r="AA141">
        <f>HYPERLINK("https://klasma.github.io/Logging_2582/klagomål/A 62002-2025 FSC-klagomål.docx", "A 62002-2025")</f>
        <v/>
      </c>
      <c r="AB141">
        <f>HYPERLINK("https://klasma.github.io/Logging_2582/klagomålsmail/A 62002-2025 FSC-klagomål mail.docx", "A 62002-2025")</f>
        <v/>
      </c>
      <c r="AC141">
        <f>HYPERLINK("https://klasma.github.io/Logging_2582/tillsyn/A 62002-2025 tillsynsbegäran.docx", "A 62002-2025")</f>
        <v/>
      </c>
      <c r="AD141">
        <f>HYPERLINK("https://klasma.github.io/Logging_2582/tillsynsmail/A 62002-2025 tillsynsbegäran mail.docx", "A 62002-2025")</f>
        <v/>
      </c>
    </row>
    <row r="142" ht="15" customHeight="1">
      <c r="A142" t="inlineStr">
        <is>
          <t>A 14329-2026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46309</v>
      </c>
      <c r="F142" t="inlineStr">
        <is>
          <t>NORRBOTTENS LÄN</t>
        </is>
      </c>
      <c r="G142" t="inlineStr">
        <is>
          <t>BODEN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Tjäder</t>
        </is>
      </c>
      <c r="W142">
        <f>HYPERLINK("https://klasma.github.io/Logging_2582/artfynd/A 14329-2026 artfynd.xlsx", "A 14329-2026")</f>
        <v/>
      </c>
      <c r="X142">
        <f>HYPERLINK("https://klasma.github.io/Logging_2582/kartor/A 14329-2026 karta.png", "A 14329-2026")</f>
        <v/>
      </c>
      <c r="Y142">
        <f>HYPERLINK("https://klasma.github.io/Logging_2582/kartor_geotiff/A 14329-2026 georefererad karta.tif", "A 14329-2026")</f>
        <v/>
      </c>
      <c r="AA142">
        <f>HYPERLINK("https://klasma.github.io/Logging_2582/klagomål/A 14329-2026 FSC-klagomål.docx", "A 14329-2026")</f>
        <v/>
      </c>
      <c r="AB142">
        <f>HYPERLINK("https://klasma.github.io/Logging_2582/klagomålsmail/A 14329-2026 FSC-klagomål mail.docx", "A 14329-2026")</f>
        <v/>
      </c>
      <c r="AC142">
        <f>HYPERLINK("https://klasma.github.io/Logging_2582/tillsyn/A 14329-2026 tillsynsbegäran.docx", "A 14329-2026")</f>
        <v/>
      </c>
      <c r="AD142">
        <f>HYPERLINK("https://klasma.github.io/Logging_2582/tillsynsmail/A 14329-2026 tillsynsbegäran mail.docx", "A 14329-2026")</f>
        <v/>
      </c>
      <c r="AE142">
        <f>HYPERLINK("https://klasma.github.io/Logging_2582/fåglar/A 14329-2026 prioriterade fågelarter.docx", "A 14329-2026")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46309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46309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21310-2026 artfynd.xlsx", "A 21310-2026")</f>
        <v/>
      </c>
      <c r="X144">
        <f>HYPERLINK("https://klasma.github.io/Logging_2582/kartor/A 21310-2026 karta.png", "A 21310-2026")</f>
        <v/>
      </c>
      <c r="Y144">
        <f>HYPERLINK("https://klasma.github.io/Logging_2582/kartor_geotiff/A 21310-2026 georefererad karta.tif", "A 21310-2026")</f>
        <v/>
      </c>
      <c r="AA144">
        <f>HYPERLINK("https://klasma.github.io/Logging_2582/klagomål/A 21310-2026 FSC-klagomål.docx", "A 21310-2026")</f>
        <v/>
      </c>
      <c r="AB144">
        <f>HYPERLINK("https://klasma.github.io/Logging_2582/klagomålsmail/A 21310-2026 FSC-klagomål mail.docx", "A 21310-2026")</f>
        <v/>
      </c>
      <c r="AC144">
        <f>HYPERLINK("https://klasma.github.io/Logging_2582/tillsyn/A 21310-2026 tillsynsbegäran.docx", "A 21310-2026")</f>
        <v/>
      </c>
      <c r="AD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24429-2026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46309</v>
      </c>
      <c r="F145" t="inlineStr">
        <is>
          <t>NORRBOTTENS LÄN</t>
        </is>
      </c>
      <c r="G145" t="inlineStr">
        <is>
          <t>BODEN</t>
        </is>
      </c>
      <c r="I145" t="n">
        <v>0.5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HYPERLINK("https://klasma.github.io/Logging_2582/artfynd/A 24429-2026 artfynd.xlsx", "A 24429-2026")</f>
        <v/>
      </c>
      <c r="X145">
        <f>HYPERLINK("https://klasma.github.io/Logging_2582/kartor/A 24429-2026 karta.png", "A 24429-2026")</f>
        <v/>
      </c>
      <c r="Y145">
        <f>HYPERLINK("https://klasma.github.io/Logging_2582/kartor_geotiff/A 24429-2026 georefererad karta.tif", "A 24429-2026")</f>
        <v/>
      </c>
      <c r="AA145">
        <f>HYPERLINK("https://klasma.github.io/Logging_2582/klagomål/A 24429-2026 FSC-klagomål.docx", "A 24429-2026")</f>
        <v/>
      </c>
      <c r="AB145">
        <f>HYPERLINK("https://klasma.github.io/Logging_2582/klagomålsmail/A 24429-2026 FSC-klagomål mail.docx", "A 24429-2026")</f>
        <v/>
      </c>
      <c r="AC145">
        <f>HYPERLINK("https://klasma.github.io/Logging_2582/tillsyn/A 24429-2026 tillsynsbegäran.docx", "A 24429-2026")</f>
        <v/>
      </c>
      <c r="AD145">
        <f>HYPERLINK("https://klasma.github.io/Logging_2582/tillsynsmail/A 24429-2026 tillsynsbegäran mail.docx", "A 24429-2026")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46309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46309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26438-2026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46309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Kolflarnlav</t>
        </is>
      </c>
      <c r="W149">
        <f>HYPERLINK("https://klasma.github.io/Logging_2582/artfynd/A 26438-2026 artfynd.xlsx", "A 26438-2026")</f>
        <v/>
      </c>
      <c r="X149">
        <f>HYPERLINK("https://klasma.github.io/Logging_2582/kartor/A 26438-2026 karta.png", "A 26438-2026")</f>
        <v/>
      </c>
      <c r="Y149">
        <f>HYPERLINK("https://klasma.github.io/Logging_2582/kartor_geotiff/A 26438-2026 georefererad karta.tif", "A 26438-2026")</f>
        <v/>
      </c>
      <c r="AA149">
        <f>HYPERLINK("https://klasma.github.io/Logging_2582/klagomål/A 26438-2026 FSC-klagomål.docx", "A 26438-2026")</f>
        <v/>
      </c>
      <c r="AB149">
        <f>HYPERLINK("https://klasma.github.io/Logging_2582/klagomålsmail/A 26438-2026 FSC-klagomål mail.docx", "A 26438-2026")</f>
        <v/>
      </c>
      <c r="AC149">
        <f>HYPERLINK("https://klasma.github.io/Logging_2582/tillsyn/A 26438-2026 tillsynsbegäran.docx", "A 26438-2026")</f>
        <v/>
      </c>
      <c r="AD149">
        <f>HYPERLINK("https://klasma.github.io/Logging_2582/tillsynsmail/A 26438-2026 tillsynsbegäran mail.docx", "A 26438-2026")</f>
        <v/>
      </c>
    </row>
    <row r="150" ht="15" customHeight="1">
      <c r="A150" t="inlineStr">
        <is>
          <t>A 26690-2026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46309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26690-2026 artfynd.xlsx", "A 26690-2026")</f>
        <v/>
      </c>
      <c r="X150">
        <f>HYPERLINK("https://klasma.github.io/Logging_2582/kartor/A 26690-2026 karta.png", "A 26690-2026")</f>
        <v/>
      </c>
      <c r="Y150">
        <f>HYPERLINK("https://klasma.github.io/Logging_2582/kartor_geotiff/A 26690-2026 georefererad karta.tif", "A 26690-2026")</f>
        <v/>
      </c>
      <c r="Z150">
        <f>HYPERLINK("https://klasma.github.io/Logging_2582/knärot/A 26690-2026 karta knärot.png", "A 26690-2026")</f>
        <v/>
      </c>
      <c r="AA150">
        <f>HYPERLINK("https://klasma.github.io/Logging_2582/klagomål/A 26690-2026 FSC-klagomål.docx", "A 26690-2026")</f>
        <v/>
      </c>
      <c r="AB150">
        <f>HYPERLINK("https://klasma.github.io/Logging_2582/klagomålsmail/A 26690-2026 FSC-klagomål mail.docx", "A 26690-2026")</f>
        <v/>
      </c>
      <c r="AC150">
        <f>HYPERLINK("https://klasma.github.io/Logging_2582/tillsyn/A 26690-2026 tillsynsbegäran.docx", "A 26690-2026")</f>
        <v/>
      </c>
      <c r="AD150">
        <f>HYPERLINK("https://klasma.github.io/Logging_2582/tillsynsmail/A 26690-2026 tillsynsbegäran mail.docx", "A 26690-2026")</f>
        <v/>
      </c>
    </row>
    <row r="151" ht="15" customHeight="1">
      <c r="A151" t="inlineStr">
        <is>
          <t>A 19396-2022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46309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13.1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HYPERLINK("https://klasma.github.io/Logging_2582/artfynd/A 19396-2022 artfynd.xlsx", "A 19396-2022")</f>
        <v/>
      </c>
      <c r="X151">
        <f>HYPERLINK("https://klasma.github.io/Logging_2582/kartor/A 19396-2022 karta.png", "A 19396-2022")</f>
        <v/>
      </c>
      <c r="Y151">
        <f>HYPERLINK("https://klasma.github.io/Logging_2582/kartor_geotiff/A 19396-2022 georefererad karta.tif", "A 19396-2022")</f>
        <v/>
      </c>
      <c r="AA151">
        <f>HYPERLINK("https://klasma.github.io/Logging_2582/klagomål/A 19396-2022 FSC-klagomål.docx", "A 19396-2022")</f>
        <v/>
      </c>
      <c r="AB151">
        <f>HYPERLINK("https://klasma.github.io/Logging_2582/klagomålsmail/A 19396-2022 FSC-klagomål mail.docx", "A 19396-2022")</f>
        <v/>
      </c>
      <c r="AC151">
        <f>HYPERLINK("https://klasma.github.io/Logging_2582/tillsyn/A 19396-2022 tillsynsbegäran.docx", "A 19396-2022")</f>
        <v/>
      </c>
      <c r="AD151">
        <f>HYPERLINK("https://klasma.github.io/Logging_2582/tillsynsmail/A 19396-2022 tillsynsbegäran mail.docx", "A 19396-2022")</f>
        <v/>
      </c>
    </row>
    <row r="152" ht="15" customHeight="1">
      <c r="A152" t="inlineStr">
        <is>
          <t>A 29875-2026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46309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HYPERLINK("https://klasma.github.io/Logging_2582/artfynd/A 29875-2026 artfynd.xlsx", "A 29875-2026")</f>
        <v/>
      </c>
      <c r="X152">
        <f>HYPERLINK("https://klasma.github.io/Logging_2582/kartor/A 29875-2026 karta.png", "A 29875-2026")</f>
        <v/>
      </c>
      <c r="Y152">
        <f>HYPERLINK("https://klasma.github.io/Logging_2582/kartor_geotiff/A 29875-2026 georefererad karta.tif", "A 29875-2026")</f>
        <v/>
      </c>
      <c r="AA152">
        <f>HYPERLINK("https://klasma.github.io/Logging_2582/klagomål/A 29875-2026 FSC-klagomål.docx", "A 29875-2026")</f>
        <v/>
      </c>
      <c r="AB152">
        <f>HYPERLINK("https://klasma.github.io/Logging_2582/klagomålsmail/A 29875-2026 FSC-klagomål mail.docx", "A 29875-2026")</f>
        <v/>
      </c>
      <c r="AC152">
        <f>HYPERLINK("https://klasma.github.io/Logging_2582/tillsyn/A 29875-2026 tillsynsbegäran.docx", "A 29875-2026")</f>
        <v/>
      </c>
      <c r="AD152">
        <f>HYPERLINK("https://klasma.github.io/Logging_2582/tillsynsmail/A 29875-2026 tillsynsbegäran mail.docx", "A 29875-2026")</f>
        <v/>
      </c>
    </row>
    <row r="153" ht="15" customHeight="1">
      <c r="A153" t="inlineStr">
        <is>
          <t>A 665-2023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44925</v>
      </c>
      <c r="E153" s="1" t="n">
        <v>46309</v>
      </c>
      <c r="F153" t="inlineStr">
        <is>
          <t>NORRBOTTENS LÄN</t>
        </is>
      </c>
      <c r="G153" t="inlineStr">
        <is>
          <t>BODEN</t>
        </is>
      </c>
      <c r="I153" t="n">
        <v>0.9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HYPERLINK("https://klasma.github.io/Logging_2582/artfynd/A 665-2023 artfynd.xlsx", "A 665-2023")</f>
        <v/>
      </c>
      <c r="X153">
        <f>HYPERLINK("https://klasma.github.io/Logging_2582/kartor/A 665-2023 karta.png", "A 665-2023")</f>
        <v/>
      </c>
      <c r="Y153">
        <f>HYPERLINK("https://klasma.github.io/Logging_2582/kartor_geotiff/A 665-2023 georefererad karta.tif", "A 665-2023")</f>
        <v/>
      </c>
      <c r="AA153">
        <f>HYPERLINK("https://klasma.github.io/Logging_2582/klagomål/A 665-2023 FSC-klagomål.docx", "A 665-2023")</f>
        <v/>
      </c>
      <c r="AB153">
        <f>HYPERLINK("https://klasma.github.io/Logging_2582/klagomålsmail/A 665-2023 FSC-klagomål mail.docx", "A 665-2023")</f>
        <v/>
      </c>
      <c r="AC153">
        <f>HYPERLINK("https://klasma.github.io/Logging_2582/tillsyn/A 665-2023 tillsynsbegäran.docx", "A 665-2023")</f>
        <v/>
      </c>
      <c r="AD153">
        <f>HYPERLINK("https://klasma.github.io/Logging_2582/tillsynsmail/A 665-2023 tillsynsbegäran mail.docx", "A 665-2023")</f>
        <v/>
      </c>
      <c r="AE153">
        <f>HYPERLINK("https://klasma.github.io/Logging_2582/fåglar/A 665-2023 prioriterade fågelarter.docx", "A 665-2023")</f>
        <v/>
      </c>
    </row>
    <row r="154" ht="15" customHeight="1">
      <c r="A154" t="inlineStr">
        <is>
          <t>A 2568-2024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46309</v>
      </c>
      <c r="F154" t="inlineStr">
        <is>
          <t>NORRBOTTENS LÄN</t>
        </is>
      </c>
      <c r="G154" t="inlineStr">
        <is>
          <t>BODEN</t>
        </is>
      </c>
      <c r="I154" t="n">
        <v>1.6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HYPERLINK("https://klasma.github.io/Logging_2582/artfynd/A 2568-2024 artfynd.xlsx", "A 2568-2024")</f>
        <v/>
      </c>
      <c r="X154">
        <f>HYPERLINK("https://klasma.github.io/Logging_2582/kartor/A 2568-2024 karta.png", "A 2568-2024")</f>
        <v/>
      </c>
      <c r="Y154">
        <f>HYPERLINK("https://klasma.github.io/Logging_2582/kartor_geotiff/A 2568-2024 georefererad karta.tif", "A 2568-2024")</f>
        <v/>
      </c>
      <c r="AA154">
        <f>HYPERLINK("https://klasma.github.io/Logging_2582/klagomål/A 2568-2024 FSC-klagomål.docx", "A 2568-2024")</f>
        <v/>
      </c>
      <c r="AB154">
        <f>HYPERLINK("https://klasma.github.io/Logging_2582/klagomålsmail/A 2568-2024 FSC-klagomål mail.docx", "A 2568-2024")</f>
        <v/>
      </c>
      <c r="AC154">
        <f>HYPERLINK("https://klasma.github.io/Logging_2582/tillsyn/A 2568-2024 tillsynsbegäran.docx", "A 2568-2024")</f>
        <v/>
      </c>
      <c r="AD154">
        <f>HYPERLINK("https://klasma.github.io/Logging_2582/tillsynsmail/A 2568-2024 tillsynsbegäran mail.docx", "A 2568-2024")</f>
        <v/>
      </c>
    </row>
    <row r="155" ht="15" customHeight="1">
      <c r="A155" t="inlineStr">
        <is>
          <t>A 36734-2026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46309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Fläcknycklar</t>
        </is>
      </c>
      <c r="W155">
        <f>HYPERLINK("https://klasma.github.io/Logging_2582/artfynd/A 36734-2026 artfynd.xlsx", "A 36734-2026")</f>
        <v/>
      </c>
      <c r="X155">
        <f>HYPERLINK("https://klasma.github.io/Logging_2582/kartor/A 36734-2026 karta.png", "A 36734-2026")</f>
        <v/>
      </c>
      <c r="Y155">
        <f>HYPERLINK("https://klasma.github.io/Logging_2582/kartor_geotiff/A 36734-2026 georefererad karta.tif", "A 36734-2026")</f>
        <v/>
      </c>
      <c r="AA155">
        <f>HYPERLINK("https://klasma.github.io/Logging_2582/klagomål/A 36734-2026 FSC-klagomål.docx", "A 36734-2026")</f>
        <v/>
      </c>
      <c r="AB155">
        <f>HYPERLINK("https://klasma.github.io/Logging_2582/klagomålsmail/A 36734-2026 FSC-klagomål mail.docx", "A 36734-2026")</f>
        <v/>
      </c>
      <c r="AC155">
        <f>HYPERLINK("https://klasma.github.io/Logging_2582/tillsyn/A 36734-2026 tillsynsbegäran.docx", "A 36734-2026")</f>
        <v/>
      </c>
      <c r="AD155">
        <f>HYPERLINK("https://klasma.github.io/Logging_2582/tillsynsmail/A 36734-2026 tillsynsbegäran mail.docx", "A 36734-2026")</f>
        <v/>
      </c>
    </row>
    <row r="156" ht="15" customHeight="1">
      <c r="A156" t="inlineStr">
        <is>
          <t>A 36130-2026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46267</v>
      </c>
      <c r="E156" s="1" t="n">
        <v>46309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Vedflamlav</t>
        </is>
      </c>
      <c r="W156">
        <f>HYPERLINK("https://klasma.github.io/Logging_2582/artfynd/A 36130-2026 artfynd.xlsx", "A 36130-2026")</f>
        <v/>
      </c>
      <c r="X156">
        <f>HYPERLINK("https://klasma.github.io/Logging_2582/kartor/A 36130-2026 karta.png", "A 36130-2026")</f>
        <v/>
      </c>
      <c r="Y156">
        <f>HYPERLINK("https://klasma.github.io/Logging_2582/kartor_geotiff/A 36130-2026 georefererad karta.tif", "A 36130-2026")</f>
        <v/>
      </c>
      <c r="AA156">
        <f>HYPERLINK("https://klasma.github.io/Logging_2582/klagomål/A 36130-2026 FSC-klagomål.docx", "A 36130-2026")</f>
        <v/>
      </c>
      <c r="AB156">
        <f>HYPERLINK("https://klasma.github.io/Logging_2582/klagomålsmail/A 36130-2026 FSC-klagomål mail.docx", "A 36130-2026")</f>
        <v/>
      </c>
      <c r="AC156">
        <f>HYPERLINK("https://klasma.github.io/Logging_2582/tillsyn/A 36130-2026 tillsynsbegäran.docx", "A 36130-2026")</f>
        <v/>
      </c>
      <c r="AD156">
        <f>HYPERLINK("https://klasma.github.io/Logging_2582/tillsynsmail/A 36130-2026 tillsynsbegäran mail.docx", "A 36130-2026")</f>
        <v/>
      </c>
    </row>
    <row r="157" ht="15" customHeight="1">
      <c r="A157" t="inlineStr">
        <is>
          <t>A 36749-2026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46309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8.699999999999999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Vedflamlav</t>
        </is>
      </c>
      <c r="W157">
        <f>HYPERLINK("https://klasma.github.io/Logging_2582/artfynd/A 36749-2026 artfynd.xlsx", "A 36749-2026")</f>
        <v/>
      </c>
      <c r="X157">
        <f>HYPERLINK("https://klasma.github.io/Logging_2582/kartor/A 36749-2026 karta.png", "A 36749-2026")</f>
        <v/>
      </c>
      <c r="Y157">
        <f>HYPERLINK("https://klasma.github.io/Logging_2582/kartor_geotiff/A 36749-2026 georefererad karta.tif", "A 36749-2026")</f>
        <v/>
      </c>
      <c r="AA157">
        <f>HYPERLINK("https://klasma.github.io/Logging_2582/klagomål/A 36749-2026 FSC-klagomål.docx", "A 36749-2026")</f>
        <v/>
      </c>
      <c r="AB157">
        <f>HYPERLINK("https://klasma.github.io/Logging_2582/klagomålsmail/A 36749-2026 FSC-klagomål mail.docx", "A 36749-2026")</f>
        <v/>
      </c>
      <c r="AC157">
        <f>HYPERLINK("https://klasma.github.io/Logging_2582/tillsyn/A 36749-2026 tillsynsbegäran.docx", "A 36749-2026")</f>
        <v/>
      </c>
      <c r="AD157">
        <f>HYPERLINK("https://klasma.github.io/Logging_2582/tillsynsmail/A 36749-2026 tillsynsbegäran mail.docx", "A 36749-2026")</f>
        <v/>
      </c>
    </row>
    <row r="158" ht="15" customHeight="1">
      <c r="A158" t="inlineStr">
        <is>
          <t>A 36743-2024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46309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HYPERLINK("https://klasma.github.io/Logging_2582/artfynd/A 36743-2024 artfynd.xlsx", "A 36743-2024")</f>
        <v/>
      </c>
      <c r="X158">
        <f>HYPERLINK("https://klasma.github.io/Logging_2582/kartor/A 36743-2024 karta.png", "A 36743-2024")</f>
        <v/>
      </c>
      <c r="Y158">
        <f>HYPERLINK("https://klasma.github.io/Logging_2582/kartor_geotiff/A 36743-2024 georefererad karta.tif", "A 36743-2024")</f>
        <v/>
      </c>
      <c r="AA158">
        <f>HYPERLINK("https://klasma.github.io/Logging_2582/klagomål/A 36743-2024 FSC-klagomål.docx", "A 36743-2024")</f>
        <v/>
      </c>
      <c r="AB158">
        <f>HYPERLINK("https://klasma.github.io/Logging_2582/klagomålsmail/A 36743-2024 FSC-klagomål mail.docx", "A 36743-2024")</f>
        <v/>
      </c>
      <c r="AC158">
        <f>HYPERLINK("https://klasma.github.io/Logging_2582/tillsyn/A 36743-2024 tillsynsbegäran.docx", "A 36743-2024")</f>
        <v/>
      </c>
      <c r="AD158">
        <f>HYPERLINK("https://klasma.github.io/Logging_2582/tillsynsmail/A 36743-2024 tillsynsbegäran mail.docx", "A 36743-2024")</f>
        <v/>
      </c>
    </row>
    <row r="159" ht="15" customHeight="1">
      <c r="A159" t="inlineStr">
        <is>
          <t>A 32159-2026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46236</v>
      </c>
      <c r="E159" s="1" t="n">
        <v>46309</v>
      </c>
      <c r="F159" t="inlineStr">
        <is>
          <t>NORRBOTTENS LÄN</t>
        </is>
      </c>
      <c r="G159" t="inlineStr">
        <is>
          <t>BODEN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Vanlig padda</t>
        </is>
      </c>
      <c r="W159">
        <f>HYPERLINK("https://klasma.github.io/Logging_2582/artfynd/A 32159-2026 artfynd.xlsx", "A 32159-2026")</f>
        <v/>
      </c>
      <c r="X159">
        <f>HYPERLINK("https://klasma.github.io/Logging_2582/kartor/A 32159-2026 karta.png", "A 32159-2026")</f>
        <v/>
      </c>
      <c r="Y159">
        <f>HYPERLINK("https://klasma.github.io/Logging_2582/kartor_geotiff/A 32159-2026 georefererad karta.tif", "A 32159-2026")</f>
        <v/>
      </c>
      <c r="AA159">
        <f>HYPERLINK("https://klasma.github.io/Logging_2582/klagomål/A 32159-2026 FSC-klagomål.docx", "A 32159-2026")</f>
        <v/>
      </c>
      <c r="AB159">
        <f>HYPERLINK("https://klasma.github.io/Logging_2582/klagomålsmail/A 32159-2026 FSC-klagomål mail.docx", "A 32159-2026")</f>
        <v/>
      </c>
      <c r="AC159">
        <f>HYPERLINK("https://klasma.github.io/Logging_2582/tillsyn/A 32159-2026 tillsynsbegäran.docx", "A 32159-2026")</f>
        <v/>
      </c>
      <c r="AD159">
        <f>HYPERLINK("https://klasma.github.io/Logging_2582/tillsynsmail/A 32159-2026 tillsynsbegäran mail.docx", "A 32159-2026")</f>
        <v/>
      </c>
    </row>
    <row r="160" ht="15" customHeight="1">
      <c r="A160" t="inlineStr">
        <is>
          <t>A 38395-2026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46282</v>
      </c>
      <c r="E160" s="1" t="n">
        <v>46309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HYPERLINK("https://klasma.github.io/Logging_2582/artfynd/A 38395-2026 artfynd.xlsx", "A 38395-2026")</f>
        <v/>
      </c>
      <c r="X160">
        <f>HYPERLINK("https://klasma.github.io/Logging_2582/kartor/A 38395-2026 karta.png", "A 38395-2026")</f>
        <v/>
      </c>
      <c r="Y160">
        <f>HYPERLINK("https://klasma.github.io/Logging_2582/kartor_geotiff/A 38395-2026 georefererad karta.tif", "A 38395-2026")</f>
        <v/>
      </c>
      <c r="AA160">
        <f>HYPERLINK("https://klasma.github.io/Logging_2582/klagomål/A 38395-2026 FSC-klagomål.docx", "A 38395-2026")</f>
        <v/>
      </c>
      <c r="AB160">
        <f>HYPERLINK("https://klasma.github.io/Logging_2582/klagomålsmail/A 38395-2026 FSC-klagomål mail.docx", "A 38395-2026")</f>
        <v/>
      </c>
      <c r="AC160">
        <f>HYPERLINK("https://klasma.github.io/Logging_2582/tillsyn/A 38395-2026 tillsynsbegäran.docx", "A 38395-2026")</f>
        <v/>
      </c>
      <c r="AD160">
        <f>HYPERLINK("https://klasma.github.io/Logging_2582/tillsynsmail/A 38395-2026 tillsynsbegäran mail.docx", "A 38395-2026")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46309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68514-2021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44529</v>
      </c>
      <c r="E162" s="1" t="n">
        <v>46309</v>
      </c>
      <c r="F162" t="inlineStr">
        <is>
          <t>NORRBOTTENS LÄN</t>
        </is>
      </c>
      <c r="G162" t="inlineStr">
        <is>
          <t>BODEN</t>
        </is>
      </c>
      <c r="I162" t="n">
        <v>6.2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HYPERLINK("https://klasma.github.io/Logging_2582/artfynd/A 68514-2021 artfynd.xlsx", "A 68514-2021")</f>
        <v/>
      </c>
      <c r="X162">
        <f>HYPERLINK("https://klasma.github.io/Logging_2582/kartor/A 68514-2021 karta.png", "A 68514-2021")</f>
        <v/>
      </c>
      <c r="Y162">
        <f>HYPERLINK("https://klasma.github.io/Logging_2582/kartor_geotiff/A 68514-2021 georefererad karta.tif", "A 68514-2021")</f>
        <v/>
      </c>
      <c r="Z162">
        <f>HYPERLINK("https://klasma.github.io/Logging_2582/knärot/A 68514-2021 karta knärot.png", "A 68514-2021")</f>
        <v/>
      </c>
      <c r="AA162">
        <f>HYPERLINK("https://klasma.github.io/Logging_2582/klagomål/A 68514-2021 FSC-klagomål.docx", "A 68514-2021")</f>
        <v/>
      </c>
      <c r="AB162">
        <f>HYPERLINK("https://klasma.github.io/Logging_2582/klagomålsmail/A 68514-2021 FSC-klagomål mail.docx", "A 68514-2021")</f>
        <v/>
      </c>
      <c r="AC162">
        <f>HYPERLINK("https://klasma.github.io/Logging_2582/tillsyn/A 68514-2021 tillsynsbegäran.docx", "A 68514-2021")</f>
        <v/>
      </c>
      <c r="AD162">
        <f>HYPERLINK("https://klasma.github.io/Logging_2582/tillsynsmail/A 68514-2021 tillsynsbegäran mail.docx", "A 68514-2021")</f>
        <v/>
      </c>
      <c r="AE162">
        <f>HYPERLINK("https://klasma.github.io/Logging_2582/fåglar/A 68514-2021 prioriterade fågelarter.docx", "A 68514-2021")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46309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46309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46309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46309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46309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46309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46309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46309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46309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46309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46309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46309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46309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46309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46309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46309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46309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46309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46309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46309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46309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46309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46309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46309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46309</v>
      </c>
      <c r="F187" t="inlineStr">
        <is>
          <t>NORRBOTTENS LÄN</t>
        </is>
      </c>
      <c r="G187" t="inlineStr">
        <is>
          <t>BODEN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46309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46309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46309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46309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46309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46309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46309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46309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46309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46309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55536-2022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46309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46309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46309</v>
      </c>
      <c r="F200" t="inlineStr">
        <is>
          <t>NORRBOTTENS LÄN</t>
        </is>
      </c>
      <c r="G200" t="inlineStr">
        <is>
          <t>BODEN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46309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46309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46309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46309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46309</v>
      </c>
      <c r="F205" t="inlineStr">
        <is>
          <t>NORRBOTTENS LÄN</t>
        </is>
      </c>
      <c r="G205" t="inlineStr">
        <is>
          <t>BODEN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46309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46309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46309</v>
      </c>
      <c r="F208" t="inlineStr">
        <is>
          <t>NORRBOTTENS LÄN</t>
        </is>
      </c>
      <c r="G208" t="inlineStr">
        <is>
          <t>BODEN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46309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46309</v>
      </c>
      <c r="F210" t="inlineStr">
        <is>
          <t>NORRBOTTENS LÄN</t>
        </is>
      </c>
      <c r="G210" t="inlineStr">
        <is>
          <t>BODEN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46309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46309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46309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46309</v>
      </c>
      <c r="F214" t="inlineStr">
        <is>
          <t>NORRBOTTENS LÄN</t>
        </is>
      </c>
      <c r="G214" t="inlineStr">
        <is>
          <t>BODEN</t>
        </is>
      </c>
      <c r="H214" t="inlineStr">
        <is>
          <t>Övriga statliga verk och myndigheter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46309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46309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46309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46309</v>
      </c>
      <c r="F218" t="inlineStr">
        <is>
          <t>NORRBOTTENS LÄN</t>
        </is>
      </c>
      <c r="G218" t="inlineStr">
        <is>
          <t>BODEN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46309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46309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46309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46309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46309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46309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46309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46309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46309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46309</v>
      </c>
      <c r="F228" t="inlineStr">
        <is>
          <t>NORRBOTTENS LÄN</t>
        </is>
      </c>
      <c r="G228" t="inlineStr">
        <is>
          <t>BODEN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46309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43969-2024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45572</v>
      </c>
      <c r="E230" s="1" t="n">
        <v>46309</v>
      </c>
      <c r="F230" t="inlineStr">
        <is>
          <t>NORRBOTTENS LÄN</t>
        </is>
      </c>
      <c r="G230" t="inlineStr">
        <is>
          <t>BODEN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46309</v>
      </c>
      <c r="F231" t="inlineStr">
        <is>
          <t>NORRBOTTENS LÄN</t>
        </is>
      </c>
      <c r="G231" t="inlineStr">
        <is>
          <t>BODEN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46309</v>
      </c>
      <c r="F232" t="inlineStr">
        <is>
          <t>NORRBOTTENS LÄN</t>
        </is>
      </c>
      <c r="G232" t="inlineStr">
        <is>
          <t>BODEN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46309</v>
      </c>
      <c r="F233" t="inlineStr">
        <is>
          <t>NORRBOTTENS LÄN</t>
        </is>
      </c>
      <c r="G233" t="inlineStr">
        <is>
          <t>BODEN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46309</v>
      </c>
      <c r="F234" t="inlineStr">
        <is>
          <t>NORRBOTTENS LÄN</t>
        </is>
      </c>
      <c r="G234" t="inlineStr">
        <is>
          <t>BODEN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46309</v>
      </c>
      <c r="F235" t="inlineStr">
        <is>
          <t>NORRBOTTENS LÄN</t>
        </is>
      </c>
      <c r="G235" t="inlineStr">
        <is>
          <t>BODEN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46309</v>
      </c>
      <c r="F236" t="inlineStr">
        <is>
          <t>NORRBOTTENS LÄN</t>
        </is>
      </c>
      <c r="G236" t="inlineStr">
        <is>
          <t>BODEN</t>
        </is>
      </c>
      <c r="H236" t="inlineStr">
        <is>
          <t>Övriga statliga verk och myndigheter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46309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46309</v>
      </c>
      <c r="F238" t="inlineStr">
        <is>
          <t>NORRBOTTENS LÄN</t>
        </is>
      </c>
      <c r="G238" t="inlineStr">
        <is>
          <t>BODEN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46309</v>
      </c>
      <c r="F239" t="inlineStr">
        <is>
          <t>NORRBOTTENS LÄN</t>
        </is>
      </c>
      <c r="G239" t="inlineStr">
        <is>
          <t>BODEN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45429</v>
      </c>
      <c r="E240" s="1" t="n">
        <v>46309</v>
      </c>
      <c r="F240" t="inlineStr">
        <is>
          <t>NORRBOTTENS LÄN</t>
        </is>
      </c>
      <c r="G240" t="inlineStr">
        <is>
          <t>BODEN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46309</v>
      </c>
      <c r="F241" t="inlineStr">
        <is>
          <t>NORRBOTTENS LÄN</t>
        </is>
      </c>
      <c r="G241" t="inlineStr">
        <is>
          <t>BODEN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45379</v>
      </c>
      <c r="E242" s="1" t="n">
        <v>46309</v>
      </c>
      <c r="F242" t="inlineStr">
        <is>
          <t>NORRBOTTENS LÄN</t>
        </is>
      </c>
      <c r="G242" t="inlineStr">
        <is>
          <t>BODEN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23321-2025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45791</v>
      </c>
      <c r="E243" s="1" t="n">
        <v>46309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74264-2021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46309</v>
      </c>
      <c r="F244" t="inlineStr">
        <is>
          <t>NORRBOTTENS LÄN</t>
        </is>
      </c>
      <c r="G244" t="inlineStr">
        <is>
          <t>BODEN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46012</v>
      </c>
      <c r="E245" s="1" t="n">
        <v>46309</v>
      </c>
      <c r="F245" t="inlineStr">
        <is>
          <t>NORRBOTTENS LÄN</t>
        </is>
      </c>
      <c r="G245" t="inlineStr">
        <is>
          <t>BODEN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46012</v>
      </c>
      <c r="E246" s="1" t="n">
        <v>46309</v>
      </c>
      <c r="F246" t="inlineStr">
        <is>
          <t>NORRBOTTENS LÄN</t>
        </is>
      </c>
      <c r="G246" t="inlineStr">
        <is>
          <t>BODEN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46309</v>
      </c>
      <c r="F247" t="inlineStr">
        <is>
          <t>NORRBOTTENS LÄN</t>
        </is>
      </c>
      <c r="G247" t="inlineStr">
        <is>
          <t>BODEN</t>
        </is>
      </c>
      <c r="H247" t="inlineStr">
        <is>
          <t>Övriga statliga verk och myndigheter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46309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46020</v>
      </c>
      <c r="E249" s="1" t="n">
        <v>46309</v>
      </c>
      <c r="F249" t="inlineStr">
        <is>
          <t>NORRBOTTENS LÄN</t>
        </is>
      </c>
      <c r="G249" t="inlineStr">
        <is>
          <t>BODEN</t>
        </is>
      </c>
      <c r="I249" t="n">
        <v>12.5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46309</v>
      </c>
      <c r="F250" t="inlineStr">
        <is>
          <t>NORRBOTTENS LÄN</t>
        </is>
      </c>
      <c r="G250" t="inlineStr">
        <is>
          <t>BODEN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46309</v>
      </c>
      <c r="F251" t="inlineStr">
        <is>
          <t>NORRBOTTENS LÄN</t>
        </is>
      </c>
      <c r="G251" t="inlineStr">
        <is>
          <t>BODEN</t>
        </is>
      </c>
      <c r="I251" t="n">
        <v>9.6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54590-2022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44883</v>
      </c>
      <c r="E252" s="1" t="n">
        <v>46309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45793</v>
      </c>
      <c r="E253" s="1" t="n">
        <v>46309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46309</v>
      </c>
      <c r="F254" t="inlineStr">
        <is>
          <t>NORRBOTTENS LÄN</t>
        </is>
      </c>
      <c r="G254" t="inlineStr">
        <is>
          <t>BODEN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48427-2024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45590</v>
      </c>
      <c r="E255" s="1" t="n">
        <v>46309</v>
      </c>
      <c r="F255" t="inlineStr">
        <is>
          <t>NORRBOTTENS LÄN</t>
        </is>
      </c>
      <c r="G255" t="inlineStr">
        <is>
          <t>BODEN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46309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31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46309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46309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46309</v>
      </c>
      <c r="F259" t="inlineStr">
        <is>
          <t>NORRBOTTENS LÄN</t>
        </is>
      </c>
      <c r="G259" t="inlineStr">
        <is>
          <t>BODEN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46309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46309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15.8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45797</v>
      </c>
      <c r="E262" s="1" t="n">
        <v>46309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46309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45419</v>
      </c>
      <c r="E264" s="1" t="n">
        <v>46309</v>
      </c>
      <c r="F264" t="inlineStr">
        <is>
          <t>NORRBOTTENS LÄN</t>
        </is>
      </c>
      <c r="G264" t="inlineStr">
        <is>
          <t>BODEN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44862</v>
      </c>
      <c r="E265" s="1" t="n">
        <v>46309</v>
      </c>
      <c r="F265" t="inlineStr">
        <is>
          <t>NORRBOTTENS LÄN</t>
        </is>
      </c>
      <c r="G265" t="inlineStr">
        <is>
          <t>BODEN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45649</v>
      </c>
      <c r="E266" s="1" t="n">
        <v>46309</v>
      </c>
      <c r="F266" t="inlineStr">
        <is>
          <t>NORRBOTTENS LÄN</t>
        </is>
      </c>
      <c r="G266" t="inlineStr">
        <is>
          <t>BODEN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45799</v>
      </c>
      <c r="E267" s="1" t="n">
        <v>46309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45516</v>
      </c>
      <c r="E268" s="1" t="n">
        <v>46309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45516</v>
      </c>
      <c r="E269" s="1" t="n">
        <v>46309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45649</v>
      </c>
      <c r="E270" s="1" t="n">
        <v>46309</v>
      </c>
      <c r="F270" t="inlineStr">
        <is>
          <t>NORRBOTTENS LÄN</t>
        </is>
      </c>
      <c r="G270" t="inlineStr">
        <is>
          <t>BODEN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46020</v>
      </c>
      <c r="E271" s="1" t="n">
        <v>46309</v>
      </c>
      <c r="F271" t="inlineStr">
        <is>
          <t>NORRBOTTENS LÄN</t>
        </is>
      </c>
      <c r="G271" t="inlineStr">
        <is>
          <t>BODEN</t>
        </is>
      </c>
      <c r="I271" t="n">
        <v>10.9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60466-2024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45643</v>
      </c>
      <c r="E272" s="1" t="n">
        <v>46309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46309</v>
      </c>
      <c r="F273" t="inlineStr">
        <is>
          <t>NORRBOTTENS LÄN</t>
        </is>
      </c>
      <c r="G273" t="inlineStr">
        <is>
          <t>BODEN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46309</v>
      </c>
      <c r="F274" t="inlineStr">
        <is>
          <t>NORRBOTTENS LÄN</t>
        </is>
      </c>
      <c r="G274" t="inlineStr">
        <is>
          <t>BODEN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45764</v>
      </c>
      <c r="E275" s="1" t="n">
        <v>46309</v>
      </c>
      <c r="F275" t="inlineStr">
        <is>
          <t>NORRBOTTENS LÄN</t>
        </is>
      </c>
      <c r="G275" t="inlineStr">
        <is>
          <t>BODEN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46309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46309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39717-2025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46309</v>
      </c>
      <c r="F278" t="inlineStr">
        <is>
          <t>NORRBOTTENS LÄN</t>
        </is>
      </c>
      <c r="G278" t="inlineStr">
        <is>
          <t>BODEN</t>
        </is>
      </c>
      <c r="I278" t="n">
        <v>13.9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46309</v>
      </c>
      <c r="F279" t="inlineStr">
        <is>
          <t>NORRBOTTENS LÄN</t>
        </is>
      </c>
      <c r="G279" t="inlineStr">
        <is>
          <t>BODEN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45527</v>
      </c>
      <c r="E280" s="1" t="n">
        <v>46309</v>
      </c>
      <c r="F280" t="inlineStr">
        <is>
          <t>NORRBOTTENS LÄN</t>
        </is>
      </c>
      <c r="G280" t="inlineStr">
        <is>
          <t>BODEN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46309</v>
      </c>
      <c r="F281" t="inlineStr">
        <is>
          <t>NORRBOTTENS LÄN</t>
        </is>
      </c>
      <c r="G281" t="inlineStr">
        <is>
          <t>BODEN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46309</v>
      </c>
      <c r="F282" t="inlineStr">
        <is>
          <t>NORRBOTTENS LÄN</t>
        </is>
      </c>
      <c r="G282" t="inlineStr">
        <is>
          <t>BODEN</t>
        </is>
      </c>
      <c r="H282" t="inlineStr">
        <is>
          <t>Naturvårdsverket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46309</v>
      </c>
      <c r="F283" t="inlineStr">
        <is>
          <t>NORRBOTTENS LÄN</t>
        </is>
      </c>
      <c r="G283" t="inlineStr">
        <is>
          <t>BODEN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46309</v>
      </c>
      <c r="F284" t="inlineStr">
        <is>
          <t>NORRBOTTENS LÄN</t>
        </is>
      </c>
      <c r="G284" t="inlineStr">
        <is>
          <t>BODEN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46309</v>
      </c>
      <c r="F285" t="inlineStr">
        <is>
          <t>NORRBOTTENS LÄN</t>
        </is>
      </c>
      <c r="G285" t="inlineStr">
        <is>
          <t>BODEN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45546</v>
      </c>
      <c r="E286" s="1" t="n">
        <v>46309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45464</v>
      </c>
      <c r="E287" s="1" t="n">
        <v>46309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46309</v>
      </c>
      <c r="F288" t="inlineStr">
        <is>
          <t>NORRBOTTENS LÄN</t>
        </is>
      </c>
      <c r="G288" t="inlineStr">
        <is>
          <t>BODEN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45902</v>
      </c>
      <c r="E289" s="1" t="n">
        <v>46309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46309</v>
      </c>
      <c r="F290" t="inlineStr">
        <is>
          <t>NORRBOTTENS LÄN</t>
        </is>
      </c>
      <c r="G290" t="inlineStr">
        <is>
          <t>BODEN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45429</v>
      </c>
      <c r="E291" s="1" t="n">
        <v>46309</v>
      </c>
      <c r="F291" t="inlineStr">
        <is>
          <t>NORRBOTTENS LÄN</t>
        </is>
      </c>
      <c r="G291" t="inlineStr">
        <is>
          <t>BODEN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41601-2025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46309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46309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45907</v>
      </c>
      <c r="E294" s="1" t="n">
        <v>46309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46309</v>
      </c>
      <c r="F295" t="inlineStr">
        <is>
          <t>NORRBOTTENS LÄN</t>
        </is>
      </c>
      <c r="G295" t="inlineStr">
        <is>
          <t>BODEN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45766</v>
      </c>
      <c r="E296" s="1" t="n">
        <v>46309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46309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46309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46309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46309</v>
      </c>
      <c r="F300" t="inlineStr">
        <is>
          <t>NORRBOTTENS LÄN</t>
        </is>
      </c>
      <c r="G300" t="inlineStr">
        <is>
          <t>BODEN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46309</v>
      </c>
      <c r="F301" t="inlineStr">
        <is>
          <t>NORRBOTTENS LÄN</t>
        </is>
      </c>
      <c r="G301" t="inlineStr">
        <is>
          <t>BODEN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46309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45481</v>
      </c>
      <c r="E303" s="1" t="n">
        <v>46309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46309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28270-2025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45818</v>
      </c>
      <c r="E305" s="1" t="n">
        <v>46309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46309</v>
      </c>
      <c r="F306" t="inlineStr">
        <is>
          <t>NORRBOTTENS LÄN</t>
        </is>
      </c>
      <c r="G306" t="inlineStr">
        <is>
          <t>BODEN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43710-2025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46309</v>
      </c>
      <c r="F307" t="inlineStr">
        <is>
          <t>NORRBOTTENS LÄN</t>
        </is>
      </c>
      <c r="G307" t="inlineStr">
        <is>
          <t>BODEN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44908</v>
      </c>
      <c r="E308" s="1" t="n">
        <v>46309</v>
      </c>
      <c r="F308" t="inlineStr">
        <is>
          <t>NORRBOTTENS LÄN</t>
        </is>
      </c>
      <c r="G308" t="inlineStr">
        <is>
          <t>BODEN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46309</v>
      </c>
      <c r="F309" t="inlineStr">
        <is>
          <t>NORRBOTTENS LÄN</t>
        </is>
      </c>
      <c r="G309" t="inlineStr">
        <is>
          <t>BODEN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46309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45429</v>
      </c>
      <c r="E311" s="1" t="n">
        <v>46309</v>
      </c>
      <c r="F311" t="inlineStr">
        <is>
          <t>NORRBOTTENS LÄN</t>
        </is>
      </c>
      <c r="G311" t="inlineStr">
        <is>
          <t>BODEN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45429</v>
      </c>
      <c r="E312" s="1" t="n">
        <v>46309</v>
      </c>
      <c r="F312" t="inlineStr">
        <is>
          <t>NORRBOTTENS LÄN</t>
        </is>
      </c>
      <c r="G312" t="inlineStr">
        <is>
          <t>BODEN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46309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46309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46309</v>
      </c>
      <c r="F315" t="inlineStr">
        <is>
          <t>NORRBOTTENS LÄN</t>
        </is>
      </c>
      <c r="G315" t="inlineStr">
        <is>
          <t>BODEN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46309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11651-2023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44994</v>
      </c>
      <c r="E317" s="1" t="n">
        <v>46309</v>
      </c>
      <c r="F317" t="inlineStr">
        <is>
          <t>NORRBOTTENS LÄN</t>
        </is>
      </c>
      <c r="G317" t="inlineStr">
        <is>
          <t>BODEN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46309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46309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45919</v>
      </c>
      <c r="E320" s="1" t="n">
        <v>46309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45616-2025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46309</v>
      </c>
      <c r="F321" t="inlineStr">
        <is>
          <t>NORRBOTTENS LÄN</t>
        </is>
      </c>
      <c r="G321" t="inlineStr">
        <is>
          <t>BODEN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46309</v>
      </c>
      <c r="F322" t="inlineStr">
        <is>
          <t>NORRBOTTENS LÄN</t>
        </is>
      </c>
      <c r="G322" t="inlineStr">
        <is>
          <t>BODEN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46309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49113-2023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46309</v>
      </c>
      <c r="F324" t="inlineStr">
        <is>
          <t>NORRBOTTENS LÄN</t>
        </is>
      </c>
      <c r="G324" t="inlineStr">
        <is>
          <t>BODEN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44889</v>
      </c>
      <c r="E325" s="1" t="n">
        <v>46309</v>
      </c>
      <c r="F325" t="inlineStr">
        <is>
          <t>NORRBOTTENS LÄN</t>
        </is>
      </c>
      <c r="G325" t="inlineStr">
        <is>
          <t>BODEN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58373-2022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44901</v>
      </c>
      <c r="E326" s="1" t="n">
        <v>46309</v>
      </c>
      <c r="F326" t="inlineStr">
        <is>
          <t>NORRBOTTENS LÄN</t>
        </is>
      </c>
      <c r="G326" t="inlineStr">
        <is>
          <t>BODEN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45969-2025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45924</v>
      </c>
      <c r="E327" s="1" t="n">
        <v>46309</v>
      </c>
      <c r="F327" t="inlineStr">
        <is>
          <t>NORRBOTTENS LÄN</t>
        </is>
      </c>
      <c r="G327" t="inlineStr">
        <is>
          <t>BODEN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46309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46309</v>
      </c>
      <c r="F329" t="inlineStr">
        <is>
          <t>NORRBOTTENS LÄN</t>
        </is>
      </c>
      <c r="G329" t="inlineStr">
        <is>
          <t>BODEN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46309</v>
      </c>
      <c r="F330" t="inlineStr">
        <is>
          <t>NORRBOTTENS LÄN</t>
        </is>
      </c>
      <c r="G330" t="inlineStr">
        <is>
          <t>BODEN</t>
        </is>
      </c>
      <c r="H330" t="inlineStr">
        <is>
          <t>Övriga Aktiebolag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46309</v>
      </c>
      <c r="F331" t="inlineStr">
        <is>
          <t>NORRBOTTENS LÄN</t>
        </is>
      </c>
      <c r="G331" t="inlineStr">
        <is>
          <t>BODEN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46309</v>
      </c>
      <c r="F332" t="inlineStr">
        <is>
          <t>NORRBOTTENS LÄN</t>
        </is>
      </c>
      <c r="G332" t="inlineStr">
        <is>
          <t>BODEN</t>
        </is>
      </c>
      <c r="H332" t="inlineStr">
        <is>
          <t>Övriga Aktiebolag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46309</v>
      </c>
      <c r="F333" t="inlineStr">
        <is>
          <t>NORRBOTTENS LÄN</t>
        </is>
      </c>
      <c r="G333" t="inlineStr">
        <is>
          <t>BODEN</t>
        </is>
      </c>
      <c r="I333" t="n">
        <v>16.1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46309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46309</v>
      </c>
      <c r="F335" t="inlineStr">
        <is>
          <t>NORRBOTTENS LÄN</t>
        </is>
      </c>
      <c r="G335" t="inlineStr">
        <is>
          <t>BODEN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44529</v>
      </c>
      <c r="E336" s="1" t="n">
        <v>46309</v>
      </c>
      <c r="F336" t="inlineStr">
        <is>
          <t>NORRBOTTENS LÄN</t>
        </is>
      </c>
      <c r="G336" t="inlineStr">
        <is>
          <t>BODEN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46309</v>
      </c>
      <c r="F337" t="inlineStr">
        <is>
          <t>NORRBOTTENS LÄN</t>
        </is>
      </c>
      <c r="G337" t="inlineStr">
        <is>
          <t>BODEN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45930</v>
      </c>
      <c r="E338" s="1" t="n">
        <v>46309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46309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46309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46309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46309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45747</v>
      </c>
      <c r="E343" s="1" t="n">
        <v>46309</v>
      </c>
      <c r="F343" t="inlineStr">
        <is>
          <t>NORRBOTTENS LÄN</t>
        </is>
      </c>
      <c r="G343" t="inlineStr">
        <is>
          <t>BODEN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33130-2025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45840</v>
      </c>
      <c r="E344" s="1" t="n">
        <v>46309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46309</v>
      </c>
      <c r="F345" t="inlineStr">
        <is>
          <t>NORRBOTTENS LÄN</t>
        </is>
      </c>
      <c r="G345" t="inlineStr">
        <is>
          <t>BODEN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46309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Aktiebolag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6776-2023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46309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46309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45906</v>
      </c>
      <c r="E349" s="1" t="n">
        <v>46309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46309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46309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46309</v>
      </c>
      <c r="F352" t="inlineStr">
        <is>
          <t>NORRBOTTENS LÄN</t>
        </is>
      </c>
      <c r="G352" t="inlineStr">
        <is>
          <t>BODEN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48091-2025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45933</v>
      </c>
      <c r="E353" s="1" t="n">
        <v>46309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45132</v>
      </c>
      <c r="E354" s="1" t="n">
        <v>46309</v>
      </c>
      <c r="F354" t="inlineStr">
        <is>
          <t>NORRBOTTENS LÄN</t>
        </is>
      </c>
      <c r="G354" t="inlineStr">
        <is>
          <t>BODEN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33981-2025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45843</v>
      </c>
      <c r="E355" s="1" t="n">
        <v>46309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45013</v>
      </c>
      <c r="E356" s="1" t="n">
        <v>46309</v>
      </c>
      <c r="F356" t="inlineStr">
        <is>
          <t>NORRBOTTENS LÄN</t>
        </is>
      </c>
      <c r="G356" t="inlineStr">
        <is>
          <t>BODEN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46309</v>
      </c>
      <c r="F357" t="inlineStr">
        <is>
          <t>NORRBOTTENS LÄN</t>
        </is>
      </c>
      <c r="G357" t="inlineStr">
        <is>
          <t>BODEN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46309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46309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46309</v>
      </c>
      <c r="F360" t="inlineStr">
        <is>
          <t>NORRBOTTENS LÄN</t>
        </is>
      </c>
      <c r="G360" t="inlineStr">
        <is>
          <t>BODEN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45264</v>
      </c>
      <c r="E361" s="1" t="n">
        <v>46309</v>
      </c>
      <c r="F361" t="inlineStr">
        <is>
          <t>NORRBOTTENS LÄN</t>
        </is>
      </c>
      <c r="G361" t="inlineStr">
        <is>
          <t>BODEN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46309</v>
      </c>
      <c r="F362" t="inlineStr">
        <is>
          <t>NORRBOTTENS LÄN</t>
        </is>
      </c>
      <c r="G362" t="inlineStr">
        <is>
          <t>BODEN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46309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50410-2025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46309</v>
      </c>
      <c r="F364" t="inlineStr">
        <is>
          <t>NORRBOTTENS LÄN</t>
        </is>
      </c>
      <c r="G364" t="inlineStr">
        <is>
          <t>BODEN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46309</v>
      </c>
      <c r="F365" t="inlineStr">
        <is>
          <t>NORRBOTTENS LÄN</t>
        </is>
      </c>
      <c r="G365" t="inlineStr">
        <is>
          <t>BODEN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46309</v>
      </c>
      <c r="F366" t="inlineStr">
        <is>
          <t>NORRBOTTENS LÄN</t>
        </is>
      </c>
      <c r="G366" t="inlineStr">
        <is>
          <t>BODEN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45653</v>
      </c>
      <c r="E367" s="1" t="n">
        <v>46309</v>
      </c>
      <c r="F367" t="inlineStr">
        <is>
          <t>NORRBOTTENS LÄN</t>
        </is>
      </c>
      <c r="G367" t="inlineStr">
        <is>
          <t>BODEN</t>
        </is>
      </c>
      <c r="I367" t="n">
        <v>47.3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46309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46309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46309</v>
      </c>
      <c r="F370" t="inlineStr">
        <is>
          <t>NORRBOTTENS LÄN</t>
        </is>
      </c>
      <c r="G370" t="inlineStr">
        <is>
          <t>BODEN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46309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46309</v>
      </c>
      <c r="F372" t="inlineStr">
        <is>
          <t>NORRBOTTENS LÄN</t>
        </is>
      </c>
      <c r="G372" t="inlineStr">
        <is>
          <t>BODEN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45674</v>
      </c>
      <c r="E373" s="1" t="n">
        <v>46309</v>
      </c>
      <c r="F373" t="inlineStr">
        <is>
          <t>NORRBOTTENS LÄN</t>
        </is>
      </c>
      <c r="G373" t="inlineStr">
        <is>
          <t>BODEN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46309</v>
      </c>
      <c r="F374" t="inlineStr">
        <is>
          <t>NORRBOTTENS LÄN</t>
        </is>
      </c>
      <c r="G374" t="inlineStr">
        <is>
          <t>BODEN</t>
        </is>
      </c>
      <c r="I374" t="n">
        <v>22.7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50479-2025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46309</v>
      </c>
      <c r="F375" t="inlineStr">
        <is>
          <t>NORRBOTTENS LÄN</t>
        </is>
      </c>
      <c r="G375" t="inlineStr">
        <is>
          <t>BODEN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45796</v>
      </c>
      <c r="E376" s="1" t="n">
        <v>46309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46309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46309</v>
      </c>
      <c r="F378" t="inlineStr">
        <is>
          <t>NORRBOTTENS LÄN</t>
        </is>
      </c>
      <c r="G378" t="inlineStr">
        <is>
          <t>BODEN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51460-2025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45950</v>
      </c>
      <c r="E379" s="1" t="n">
        <v>46309</v>
      </c>
      <c r="F379" t="inlineStr">
        <is>
          <t>NORRBOTTENS LÄN</t>
        </is>
      </c>
      <c r="G379" t="inlineStr">
        <is>
          <t>BODEN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45863</v>
      </c>
      <c r="E380" s="1" t="n">
        <v>46309</v>
      </c>
      <c r="F380" t="inlineStr">
        <is>
          <t>NORRBOTTENS LÄN</t>
        </is>
      </c>
      <c r="G380" t="inlineStr">
        <is>
          <t>BODEN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46309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45523</v>
      </c>
      <c r="E382" s="1" t="n">
        <v>46309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59331-2021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46309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46309</v>
      </c>
      <c r="F384" t="inlineStr">
        <is>
          <t>NORRBOTTENS LÄN</t>
        </is>
      </c>
      <c r="G384" t="inlineStr">
        <is>
          <t>BODEN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46309</v>
      </c>
      <c r="F385" t="inlineStr">
        <is>
          <t>NORRBOTTENS LÄN</t>
        </is>
      </c>
      <c r="G385" t="inlineStr">
        <is>
          <t>BODEN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46901-2024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45583</v>
      </c>
      <c r="E386" s="1" t="n">
        <v>46309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46309</v>
      </c>
      <c r="F387" t="inlineStr">
        <is>
          <t>NORRBOTTENS LÄN</t>
        </is>
      </c>
      <c r="G387" t="inlineStr">
        <is>
          <t>BODEN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46309</v>
      </c>
      <c r="F388" t="inlineStr">
        <is>
          <t>NORRBOTTENS LÄN</t>
        </is>
      </c>
      <c r="G388" t="inlineStr">
        <is>
          <t>BODEN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52169-2025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45953</v>
      </c>
      <c r="E389" s="1" t="n">
        <v>46309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52166-2025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46309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51525-2025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45950</v>
      </c>
      <c r="E391" s="1" t="n">
        <v>46309</v>
      </c>
      <c r="F391" t="inlineStr">
        <is>
          <t>NORRBOTTENS LÄN</t>
        </is>
      </c>
      <c r="G391" t="inlineStr">
        <is>
          <t>BODEN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45649</v>
      </c>
      <c r="E392" s="1" t="n">
        <v>46309</v>
      </c>
      <c r="F392" t="inlineStr">
        <is>
          <t>NORRBOTTENS LÄN</t>
        </is>
      </c>
      <c r="G392" t="inlineStr">
        <is>
          <t>BODEN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61757-2024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45649</v>
      </c>
      <c r="E393" s="1" t="n">
        <v>46309</v>
      </c>
      <c r="F393" t="inlineStr">
        <is>
          <t>NORRBOTTENS LÄN</t>
        </is>
      </c>
      <c r="G393" t="inlineStr">
        <is>
          <t>BODEN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45955</v>
      </c>
      <c r="E394" s="1" t="n">
        <v>46309</v>
      </c>
      <c r="F394" t="inlineStr">
        <is>
          <t>NORRBOTTENS LÄN</t>
        </is>
      </c>
      <c r="G394" t="inlineStr">
        <is>
          <t>BODEN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52646-2025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45955</v>
      </c>
      <c r="E395" s="1" t="n">
        <v>46309</v>
      </c>
      <c r="F395" t="inlineStr">
        <is>
          <t>NORRBOTTENS LÄN</t>
        </is>
      </c>
      <c r="G395" t="inlineStr">
        <is>
          <t>BODEN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46309</v>
      </c>
      <c r="F396" t="inlineStr">
        <is>
          <t>NORRBOTTENS LÄN</t>
        </is>
      </c>
      <c r="G396" t="inlineStr">
        <is>
          <t>BODEN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24400-2022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44726</v>
      </c>
      <c r="E397" s="1" t="n">
        <v>46309</v>
      </c>
      <c r="F397" t="inlineStr">
        <is>
          <t>NORRBOTTENS LÄN</t>
        </is>
      </c>
      <c r="G397" t="inlineStr">
        <is>
          <t>BODEN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36310-2025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45868</v>
      </c>
      <c r="E398" s="1" t="n">
        <v>46309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53623-2025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45960</v>
      </c>
      <c r="E399" s="1" t="n">
        <v>46309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45877</v>
      </c>
      <c r="E400" s="1" t="n">
        <v>46309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46309</v>
      </c>
      <c r="F401" t="inlineStr">
        <is>
          <t>NORRBOTTENS LÄN</t>
        </is>
      </c>
      <c r="G401" t="inlineStr">
        <is>
          <t>BODEN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46309</v>
      </c>
      <c r="F402" t="inlineStr">
        <is>
          <t>NORRBOTTENS LÄN</t>
        </is>
      </c>
      <c r="G402" t="inlineStr">
        <is>
          <t>BODEN</t>
        </is>
      </c>
      <c r="H402" t="inlineStr">
        <is>
          <t>Övriga statliga verk och myndigheter</t>
        </is>
      </c>
      <c r="I402" t="n">
        <v>15.8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45548</v>
      </c>
      <c r="E403" s="1" t="n">
        <v>46309</v>
      </c>
      <c r="F403" t="inlineStr">
        <is>
          <t>NORRBOTTENS LÄN</t>
        </is>
      </c>
      <c r="G403" t="inlineStr">
        <is>
          <t>BODEN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46309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45964</v>
      </c>
      <c r="E405" s="1" t="n">
        <v>46309</v>
      </c>
      <c r="F405" t="inlineStr">
        <is>
          <t>NORRBOTTENS LÄN</t>
        </is>
      </c>
      <c r="G405" t="inlineStr">
        <is>
          <t>BODEN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45881</v>
      </c>
      <c r="E406" s="1" t="n">
        <v>46309</v>
      </c>
      <c r="F406" t="inlineStr">
        <is>
          <t>NORRBOTTENS LÄN</t>
        </is>
      </c>
      <c r="G406" t="inlineStr">
        <is>
          <t>BODEN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20505-2023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45054</v>
      </c>
      <c r="E407" s="1" t="n">
        <v>46309</v>
      </c>
      <c r="F407" t="inlineStr">
        <is>
          <t>NORRBOTTENS LÄN</t>
        </is>
      </c>
      <c r="G407" t="inlineStr">
        <is>
          <t>BODEN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46309</v>
      </c>
      <c r="F408" t="inlineStr">
        <is>
          <t>NORRBOTTENS LÄN</t>
        </is>
      </c>
      <c r="G408" t="inlineStr">
        <is>
          <t>BODEN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46309</v>
      </c>
      <c r="F409" t="inlineStr">
        <is>
          <t>NORRBOTTENS LÄN</t>
        </is>
      </c>
      <c r="G409" t="inlineStr">
        <is>
          <t>BODEN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44963</v>
      </c>
      <c r="E410" s="1" t="n">
        <v>46309</v>
      </c>
      <c r="F410" t="inlineStr">
        <is>
          <t>NORRBOTTENS LÄN</t>
        </is>
      </c>
      <c r="G410" t="inlineStr">
        <is>
          <t>BODEN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46309</v>
      </c>
      <c r="F411" t="inlineStr">
        <is>
          <t>NORRBOTTENS LÄN</t>
        </is>
      </c>
      <c r="G411" t="inlineStr">
        <is>
          <t>BODEN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46309</v>
      </c>
      <c r="F412" t="inlineStr">
        <is>
          <t>NORRBOTTENS LÄN</t>
        </is>
      </c>
      <c r="G412" t="inlineStr">
        <is>
          <t>BODEN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46309</v>
      </c>
      <c r="F413" t="inlineStr">
        <is>
          <t>NORRBOTTENS LÄN</t>
        </is>
      </c>
      <c r="G413" t="inlineStr">
        <is>
          <t>BODEN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46309</v>
      </c>
      <c r="F414" t="inlineStr">
        <is>
          <t>NORRBOTTENS LÄN</t>
        </is>
      </c>
      <c r="G414" t="inlineStr">
        <is>
          <t>BODEN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54834-2025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46309</v>
      </c>
      <c r="F415" t="inlineStr">
        <is>
          <t>NORRBOTTENS LÄN</t>
        </is>
      </c>
      <c r="G415" t="inlineStr">
        <is>
          <t>BODEN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45965</v>
      </c>
      <c r="E416" s="1" t="n">
        <v>46309</v>
      </c>
      <c r="F416" t="inlineStr">
        <is>
          <t>NORRBOTTENS LÄN</t>
        </is>
      </c>
      <c r="G416" t="inlineStr">
        <is>
          <t>BODEN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46309</v>
      </c>
      <c r="F417" t="inlineStr">
        <is>
          <t>NORRBOTTENS LÄN</t>
        </is>
      </c>
      <c r="G417" t="inlineStr">
        <is>
          <t>BODEN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46309</v>
      </c>
      <c r="F418" t="inlineStr">
        <is>
          <t>NORRBOTTENS LÄN</t>
        </is>
      </c>
      <c r="G418" t="inlineStr">
        <is>
          <t>BODEN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18866-2025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45764</v>
      </c>
      <c r="E419" s="1" t="n">
        <v>46309</v>
      </c>
      <c r="F419" t="inlineStr">
        <is>
          <t>NORRBOTTENS LÄN</t>
        </is>
      </c>
      <c r="G419" t="inlineStr">
        <is>
          <t>BODEN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55562-2025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46309</v>
      </c>
      <c r="F420" t="inlineStr">
        <is>
          <t>NORRBOTTENS LÄN</t>
        </is>
      </c>
      <c r="G420" t="inlineStr">
        <is>
          <t>BODEN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46309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45446</v>
      </c>
      <c r="E422" s="1" t="n">
        <v>46309</v>
      </c>
      <c r="F422" t="inlineStr">
        <is>
          <t>NORRBOTTENS LÄN</t>
        </is>
      </c>
      <c r="G422" t="inlineStr">
        <is>
          <t>BODEN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46309</v>
      </c>
      <c r="F423" t="inlineStr">
        <is>
          <t>NORRBOTTENS LÄN</t>
        </is>
      </c>
      <c r="G423" t="inlineStr">
        <is>
          <t>BODEN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46309</v>
      </c>
      <c r="F424" t="inlineStr">
        <is>
          <t>NORRBOTTENS LÄN</t>
        </is>
      </c>
      <c r="G424" t="inlineStr">
        <is>
          <t>BODEN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55676-2025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46309</v>
      </c>
      <c r="F425" t="inlineStr">
        <is>
          <t>NORRBOTTENS LÄN</t>
        </is>
      </c>
      <c r="G425" t="inlineStr">
        <is>
          <t>BODEN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44657</v>
      </c>
      <c r="E426" s="1" t="n">
        <v>46309</v>
      </c>
      <c r="F426" t="inlineStr">
        <is>
          <t>NORRBOTTENS LÄN</t>
        </is>
      </c>
      <c r="G426" t="inlineStr">
        <is>
          <t>BODEN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15000-2022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44657</v>
      </c>
      <c r="E427" s="1" t="n">
        <v>46309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11647-2023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44994</v>
      </c>
      <c r="E428" s="1" t="n">
        <v>46309</v>
      </c>
      <c r="F428" t="inlineStr">
        <is>
          <t>NORRBOTTENS LÄN</t>
        </is>
      </c>
      <c r="G428" t="inlineStr">
        <is>
          <t>BODEN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46309</v>
      </c>
      <c r="F429" t="inlineStr">
        <is>
          <t>NORRBOTTENS LÄN</t>
        </is>
      </c>
      <c r="G429" t="inlineStr">
        <is>
          <t>BODEN</t>
        </is>
      </c>
      <c r="H429" t="inlineStr">
        <is>
          <t>Naturvårdsverket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44673</v>
      </c>
      <c r="E430" s="1" t="n">
        <v>46309</v>
      </c>
      <c r="F430" t="inlineStr">
        <is>
          <t>NORRBOTTENS LÄN</t>
        </is>
      </c>
      <c r="G430" t="inlineStr">
        <is>
          <t>BODEN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46309</v>
      </c>
      <c r="F431" t="inlineStr">
        <is>
          <t>NORRBOTTENS LÄN</t>
        </is>
      </c>
      <c r="G431" t="inlineStr">
        <is>
          <t>BODEN</t>
        </is>
      </c>
      <c r="H431" t="inlineStr">
        <is>
          <t>Naturvårdsverket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45562</v>
      </c>
      <c r="E432" s="1" t="n">
        <v>46309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46309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46309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56867-2025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46309</v>
      </c>
      <c r="F435" t="inlineStr">
        <is>
          <t>NORRBOTTENS LÄN</t>
        </is>
      </c>
      <c r="G435" t="inlineStr">
        <is>
          <t>BODEN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46309</v>
      </c>
      <c r="F436" t="inlineStr">
        <is>
          <t>NORRBOTTENS LÄN</t>
        </is>
      </c>
      <c r="G436" t="inlineStr">
        <is>
          <t>BODEN</t>
        </is>
      </c>
      <c r="H436" t="inlineStr">
        <is>
          <t>Naturvårdsverket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46309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46309</v>
      </c>
      <c r="F438" t="inlineStr">
        <is>
          <t>NORRBOTTENS LÄN</t>
        </is>
      </c>
      <c r="G438" t="inlineStr">
        <is>
          <t>BODEN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46309</v>
      </c>
      <c r="F439" t="inlineStr">
        <is>
          <t>NORRBOTTENS LÄN</t>
        </is>
      </c>
      <c r="G439" t="inlineStr">
        <is>
          <t>BODEN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46309</v>
      </c>
      <c r="F440" t="inlineStr">
        <is>
          <t>NORRBOTTENS LÄN</t>
        </is>
      </c>
      <c r="G440" t="inlineStr">
        <is>
          <t>BODEN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46309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46309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46309</v>
      </c>
      <c r="F443" t="inlineStr">
        <is>
          <t>NORRBOTTENS LÄN</t>
        </is>
      </c>
      <c r="G443" t="inlineStr">
        <is>
          <t>BODEN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46309</v>
      </c>
      <c r="F444" t="inlineStr">
        <is>
          <t>NORRBOTTENS LÄN</t>
        </is>
      </c>
      <c r="G444" t="inlineStr">
        <is>
          <t>BODEN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46309</v>
      </c>
      <c r="F445" t="inlineStr">
        <is>
          <t>NORRBOTTENS LÄN</t>
        </is>
      </c>
      <c r="G445" t="inlineStr">
        <is>
          <t>BODEN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46309</v>
      </c>
      <c r="F446" t="inlineStr">
        <is>
          <t>NORRBOTTENS LÄN</t>
        </is>
      </c>
      <c r="G446" t="inlineStr">
        <is>
          <t>BODEN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58203-2025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45984</v>
      </c>
      <c r="E447" s="1" t="n">
        <v>46309</v>
      </c>
      <c r="F447" t="inlineStr">
        <is>
          <t>NORRBOTTENS LÄN</t>
        </is>
      </c>
      <c r="G447" t="inlineStr">
        <is>
          <t>BODEN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46059</v>
      </c>
      <c r="E448" s="1" t="n">
        <v>46309</v>
      </c>
      <c r="F448" t="inlineStr">
        <is>
          <t>NORRBOTTENS LÄN</t>
        </is>
      </c>
      <c r="G448" t="inlineStr">
        <is>
          <t>BODEN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59263-2025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46309</v>
      </c>
      <c r="F449" t="inlineStr">
        <is>
          <t>NORRBOTTENS LÄN</t>
        </is>
      </c>
      <c r="G449" t="inlineStr">
        <is>
          <t>BODEN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46309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46309</v>
      </c>
      <c r="F451" t="inlineStr">
        <is>
          <t>NORRBOTTENS LÄN</t>
        </is>
      </c>
      <c r="G451" t="inlineStr">
        <is>
          <t>BODEN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46309</v>
      </c>
      <c r="F452" t="inlineStr">
        <is>
          <t>NORRBOTTENS LÄN</t>
        </is>
      </c>
      <c r="G452" t="inlineStr">
        <is>
          <t>BODEN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46309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46309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56457-2024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45625</v>
      </c>
      <c r="E455" s="1" t="n">
        <v>46309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46309</v>
      </c>
      <c r="F456" t="inlineStr">
        <is>
          <t>NORRBOTTENS LÄN</t>
        </is>
      </c>
      <c r="G456" t="inlineStr">
        <is>
          <t>BODEN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46309</v>
      </c>
      <c r="F457" t="inlineStr">
        <is>
          <t>NORRBOTTENS LÄN</t>
        </is>
      </c>
      <c r="G457" t="inlineStr">
        <is>
          <t>BODEN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46309</v>
      </c>
      <c r="F458" t="inlineStr">
        <is>
          <t>NORRBOTTENS LÄN</t>
        </is>
      </c>
      <c r="G458" t="inlineStr">
        <is>
          <t>BODEN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45994</v>
      </c>
      <c r="E459" s="1" t="n">
        <v>46309</v>
      </c>
      <c r="F459" t="inlineStr">
        <is>
          <t>NORRBOTTENS LÄN</t>
        </is>
      </c>
      <c r="G459" t="inlineStr">
        <is>
          <t>BODEN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59029-2022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46309</v>
      </c>
      <c r="F460" t="inlineStr">
        <is>
          <t>NORRBOTTENS LÄN</t>
        </is>
      </c>
      <c r="G460" t="inlineStr">
        <is>
          <t>BODEN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46309</v>
      </c>
      <c r="F461" t="inlineStr">
        <is>
          <t>NORRBOTTENS LÄN</t>
        </is>
      </c>
      <c r="G461" t="inlineStr">
        <is>
          <t>BODEN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46309</v>
      </c>
      <c r="F462" t="inlineStr">
        <is>
          <t>NORRBOTTENS LÄN</t>
        </is>
      </c>
      <c r="G462" t="inlineStr">
        <is>
          <t>BODEN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46309</v>
      </c>
      <c r="F463" t="inlineStr">
        <is>
          <t>NORRBOTTENS LÄN</t>
        </is>
      </c>
      <c r="G463" t="inlineStr">
        <is>
          <t>BODEN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46309</v>
      </c>
      <c r="F464" t="inlineStr">
        <is>
          <t>NORRBOTTENS LÄN</t>
        </is>
      </c>
      <c r="G464" t="inlineStr">
        <is>
          <t>BODEN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45996</v>
      </c>
      <c r="E465" s="1" t="n">
        <v>46309</v>
      </c>
      <c r="F465" t="inlineStr">
        <is>
          <t>NORRBOTTENS LÄN</t>
        </is>
      </c>
      <c r="G465" t="inlineStr">
        <is>
          <t>BODEN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45995</v>
      </c>
      <c r="E466" s="1" t="n">
        <v>46309</v>
      </c>
      <c r="F466" t="inlineStr">
        <is>
          <t>NORRBOTTENS LÄN</t>
        </is>
      </c>
      <c r="G466" t="inlineStr">
        <is>
          <t>BODEN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45906</v>
      </c>
      <c r="E467" s="1" t="n">
        <v>46309</v>
      </c>
      <c r="F467" t="inlineStr">
        <is>
          <t>NORRBOTTENS LÄN</t>
        </is>
      </c>
      <c r="G467" t="inlineStr">
        <is>
          <t>BODEN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45999</v>
      </c>
      <c r="E468" s="1" t="n">
        <v>46309</v>
      </c>
      <c r="F468" t="inlineStr">
        <is>
          <t>NORRBOTTENS LÄN</t>
        </is>
      </c>
      <c r="G468" t="inlineStr">
        <is>
          <t>BODEN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61227-2025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46309</v>
      </c>
      <c r="F469" t="inlineStr">
        <is>
          <t>NORRBOTTENS LÄN</t>
        </is>
      </c>
      <c r="G469" t="inlineStr">
        <is>
          <t>BODEN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45212</v>
      </c>
      <c r="E470" s="1" t="n">
        <v>46309</v>
      </c>
      <c r="F470" t="inlineStr">
        <is>
          <t>NORRBOTTENS LÄN</t>
        </is>
      </c>
      <c r="G470" t="inlineStr">
        <is>
          <t>BODEN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46001</v>
      </c>
      <c r="E471" s="1" t="n">
        <v>46309</v>
      </c>
      <c r="F471" t="inlineStr">
        <is>
          <t>NORRBOTTENS LÄN</t>
        </is>
      </c>
      <c r="G471" t="inlineStr">
        <is>
          <t>BODEN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46309</v>
      </c>
      <c r="F472" t="inlineStr">
        <is>
          <t>NORRBOTTENS LÄN</t>
        </is>
      </c>
      <c r="G472" t="inlineStr">
        <is>
          <t>BODEN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46309</v>
      </c>
      <c r="F473" t="inlineStr">
        <is>
          <t>NORRBOTTENS LÄN</t>
        </is>
      </c>
      <c r="G473" t="inlineStr">
        <is>
          <t>BODEN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10231-2026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46309</v>
      </c>
      <c r="F474" t="inlineStr">
        <is>
          <t>NORRBOTTENS LÄN</t>
        </is>
      </c>
      <c r="G474" t="inlineStr">
        <is>
          <t>BODEN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38370-2023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45161</v>
      </c>
      <c r="E475" s="1" t="n">
        <v>46309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46001</v>
      </c>
      <c r="E476" s="1" t="n">
        <v>46309</v>
      </c>
      <c r="F476" t="inlineStr">
        <is>
          <t>NORRBOTTENS LÄN</t>
        </is>
      </c>
      <c r="G476" t="inlineStr">
        <is>
          <t>BODEN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46309</v>
      </c>
      <c r="F477" t="inlineStr">
        <is>
          <t>NORRBOTTENS LÄN</t>
        </is>
      </c>
      <c r="G477" t="inlineStr">
        <is>
          <t>BODEN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46309</v>
      </c>
      <c r="F478" t="inlineStr">
        <is>
          <t>NORRBOTTENS LÄN</t>
        </is>
      </c>
      <c r="G478" t="inlineStr">
        <is>
          <t>BODEN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44994</v>
      </c>
      <c r="E479" s="1" t="n">
        <v>46309</v>
      </c>
      <c r="F479" t="inlineStr">
        <is>
          <t>NORRBOTTENS LÄN</t>
        </is>
      </c>
      <c r="G479" t="inlineStr">
        <is>
          <t>BODEN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61949-2025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46309</v>
      </c>
      <c r="F480" t="inlineStr">
        <is>
          <t>NORRBOTTENS LÄN</t>
        </is>
      </c>
      <c r="G480" t="inlineStr">
        <is>
          <t>BODEN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46309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46309</v>
      </c>
      <c r="F482" t="inlineStr">
        <is>
          <t>NORRBOTTENS LÄN</t>
        </is>
      </c>
      <c r="G482" t="inlineStr">
        <is>
          <t>BODEN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62687-2025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46008</v>
      </c>
      <c r="E483" s="1" t="n">
        <v>46309</v>
      </c>
      <c r="F483" t="inlineStr">
        <is>
          <t>NORRBOTTENS LÄN</t>
        </is>
      </c>
      <c r="G483" t="inlineStr">
        <is>
          <t>BODEN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63329-2025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46309</v>
      </c>
      <c r="F484" t="inlineStr">
        <is>
          <t>NORRBOTTENS LÄN</t>
        </is>
      </c>
      <c r="G484" t="inlineStr">
        <is>
          <t>BODEN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46309</v>
      </c>
      <c r="F485" t="inlineStr">
        <is>
          <t>NORRBOTTENS LÄN</t>
        </is>
      </c>
      <c r="G485" t="inlineStr">
        <is>
          <t>BODEN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35040-2022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44796</v>
      </c>
      <c r="E486" s="1" t="n">
        <v>46309</v>
      </c>
      <c r="F486" t="inlineStr">
        <is>
          <t>NORRBOTTENS LÄN</t>
        </is>
      </c>
      <c r="G486" t="inlineStr">
        <is>
          <t>BODEN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46309</v>
      </c>
      <c r="F487" t="inlineStr">
        <is>
          <t>NORRBOTTENS LÄN</t>
        </is>
      </c>
      <c r="G487" t="inlineStr">
        <is>
          <t>BODEN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62992-2025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46309</v>
      </c>
      <c r="F488" t="inlineStr">
        <is>
          <t>NORRBOTTENS LÄN</t>
        </is>
      </c>
      <c r="G488" t="inlineStr">
        <is>
          <t>BODEN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45085</v>
      </c>
      <c r="E489" s="1" t="n">
        <v>46309</v>
      </c>
      <c r="F489" t="inlineStr">
        <is>
          <t>NORRBOTTENS LÄN</t>
        </is>
      </c>
      <c r="G489" t="inlineStr">
        <is>
          <t>BODEN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46084</v>
      </c>
      <c r="E490" s="1" t="n">
        <v>46309</v>
      </c>
      <c r="F490" t="inlineStr">
        <is>
          <t>NORRBOTTENS LÄN</t>
        </is>
      </c>
      <c r="G490" t="inlineStr">
        <is>
          <t>BODEN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11631-2026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46084</v>
      </c>
      <c r="E491" s="1" t="n">
        <v>46309</v>
      </c>
      <c r="F491" t="inlineStr">
        <is>
          <t>NORRBOTTENS LÄN</t>
        </is>
      </c>
      <c r="G491" t="inlineStr">
        <is>
          <t>BODEN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46309</v>
      </c>
      <c r="F492" t="inlineStr">
        <is>
          <t>NORRBOTTENS LÄN</t>
        </is>
      </c>
      <c r="G492" t="inlineStr">
        <is>
          <t>BODEN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46084</v>
      </c>
      <c r="E493" s="1" t="n">
        <v>46309</v>
      </c>
      <c r="F493" t="inlineStr">
        <is>
          <t>NORRBOTTENS LÄN</t>
        </is>
      </c>
      <c r="G493" t="inlineStr">
        <is>
          <t>BODEN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45153</v>
      </c>
      <c r="E494" s="1" t="n">
        <v>46309</v>
      </c>
      <c r="F494" t="inlineStr">
        <is>
          <t>NORRBOTTENS LÄN</t>
        </is>
      </c>
      <c r="G494" t="inlineStr">
        <is>
          <t>BODEN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46309</v>
      </c>
      <c r="F495" t="inlineStr">
        <is>
          <t>NORRBOTTENS LÄN</t>
        </is>
      </c>
      <c r="G495" t="inlineStr">
        <is>
          <t>BODEN</t>
        </is>
      </c>
      <c r="I495" t="n">
        <v>9.199999999999999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61750-2024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46309</v>
      </c>
      <c r="F496" t="inlineStr">
        <is>
          <t>NORRBOTTENS LÄN</t>
        </is>
      </c>
      <c r="G496" t="inlineStr">
        <is>
          <t>BODEN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46086</v>
      </c>
      <c r="E497" s="1" t="n">
        <v>46309</v>
      </c>
      <c r="F497" t="inlineStr">
        <is>
          <t>NORRBOTTENS LÄN</t>
        </is>
      </c>
      <c r="G497" t="inlineStr">
        <is>
          <t>BODEN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45149</v>
      </c>
      <c r="E498" s="1" t="n">
        <v>46309</v>
      </c>
      <c r="F498" t="inlineStr">
        <is>
          <t>NORRBOTTENS LÄN</t>
        </is>
      </c>
      <c r="G498" t="inlineStr">
        <is>
          <t>BODEN</t>
        </is>
      </c>
      <c r="I498" t="n">
        <v>16.1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46309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44856</v>
      </c>
      <c r="E500" s="1" t="n">
        <v>46309</v>
      </c>
      <c r="F500" t="inlineStr">
        <is>
          <t>NORRBOTTENS LÄN</t>
        </is>
      </c>
      <c r="G500" t="inlineStr">
        <is>
          <t>BODEN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28745-2023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46309</v>
      </c>
      <c r="F501" t="inlineStr">
        <is>
          <t>NORRBOTTENS LÄN</t>
        </is>
      </c>
      <c r="G501" t="inlineStr">
        <is>
          <t>BODEN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44823</v>
      </c>
      <c r="E502" s="1" t="n">
        <v>46309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45376-2025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45922</v>
      </c>
      <c r="E503" s="1" t="n">
        <v>46309</v>
      </c>
      <c r="F503" t="inlineStr">
        <is>
          <t>NORRBOTTENS LÄN</t>
        </is>
      </c>
      <c r="G503" t="inlineStr">
        <is>
          <t>BODEN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46097</v>
      </c>
      <c r="E504" s="1" t="n">
        <v>46309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718-2022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44568</v>
      </c>
      <c r="E505" s="1" t="n">
        <v>46309</v>
      </c>
      <c r="F505" t="inlineStr">
        <is>
          <t>NORRBOTTENS LÄN</t>
        </is>
      </c>
      <c r="G505" t="inlineStr">
        <is>
          <t>BODEN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14245-2026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46099</v>
      </c>
      <c r="E506" s="1" t="n">
        <v>46309</v>
      </c>
      <c r="F506" t="inlineStr">
        <is>
          <t>NORRBOTTENS LÄN</t>
        </is>
      </c>
      <c r="G506" t="inlineStr">
        <is>
          <t>BODEN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45667</v>
      </c>
      <c r="E507" s="1" t="n">
        <v>46309</v>
      </c>
      <c r="F507" t="inlineStr">
        <is>
          <t>NORRBOTTENS LÄN</t>
        </is>
      </c>
      <c r="G507" t="inlineStr">
        <is>
          <t>BODEN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45761</v>
      </c>
      <c r="E508" s="1" t="n">
        <v>46309</v>
      </c>
      <c r="F508" t="inlineStr">
        <is>
          <t>NORRBOTTENS LÄN</t>
        </is>
      </c>
      <c r="G508" t="inlineStr">
        <is>
          <t>BODEN</t>
        </is>
      </c>
      <c r="H508" t="inlineStr">
        <is>
          <t>Övriga statliga verk och myndigheter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13714-2022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44648</v>
      </c>
      <c r="E509" s="1" t="n">
        <v>46309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45499</v>
      </c>
      <c r="E510" s="1" t="n">
        <v>46309</v>
      </c>
      <c r="F510" t="inlineStr">
        <is>
          <t>NORRBOTTENS LÄN</t>
        </is>
      </c>
      <c r="G510" t="inlineStr">
        <is>
          <t>BODEN</t>
        </is>
      </c>
      <c r="I510" t="n">
        <v>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45446-2023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45194</v>
      </c>
      <c r="E511" s="1" t="n">
        <v>46309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14325-2026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46100</v>
      </c>
      <c r="E512" s="1" t="n">
        <v>46309</v>
      </c>
      <c r="F512" t="inlineStr">
        <is>
          <t>NORRBOTTENS LÄN</t>
        </is>
      </c>
      <c r="G512" t="inlineStr">
        <is>
          <t>BODEN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46309</v>
      </c>
      <c r="F513" t="inlineStr">
        <is>
          <t>NORRBOTTENS LÄN</t>
        </is>
      </c>
      <c r="G513" t="inlineStr">
        <is>
          <t>BODEN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45709</v>
      </c>
      <c r="E514" s="1" t="n">
        <v>46309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Aktiebolag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18871-2025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46309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45773</v>
      </c>
      <c r="E516" s="1" t="n">
        <v>46309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46105</v>
      </c>
      <c r="E517" s="1" t="n">
        <v>46309</v>
      </c>
      <c r="F517" t="inlineStr">
        <is>
          <t>NORRBOTTENS LÄN</t>
        </is>
      </c>
      <c r="G517" t="inlineStr">
        <is>
          <t>BODEN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45672</v>
      </c>
      <c r="E518" s="1" t="n">
        <v>46309</v>
      </c>
      <c r="F518" t="inlineStr">
        <is>
          <t>NORRBOTTENS LÄN</t>
        </is>
      </c>
      <c r="G518" t="inlineStr">
        <is>
          <t>BODEN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45748</v>
      </c>
      <c r="E519" s="1" t="n">
        <v>46309</v>
      </c>
      <c r="F519" t="inlineStr">
        <is>
          <t>NORRBOTTENS LÄN</t>
        </is>
      </c>
      <c r="G519" t="inlineStr">
        <is>
          <t>BODEN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67438-2021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44524</v>
      </c>
      <c r="E520" s="1" t="n">
        <v>46309</v>
      </c>
      <c r="F520" t="inlineStr">
        <is>
          <t>NORRBOTTENS LÄN</t>
        </is>
      </c>
      <c r="G520" t="inlineStr">
        <is>
          <t>BODEN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46309</v>
      </c>
      <c r="F521" t="inlineStr">
        <is>
          <t>NORRBOTTENS LÄN</t>
        </is>
      </c>
      <c r="G521" t="inlineStr">
        <is>
          <t>BODEN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54104-2022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44881</v>
      </c>
      <c r="E522" s="1" t="n">
        <v>46309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57575-2025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46309</v>
      </c>
      <c r="F523" t="inlineStr">
        <is>
          <t>NORRBOTTENS LÄN</t>
        </is>
      </c>
      <c r="G523" t="inlineStr">
        <is>
          <t>BODEN</t>
        </is>
      </c>
      <c r="I523" t="n">
        <v>19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45248</v>
      </c>
      <c r="E524" s="1" t="n">
        <v>46309</v>
      </c>
      <c r="F524" t="inlineStr">
        <is>
          <t>NORRBOTTENS LÄN</t>
        </is>
      </c>
      <c r="G524" t="inlineStr">
        <is>
          <t>BODEN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46309</v>
      </c>
      <c r="F525" t="inlineStr">
        <is>
          <t>NORRBOTTENS LÄN</t>
        </is>
      </c>
      <c r="G525" t="inlineStr">
        <is>
          <t>BODEN</t>
        </is>
      </c>
      <c r="H525" t="inlineStr">
        <is>
          <t>SCA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17810-2026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46122</v>
      </c>
      <c r="E526" s="1" t="n">
        <v>46309</v>
      </c>
      <c r="F526" t="inlineStr">
        <is>
          <t>NORRBOTTENS LÄN</t>
        </is>
      </c>
      <c r="G526" t="inlineStr">
        <is>
          <t>BODEN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49127-2023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45210</v>
      </c>
      <c r="E527" s="1" t="n">
        <v>46309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55540-2022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44887</v>
      </c>
      <c r="E528" s="1" t="n">
        <v>46309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467-2022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44565</v>
      </c>
      <c r="E529" s="1" t="n">
        <v>46309</v>
      </c>
      <c r="F529" t="inlineStr">
        <is>
          <t>NORRBOTTENS LÄN</t>
        </is>
      </c>
      <c r="G529" t="inlineStr">
        <is>
          <t>BODEN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45233</v>
      </c>
      <c r="E530" s="1" t="n">
        <v>46309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46126</v>
      </c>
      <c r="E531" s="1" t="n">
        <v>46309</v>
      </c>
      <c r="F531" t="inlineStr">
        <is>
          <t>NORRBOTTENS LÄN</t>
        </is>
      </c>
      <c r="G531" t="inlineStr">
        <is>
          <t>BODEN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45070</v>
      </c>
      <c r="E532" s="1" t="n">
        <v>46309</v>
      </c>
      <c r="F532" t="inlineStr">
        <is>
          <t>NORRBOTTENS LÄN</t>
        </is>
      </c>
      <c r="G532" t="inlineStr">
        <is>
          <t>BODEN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25920-2023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45085</v>
      </c>
      <c r="E533" s="1" t="n">
        <v>46309</v>
      </c>
      <c r="F533" t="inlineStr">
        <is>
          <t>NORRBOTTENS LÄN</t>
        </is>
      </c>
      <c r="G533" t="inlineStr">
        <is>
          <t>BODEN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68591-2021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44529</v>
      </c>
      <c r="E534" s="1" t="n">
        <v>46309</v>
      </c>
      <c r="F534" t="inlineStr">
        <is>
          <t>NORRBOTTENS LÄN</t>
        </is>
      </c>
      <c r="G534" t="inlineStr">
        <is>
          <t>BODEN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46309</v>
      </c>
      <c r="F535" t="inlineStr">
        <is>
          <t>NORRBOTTENS LÄN</t>
        </is>
      </c>
      <c r="G535" t="inlineStr">
        <is>
          <t>BODEN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46309</v>
      </c>
      <c r="F536" t="inlineStr">
        <is>
          <t>NORRBOTTENS LÄN</t>
        </is>
      </c>
      <c r="G536" t="inlineStr">
        <is>
          <t>BODEN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18448-2026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46127</v>
      </c>
      <c r="E537" s="1" t="n">
        <v>46309</v>
      </c>
      <c r="F537" t="inlineStr">
        <is>
          <t>NORRBOTTENS LÄN</t>
        </is>
      </c>
      <c r="G537" t="inlineStr">
        <is>
          <t>BODEN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46309</v>
      </c>
      <c r="F538" t="inlineStr">
        <is>
          <t>NORRBOTTENS LÄN</t>
        </is>
      </c>
      <c r="G538" t="inlineStr">
        <is>
          <t>BODEN</t>
        </is>
      </c>
      <c r="I538" t="n">
        <v>11.7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46309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46309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46309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38219-2022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46309</v>
      </c>
      <c r="F542" t="inlineStr">
        <is>
          <t>NORRBOTTENS LÄN</t>
        </is>
      </c>
      <c r="G542" t="inlineStr">
        <is>
          <t>BODEN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25387-2023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45079</v>
      </c>
      <c r="E543" s="1" t="n">
        <v>46309</v>
      </c>
      <c r="F543" t="inlineStr">
        <is>
          <t>NORRBOTTENS LÄN</t>
        </is>
      </c>
      <c r="G543" t="inlineStr">
        <is>
          <t>BODEN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28444-2023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45102</v>
      </c>
      <c r="E544" s="1" t="n">
        <v>46309</v>
      </c>
      <c r="F544" t="inlineStr">
        <is>
          <t>NORRBOTTENS LÄN</t>
        </is>
      </c>
      <c r="G544" t="inlineStr">
        <is>
          <t>BODEN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48592-2024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45593</v>
      </c>
      <c r="E545" s="1" t="n">
        <v>46309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46309</v>
      </c>
      <c r="F546" t="inlineStr">
        <is>
          <t>NORRBOTTENS LÄN</t>
        </is>
      </c>
      <c r="G546" t="inlineStr">
        <is>
          <t>BODEN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16222-2024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45406</v>
      </c>
      <c r="E547" s="1" t="n">
        <v>46309</v>
      </c>
      <c r="F547" t="inlineStr">
        <is>
          <t>NORRBOTTENS LÄN</t>
        </is>
      </c>
      <c r="G547" t="inlineStr">
        <is>
          <t>BODEN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58877-2021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44489</v>
      </c>
      <c r="E548" s="1" t="n">
        <v>46309</v>
      </c>
      <c r="F548" t="inlineStr">
        <is>
          <t>NORRBOTTENS LÄN</t>
        </is>
      </c>
      <c r="G548" t="inlineStr">
        <is>
          <t>BODEN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57600-2021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44484</v>
      </c>
      <c r="E549" s="1" t="n">
        <v>46309</v>
      </c>
      <c r="F549" t="inlineStr">
        <is>
          <t>NORRBOTTENS LÄN</t>
        </is>
      </c>
      <c r="G549" t="inlineStr">
        <is>
          <t>BODEN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61103-2022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44908</v>
      </c>
      <c r="E550" s="1" t="n">
        <v>46309</v>
      </c>
      <c r="F550" t="inlineStr">
        <is>
          <t>NORRBOTTENS LÄN</t>
        </is>
      </c>
      <c r="G550" t="inlineStr">
        <is>
          <t>BODEN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46309</v>
      </c>
      <c r="F551" t="inlineStr">
        <is>
          <t>NORRBOTTENS LÄN</t>
        </is>
      </c>
      <c r="G551" t="inlineStr">
        <is>
          <t>BODEN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46309</v>
      </c>
      <c r="F552" t="inlineStr">
        <is>
          <t>NORRBOTTENS LÄN</t>
        </is>
      </c>
      <c r="G552" t="inlineStr">
        <is>
          <t>BODEN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48459-2025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45935</v>
      </c>
      <c r="E553" s="1" t="n">
        <v>46309</v>
      </c>
      <c r="F553" t="inlineStr">
        <is>
          <t>NORRBOTTENS LÄN</t>
        </is>
      </c>
      <c r="G553" t="inlineStr">
        <is>
          <t>BODEN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45358</v>
      </c>
      <c r="E554" s="1" t="n">
        <v>46309</v>
      </c>
      <c r="F554" t="inlineStr">
        <is>
          <t>NORRBOTTENS LÄN</t>
        </is>
      </c>
      <c r="G554" t="inlineStr">
        <is>
          <t>BODEN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47024-2024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45586</v>
      </c>
      <c r="E555" s="1" t="n">
        <v>46309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12.8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20069-2026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46136</v>
      </c>
      <c r="E556" s="1" t="n">
        <v>46309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50561-2025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46309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46309</v>
      </c>
      <c r="F558" t="inlineStr">
        <is>
          <t>NORRBOTTENS LÄN</t>
        </is>
      </c>
      <c r="G558" t="inlineStr">
        <is>
          <t>BODEN</t>
        </is>
      </c>
      <c r="I558" t="n">
        <v>8.9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46309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46309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45551</v>
      </c>
      <c r="E561" s="1" t="n">
        <v>46309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45839</v>
      </c>
      <c r="E562" s="1" t="n">
        <v>46309</v>
      </c>
      <c r="F562" t="inlineStr">
        <is>
          <t>NORRBOTTENS LÄN</t>
        </is>
      </c>
      <c r="G562" t="inlineStr">
        <is>
          <t>BODEN</t>
        </is>
      </c>
      <c r="I562" t="n">
        <v>13.6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45860</v>
      </c>
      <c r="E563" s="1" t="n">
        <v>46309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46309</v>
      </c>
      <c r="F564" t="inlineStr">
        <is>
          <t>NORRBOTTENS LÄN</t>
        </is>
      </c>
      <c r="G564" t="inlineStr">
        <is>
          <t>BODEN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60776-2025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46309</v>
      </c>
      <c r="F565" t="inlineStr">
        <is>
          <t>NORRBOTTENS LÄN</t>
        </is>
      </c>
      <c r="G565" t="inlineStr">
        <is>
          <t>BODEN</t>
        </is>
      </c>
      <c r="I565" t="n">
        <v>9.6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46309</v>
      </c>
      <c r="F566" t="inlineStr">
        <is>
          <t>NORRBOTTENS LÄN</t>
        </is>
      </c>
      <c r="G566" t="inlineStr">
        <is>
          <t>BODEN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44553-2024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46309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44567-2024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45574</v>
      </c>
      <c r="E568" s="1" t="n">
        <v>46309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46309</v>
      </c>
      <c r="F569" t="inlineStr">
        <is>
          <t>NORRBOTTENS LÄN</t>
        </is>
      </c>
      <c r="G569" t="inlineStr">
        <is>
          <t>BODEN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61214-2024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45645</v>
      </c>
      <c r="E570" s="1" t="n">
        <v>46309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64649-2023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45281</v>
      </c>
      <c r="E571" s="1" t="n">
        <v>46309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68611-2021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44529</v>
      </c>
      <c r="E572" s="1" t="n">
        <v>46309</v>
      </c>
      <c r="F572" t="inlineStr">
        <is>
          <t>NORRBOTTENS LÄN</t>
        </is>
      </c>
      <c r="G572" t="inlineStr">
        <is>
          <t>BODEN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46309</v>
      </c>
      <c r="F573" t="inlineStr">
        <is>
          <t>NORRBOTTENS LÄN</t>
        </is>
      </c>
      <c r="G573" t="inlineStr">
        <is>
          <t>BODEN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45408</v>
      </c>
      <c r="E574" s="1" t="n">
        <v>46309</v>
      </c>
      <c r="F574" t="inlineStr">
        <is>
          <t>NORRBOTTENS LÄN</t>
        </is>
      </c>
      <c r="G574" t="inlineStr">
        <is>
          <t>BODEN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46003</v>
      </c>
      <c r="E575" s="1" t="n">
        <v>46309</v>
      </c>
      <c r="F575" t="inlineStr">
        <is>
          <t>NORRBOTTENS LÄN</t>
        </is>
      </c>
      <c r="G575" t="inlineStr">
        <is>
          <t>BODEN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10254-2026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46309</v>
      </c>
      <c r="F576" t="inlineStr">
        <is>
          <t>NORRBOTTENS LÄN</t>
        </is>
      </c>
      <c r="G576" t="inlineStr">
        <is>
          <t>BODEN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46309</v>
      </c>
      <c r="F577" t="inlineStr">
        <is>
          <t>NORRBOTTENS LÄN</t>
        </is>
      </c>
      <c r="G577" t="inlineStr">
        <is>
          <t>BODEN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44983</v>
      </c>
      <c r="E578" s="1" t="n">
        <v>46309</v>
      </c>
      <c r="F578" t="inlineStr">
        <is>
          <t>NORRBOTTENS LÄN</t>
        </is>
      </c>
      <c r="G578" t="inlineStr">
        <is>
          <t>BODEN</t>
        </is>
      </c>
      <c r="I578" t="n">
        <v>37.1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54718-2024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45618</v>
      </c>
      <c r="E579" s="1" t="n">
        <v>46309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51614-2024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45604</v>
      </c>
      <c r="E580" s="1" t="n">
        <v>46309</v>
      </c>
      <c r="F580" t="inlineStr">
        <is>
          <t>NORRBOTTENS LÄN</t>
        </is>
      </c>
      <c r="G580" t="inlineStr">
        <is>
          <t>BODEN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46309</v>
      </c>
      <c r="F581" t="inlineStr">
        <is>
          <t>NORRBOTTENS LÄN</t>
        </is>
      </c>
      <c r="G581" t="inlineStr">
        <is>
          <t>BODEN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11634-2026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46309</v>
      </c>
      <c r="F582" t="inlineStr">
        <is>
          <t>NORRBOTTENS LÄN</t>
        </is>
      </c>
      <c r="G582" t="inlineStr">
        <is>
          <t>BODEN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67068-2021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44522</v>
      </c>
      <c r="E583" s="1" t="n">
        <v>46309</v>
      </c>
      <c r="F583" t="inlineStr">
        <is>
          <t>NORRBOTTENS LÄN</t>
        </is>
      </c>
      <c r="G583" t="inlineStr">
        <is>
          <t>BODEN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45591</v>
      </c>
      <c r="E584" s="1" t="n">
        <v>46309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40115-2025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45893</v>
      </c>
      <c r="E585" s="1" t="n">
        <v>46309</v>
      </c>
      <c r="F585" t="inlineStr">
        <is>
          <t>NORRBOTTENS LÄN</t>
        </is>
      </c>
      <c r="G585" t="inlineStr">
        <is>
          <t>BODEN</t>
        </is>
      </c>
      <c r="H585" t="inlineStr">
        <is>
          <t>Övriga statliga verk och myndigheter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8120-2022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44609</v>
      </c>
      <c r="E586" s="1" t="n">
        <v>46309</v>
      </c>
      <c r="F586" t="inlineStr">
        <is>
          <t>NORRBOTTENS LÄN</t>
        </is>
      </c>
      <c r="G586" t="inlineStr">
        <is>
          <t>BODEN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45841</v>
      </c>
      <c r="E587" s="1" t="n">
        <v>46309</v>
      </c>
      <c r="F587" t="inlineStr">
        <is>
          <t>NORRBOTTENS LÄN</t>
        </is>
      </c>
      <c r="G587" t="inlineStr">
        <is>
          <t>BODEN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38371-2023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45161</v>
      </c>
      <c r="E588" s="1" t="n">
        <v>46309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46309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17839-2025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45758</v>
      </c>
      <c r="E590" s="1" t="n">
        <v>46309</v>
      </c>
      <c r="F590" t="inlineStr">
        <is>
          <t>NORRBOTTENS LÄN</t>
        </is>
      </c>
      <c r="G590" t="inlineStr">
        <is>
          <t>BODEN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46309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46147</v>
      </c>
      <c r="E592" s="1" t="n">
        <v>46309</v>
      </c>
      <c r="F592" t="inlineStr">
        <is>
          <t>NORRBOTTENS LÄN</t>
        </is>
      </c>
      <c r="G592" t="inlineStr">
        <is>
          <t>BODEN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46150</v>
      </c>
      <c r="E593" s="1" t="n">
        <v>46309</v>
      </c>
      <c r="F593" t="inlineStr">
        <is>
          <t>NORRBOTTENS LÄN</t>
        </is>
      </c>
      <c r="G593" t="inlineStr">
        <is>
          <t>BODEN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34760-2022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44795</v>
      </c>
      <c r="E594" s="1" t="n">
        <v>46309</v>
      </c>
      <c r="F594" t="inlineStr">
        <is>
          <t>NORRBOTTENS LÄN</t>
        </is>
      </c>
      <c r="G594" t="inlineStr">
        <is>
          <t>BODEN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46150</v>
      </c>
      <c r="E595" s="1" t="n">
        <v>46309</v>
      </c>
      <c r="F595" t="inlineStr">
        <is>
          <t>NORRBOTTENS LÄN</t>
        </is>
      </c>
      <c r="G595" t="inlineStr">
        <is>
          <t>BODEN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22259-2026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46309</v>
      </c>
      <c r="F596" t="inlineStr">
        <is>
          <t>NORRBOTTENS LÄN</t>
        </is>
      </c>
      <c r="G596" t="inlineStr">
        <is>
          <t>BODEN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46309</v>
      </c>
      <c r="F597" t="inlineStr">
        <is>
          <t>NORRBOTTENS LÄN</t>
        </is>
      </c>
      <c r="G597" t="inlineStr">
        <is>
          <t>BODEN</t>
        </is>
      </c>
      <c r="I597" t="n">
        <v>11.6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46309</v>
      </c>
      <c r="F598" t="inlineStr">
        <is>
          <t>NORRBOTTENS LÄN</t>
        </is>
      </c>
      <c r="G598" t="inlineStr">
        <is>
          <t>BODEN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50327-2023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45216</v>
      </c>
      <c r="E599" s="1" t="n">
        <v>46309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45596</v>
      </c>
      <c r="E600" s="1" t="n">
        <v>46309</v>
      </c>
      <c r="F600" t="inlineStr">
        <is>
          <t>NORRBOTTENS LÄN</t>
        </is>
      </c>
      <c r="G600" t="inlineStr">
        <is>
          <t>BODEN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50103-2024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45600</v>
      </c>
      <c r="E601" s="1" t="n">
        <v>46309</v>
      </c>
      <c r="F601" t="inlineStr">
        <is>
          <t>NORRBOTTENS LÄN</t>
        </is>
      </c>
      <c r="G601" t="inlineStr">
        <is>
          <t>BODEN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50107-2024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45600</v>
      </c>
      <c r="E602" s="1" t="n">
        <v>46309</v>
      </c>
      <c r="F602" t="inlineStr">
        <is>
          <t>NORRBOTTENS LÄN</t>
        </is>
      </c>
      <c r="G602" t="inlineStr">
        <is>
          <t>BODEN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706-2022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44566</v>
      </c>
      <c r="E603" s="1" t="n">
        <v>46309</v>
      </c>
      <c r="F603" t="inlineStr">
        <is>
          <t>NORRBOTTENS LÄN</t>
        </is>
      </c>
      <c r="G603" t="inlineStr">
        <is>
          <t>BODEN</t>
        </is>
      </c>
      <c r="I603" t="n">
        <v>12.4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46154</v>
      </c>
      <c r="E604" s="1" t="n">
        <v>46309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45408</v>
      </c>
      <c r="E605" s="1" t="n">
        <v>46309</v>
      </c>
      <c r="F605" t="inlineStr">
        <is>
          <t>NORRBOTTENS LÄN</t>
        </is>
      </c>
      <c r="G605" t="inlineStr">
        <is>
          <t>BODEN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19068-2024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45427</v>
      </c>
      <c r="E606" s="1" t="n">
        <v>46309</v>
      </c>
      <c r="F606" t="inlineStr">
        <is>
          <t>NORRBOTTENS LÄN</t>
        </is>
      </c>
      <c r="G606" t="inlineStr">
        <is>
          <t>BODEN</t>
        </is>
      </c>
      <c r="I606" t="n">
        <v>22.1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46309</v>
      </c>
      <c r="F607" t="inlineStr">
        <is>
          <t>NORRBOTTENS LÄN</t>
        </is>
      </c>
      <c r="G607" t="inlineStr">
        <is>
          <t>BODEN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45639</v>
      </c>
      <c r="E608" s="1" t="n">
        <v>46309</v>
      </c>
      <c r="F608" t="inlineStr">
        <is>
          <t>NORRBOTTENS LÄN</t>
        </is>
      </c>
      <c r="G608" t="inlineStr">
        <is>
          <t>BODEN</t>
        </is>
      </c>
      <c r="I608" t="n">
        <v>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59035-2025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46309</v>
      </c>
      <c r="F609" t="inlineStr">
        <is>
          <t>NORRBOTTENS LÄN</t>
        </is>
      </c>
      <c r="G609" t="inlineStr">
        <is>
          <t>BODEN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61587-2024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45646</v>
      </c>
      <c r="E610" s="1" t="n">
        <v>46309</v>
      </c>
      <c r="F610" t="inlineStr">
        <is>
          <t>NORRBOTTENS LÄN</t>
        </is>
      </c>
      <c r="G610" t="inlineStr">
        <is>
          <t>BODEN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28758-2024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45478</v>
      </c>
      <c r="E611" s="1" t="n">
        <v>46309</v>
      </c>
      <c r="F611" t="inlineStr">
        <is>
          <t>NORRBOTTENS LÄN</t>
        </is>
      </c>
      <c r="G611" t="inlineStr">
        <is>
          <t>BODEN</t>
        </is>
      </c>
      <c r="I611" t="n">
        <v>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46309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21329-2024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45440</v>
      </c>
      <c r="E613" s="1" t="n">
        <v>46309</v>
      </c>
      <c r="F613" t="inlineStr">
        <is>
          <t>NORRBOTTENS LÄN</t>
        </is>
      </c>
      <c r="G613" t="inlineStr">
        <is>
          <t>BODEN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45411</v>
      </c>
      <c r="E614" s="1" t="n">
        <v>46309</v>
      </c>
      <c r="F614" t="inlineStr">
        <is>
          <t>NORRBOTTENS LÄN</t>
        </is>
      </c>
      <c r="G614" t="inlineStr">
        <is>
          <t>BODEN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2426-2024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45310</v>
      </c>
      <c r="E615" s="1" t="n">
        <v>46309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11092-2022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44628</v>
      </c>
      <c r="E616" s="1" t="n">
        <v>46309</v>
      </c>
      <c r="F616" t="inlineStr">
        <is>
          <t>NORRBOTTENS LÄN</t>
        </is>
      </c>
      <c r="G616" t="inlineStr">
        <is>
          <t>BODEN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45561</v>
      </c>
      <c r="E617" s="1" t="n">
        <v>46309</v>
      </c>
      <c r="F617" t="inlineStr">
        <is>
          <t>NORRBOTTENS LÄN</t>
        </is>
      </c>
      <c r="G617" t="inlineStr">
        <is>
          <t>BODEN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32347-2024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45512</v>
      </c>
      <c r="E618" s="1" t="n">
        <v>46309</v>
      </c>
      <c r="F618" t="inlineStr">
        <is>
          <t>NORRBOTTENS LÄN</t>
        </is>
      </c>
      <c r="G618" t="inlineStr">
        <is>
          <t>BODEN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46309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11.3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45875</v>
      </c>
      <c r="E620" s="1" t="n">
        <v>46309</v>
      </c>
      <c r="F620" t="inlineStr">
        <is>
          <t>NORRBOTTENS LÄN</t>
        </is>
      </c>
      <c r="G620" t="inlineStr">
        <is>
          <t>BODEN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15157-2025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45744</v>
      </c>
      <c r="E621" s="1" t="n">
        <v>46309</v>
      </c>
      <c r="F621" t="inlineStr">
        <is>
          <t>NORRBOTTENS LÄN</t>
        </is>
      </c>
      <c r="G621" t="inlineStr">
        <is>
          <t>BODEN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45691</v>
      </c>
      <c r="E622" s="1" t="n">
        <v>46309</v>
      </c>
      <c r="F622" t="inlineStr">
        <is>
          <t>NORRBOTTENS LÄN</t>
        </is>
      </c>
      <c r="G622" t="inlineStr">
        <is>
          <t>BODEN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46309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23792-2026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46309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48950-2022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44859</v>
      </c>
      <c r="E625" s="1" t="n">
        <v>46309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46309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46164</v>
      </c>
      <c r="E627" s="1" t="n">
        <v>46309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49859-2023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46309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4630-2025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45687</v>
      </c>
      <c r="E629" s="1" t="n">
        <v>46309</v>
      </c>
      <c r="F629" t="inlineStr">
        <is>
          <t>NORRBOTTENS LÄN</t>
        </is>
      </c>
      <c r="G629" t="inlineStr">
        <is>
          <t>BODEN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46309</v>
      </c>
      <c r="F630" t="inlineStr">
        <is>
          <t>NORRBOTTENS LÄN</t>
        </is>
      </c>
      <c r="G630" t="inlineStr">
        <is>
          <t>BODEN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41487-2024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45560</v>
      </c>
      <c r="E631" s="1" t="n">
        <v>46309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45770</v>
      </c>
      <c r="E632" s="1" t="n">
        <v>46309</v>
      </c>
      <c r="F632" t="inlineStr">
        <is>
          <t>NORRBOTTENS LÄN</t>
        </is>
      </c>
      <c r="G632" t="inlineStr">
        <is>
          <t>BODEN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46309</v>
      </c>
      <c r="F633" t="inlineStr">
        <is>
          <t>NORRBOTTENS LÄN</t>
        </is>
      </c>
      <c r="G633" t="inlineStr">
        <is>
          <t>BODEN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46309</v>
      </c>
      <c r="F634" t="inlineStr">
        <is>
          <t>NORRBOTTENS LÄN</t>
        </is>
      </c>
      <c r="G634" t="inlineStr">
        <is>
          <t>BODEN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40157-2025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45894</v>
      </c>
      <c r="E635" s="1" t="n">
        <v>46309</v>
      </c>
      <c r="F635" t="inlineStr">
        <is>
          <t>NORRBOTTENS LÄN</t>
        </is>
      </c>
      <c r="G635" t="inlineStr">
        <is>
          <t>BODEN</t>
        </is>
      </c>
      <c r="H635" t="inlineStr">
        <is>
          <t>Övriga statliga verk och myndigheter</t>
        </is>
      </c>
      <c r="I635" t="n">
        <v>17.6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46309</v>
      </c>
      <c r="F636" t="inlineStr">
        <is>
          <t>NORRBOTTENS LÄN</t>
        </is>
      </c>
      <c r="G636" t="inlineStr">
        <is>
          <t>BODEN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46309</v>
      </c>
      <c r="F637" t="inlineStr">
        <is>
          <t>NORRBOTTENS LÄN</t>
        </is>
      </c>
      <c r="G637" t="inlineStr">
        <is>
          <t>BODEN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46309</v>
      </c>
      <c r="F638" t="inlineStr">
        <is>
          <t>NORRBOTTENS LÄN</t>
        </is>
      </c>
      <c r="G638" t="inlineStr">
        <is>
          <t>BODEN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24717-2026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46309</v>
      </c>
      <c r="F639" t="inlineStr">
        <is>
          <t>NORRBOTTENS LÄN</t>
        </is>
      </c>
      <c r="G639" t="inlineStr">
        <is>
          <t>BODEN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31456-2024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45505</v>
      </c>
      <c r="E640" s="1" t="n">
        <v>46309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24805-2026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46172</v>
      </c>
      <c r="E641" s="1" t="n">
        <v>46309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46309</v>
      </c>
      <c r="F642" t="inlineStr">
        <is>
          <t>NORRBOTTENS LÄN</t>
        </is>
      </c>
      <c r="G642" t="inlineStr">
        <is>
          <t>BODEN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46309</v>
      </c>
      <c r="F643" t="inlineStr">
        <is>
          <t>NORRBOTTENS LÄN</t>
        </is>
      </c>
      <c r="G643" t="inlineStr">
        <is>
          <t>BODEN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45460</v>
      </c>
      <c r="E644" s="1" t="n">
        <v>46309</v>
      </c>
      <c r="F644" t="inlineStr">
        <is>
          <t>NORRBOTTENS LÄN</t>
        </is>
      </c>
      <c r="G644" t="inlineStr">
        <is>
          <t>BODEN</t>
        </is>
      </c>
      <c r="H644" t="inlineStr">
        <is>
          <t>Övriga Aktiebolag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55317-2023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45237</v>
      </c>
      <c r="E645" s="1" t="n">
        <v>46309</v>
      </c>
      <c r="F645" t="inlineStr">
        <is>
          <t>NORRBOTTENS LÄN</t>
        </is>
      </c>
      <c r="G645" t="inlineStr">
        <is>
          <t>BODEN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46309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49162-2023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45210</v>
      </c>
      <c r="E647" s="1" t="n">
        <v>46309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46309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45448-2023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45194</v>
      </c>
      <c r="E649" s="1" t="n">
        <v>46309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45161</v>
      </c>
      <c r="E650" s="1" t="n">
        <v>46309</v>
      </c>
      <c r="F650" t="inlineStr">
        <is>
          <t>NORRBOTTENS LÄN</t>
        </is>
      </c>
      <c r="G650" t="inlineStr">
        <is>
          <t>BODEN</t>
        </is>
      </c>
      <c r="I650" t="n">
        <v>15.5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45356</v>
      </c>
      <c r="E651" s="1" t="n">
        <v>46309</v>
      </c>
      <c r="F651" t="inlineStr">
        <is>
          <t>NORRBOTTENS LÄN</t>
        </is>
      </c>
      <c r="G651" t="inlineStr">
        <is>
          <t>BODEN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46309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7.5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46309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44783</v>
      </c>
      <c r="E654" s="1" t="n">
        <v>46309</v>
      </c>
      <c r="F654" t="inlineStr">
        <is>
          <t>NORRBOTTENS LÄN</t>
        </is>
      </c>
      <c r="G654" t="inlineStr">
        <is>
          <t>BODEN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47097-2023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45201</v>
      </c>
      <c r="E655" s="1" t="n">
        <v>46309</v>
      </c>
      <c r="F655" t="inlineStr">
        <is>
          <t>NORRBOTTENS LÄN</t>
        </is>
      </c>
      <c r="G655" t="inlineStr">
        <is>
          <t>BODEN</t>
        </is>
      </c>
      <c r="I655" t="n">
        <v>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46309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46309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26182-2026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46309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8.5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11865-2025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45728</v>
      </c>
      <c r="E659" s="1" t="n">
        <v>46309</v>
      </c>
      <c r="F659" t="inlineStr">
        <is>
          <t>NORRBOTTENS LÄN</t>
        </is>
      </c>
      <c r="G659" t="inlineStr">
        <is>
          <t>BODEN</t>
        </is>
      </c>
      <c r="H659" t="inlineStr">
        <is>
          <t>Övriga Aktiebolag</t>
        </is>
      </c>
      <c r="I659" t="n">
        <v>10.6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26448-2026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46309</v>
      </c>
      <c r="F660" t="inlineStr">
        <is>
          <t>NORRBOTTENS LÄN</t>
        </is>
      </c>
      <c r="G660" t="inlineStr">
        <is>
          <t>BODEN</t>
        </is>
      </c>
      <c r="I660" t="n">
        <v>7.7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57579-2023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45246</v>
      </c>
      <c r="E661" s="1" t="n">
        <v>46309</v>
      </c>
      <c r="F661" t="inlineStr">
        <is>
          <t>NORRBOTTENS LÄN</t>
        </is>
      </c>
      <c r="G661" t="inlineStr">
        <is>
          <t>BODEN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45762</v>
      </c>
      <c r="E662" s="1" t="n">
        <v>46309</v>
      </c>
      <c r="F662" t="inlineStr">
        <is>
          <t>NORRBOTTENS LÄN</t>
        </is>
      </c>
      <c r="G662" t="inlineStr">
        <is>
          <t>BODEN</t>
        </is>
      </c>
      <c r="I662" t="n">
        <v>5.8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46309</v>
      </c>
      <c r="F663" t="inlineStr">
        <is>
          <t>NORRBOTTENS LÄN</t>
        </is>
      </c>
      <c r="G663" t="inlineStr">
        <is>
          <t>BODEN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45166</v>
      </c>
      <c r="E664" s="1" t="n">
        <v>46309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45718</v>
      </c>
      <c r="E665" s="1" t="n">
        <v>46309</v>
      </c>
      <c r="F665" t="inlineStr">
        <is>
          <t>NORRBOTTENS LÄN</t>
        </is>
      </c>
      <c r="G665" t="inlineStr">
        <is>
          <t>BODEN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46309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26776-2026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46309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  <c r="Z667">
        <f>HYPERLINK("https://klasma.github.io/Logging_2582/knärot/A 26776-2026 karta knärot.png", "A 26776-2026")</f>
        <v/>
      </c>
      <c r="AA667">
        <f>HYPERLINK("https://klasma.github.io/Logging_2582/klagomål/A 26776-2026 FSC-klagomål.docx", "A 26776-2026")</f>
        <v/>
      </c>
      <c r="AB667">
        <f>HYPERLINK("https://klasma.github.io/Logging_2582/klagomålsmail/A 26776-2026 FSC-klagomål mail.docx", "A 26776-2026")</f>
        <v/>
      </c>
      <c r="AC667">
        <f>HYPERLINK("https://klasma.github.io/Logging_2582/tillsyn/A 26776-2026 tillsynsbegäran.docx", "A 26776-2026")</f>
        <v/>
      </c>
      <c r="AD667">
        <f>HYPERLINK("https://klasma.github.io/Logging_2582/tillsynsmail/A 26776-2026 tillsynsbegäran mail.docx", "A 26776-2026")</f>
        <v/>
      </c>
    </row>
    <row r="668" ht="15" customHeight="1">
      <c r="A668" t="inlineStr">
        <is>
          <t>A 26714-2026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46184</v>
      </c>
      <c r="E668" s="1" t="n">
        <v>46309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46309</v>
      </c>
      <c r="F669" t="inlineStr">
        <is>
          <t>NORRBOTTENS LÄN</t>
        </is>
      </c>
      <c r="G669" t="inlineStr">
        <is>
          <t>BODEN</t>
        </is>
      </c>
      <c r="I669" t="n">
        <v>17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46184</v>
      </c>
      <c r="E670" s="1" t="n">
        <v>46309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42.2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45256</v>
      </c>
      <c r="E671" s="1" t="n">
        <v>46309</v>
      </c>
      <c r="F671" t="inlineStr">
        <is>
          <t>NORRBOTTENS LÄN</t>
        </is>
      </c>
      <c r="G671" t="inlineStr">
        <is>
          <t>BODEN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57604-2021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44484</v>
      </c>
      <c r="E672" s="1" t="n">
        <v>46309</v>
      </c>
      <c r="F672" t="inlineStr">
        <is>
          <t>NORRBOTTENS LÄN</t>
        </is>
      </c>
      <c r="G672" t="inlineStr">
        <is>
          <t>BODEN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45680</v>
      </c>
      <c r="E673" s="1" t="n">
        <v>46309</v>
      </c>
      <c r="F673" t="inlineStr">
        <is>
          <t>NORRBOTTENS LÄN</t>
        </is>
      </c>
      <c r="G673" t="inlineStr">
        <is>
          <t>BODEN</t>
        </is>
      </c>
      <c r="H673" t="inlineStr">
        <is>
          <t>Naturvårdsverket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59890-2023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45254</v>
      </c>
      <c r="E674" s="1" t="n">
        <v>46309</v>
      </c>
      <c r="F674" t="inlineStr">
        <is>
          <t>NORRBOTTENS LÄN</t>
        </is>
      </c>
      <c r="G674" t="inlineStr">
        <is>
          <t>BODEN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45257</v>
      </c>
      <c r="E675" s="1" t="n">
        <v>46309</v>
      </c>
      <c r="F675" t="inlineStr">
        <is>
          <t>NORRBOTTENS LÄN</t>
        </is>
      </c>
      <c r="G675" t="inlineStr">
        <is>
          <t>BODEN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44648</v>
      </c>
      <c r="E676" s="1" t="n">
        <v>46309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46309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46191</v>
      </c>
      <c r="E678" s="1" t="n">
        <v>46309</v>
      </c>
      <c r="F678" t="inlineStr">
        <is>
          <t>NORRBOTTENS LÄN</t>
        </is>
      </c>
      <c r="G678" t="inlineStr">
        <is>
          <t>BODEN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46309</v>
      </c>
      <c r="F679" t="inlineStr">
        <is>
          <t>NORRBOTTENS LÄN</t>
        </is>
      </c>
      <c r="G679" t="inlineStr">
        <is>
          <t>BODEN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28566-2026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46309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46309</v>
      </c>
      <c r="F681" t="inlineStr">
        <is>
          <t>NORRBOTTENS LÄN</t>
        </is>
      </c>
      <c r="G681" t="inlineStr">
        <is>
          <t>BODEN</t>
        </is>
      </c>
      <c r="I681" t="n">
        <v>10.8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28509-2026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46309</v>
      </c>
      <c r="F682" t="inlineStr">
        <is>
          <t>NORRBOTTENS LÄN</t>
        </is>
      </c>
      <c r="G682" t="inlineStr">
        <is>
          <t>BODEN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5792-2025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45694</v>
      </c>
      <c r="E683" s="1" t="n">
        <v>46309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46309</v>
      </c>
      <c r="F684" t="inlineStr">
        <is>
          <t>NORRBOTTENS LÄN</t>
        </is>
      </c>
      <c r="G684" t="inlineStr">
        <is>
          <t>BODEN</t>
        </is>
      </c>
      <c r="I684" t="n">
        <v>14.5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46309</v>
      </c>
      <c r="F685" t="inlineStr">
        <is>
          <t>NORRBOTTENS LÄN</t>
        </is>
      </c>
      <c r="G685" t="inlineStr">
        <is>
          <t>BODEN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46197</v>
      </c>
      <c r="E686" s="1" t="n">
        <v>46309</v>
      </c>
      <c r="F686" t="inlineStr">
        <is>
          <t>NORRBOTTENS LÄN</t>
        </is>
      </c>
      <c r="G686" t="inlineStr">
        <is>
          <t>BODEN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60337-2024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46309</v>
      </c>
      <c r="F687" t="inlineStr">
        <is>
          <t>NORRBOTTENS LÄN</t>
        </is>
      </c>
      <c r="G687" t="inlineStr">
        <is>
          <t>BODEN</t>
        </is>
      </c>
      <c r="I687" t="n">
        <v>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61241-2023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45260</v>
      </c>
      <c r="E688" s="1" t="n">
        <v>46309</v>
      </c>
      <c r="F688" t="inlineStr">
        <is>
          <t>NORRBOTTENS LÄN</t>
        </is>
      </c>
      <c r="G688" t="inlineStr">
        <is>
          <t>BODEN</t>
        </is>
      </c>
      <c r="I688" t="n">
        <v>33.9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15881-2023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45022</v>
      </c>
      <c r="E689" s="1" t="n">
        <v>46309</v>
      </c>
      <c r="F689" t="inlineStr">
        <is>
          <t>NORRBOTTENS LÄN</t>
        </is>
      </c>
      <c r="G689" t="inlineStr">
        <is>
          <t>BODEN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1497-2022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44573</v>
      </c>
      <c r="E690" s="1" t="n">
        <v>46309</v>
      </c>
      <c r="F690" t="inlineStr">
        <is>
          <t>NORRBOTTENS LÄN</t>
        </is>
      </c>
      <c r="G690" t="inlineStr">
        <is>
          <t>BODEN</t>
        </is>
      </c>
      <c r="H690" t="inlineStr">
        <is>
          <t>Övriga statliga verk och myndigheter</t>
        </is>
      </c>
      <c r="I690" t="n">
        <v>9.9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7442-2024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45345</v>
      </c>
      <c r="E691" s="1" t="n">
        <v>46309</v>
      </c>
      <c r="F691" t="inlineStr">
        <is>
          <t>NORRBOTTENS LÄN</t>
        </is>
      </c>
      <c r="G691" t="inlineStr">
        <is>
          <t>BODEN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46309</v>
      </c>
      <c r="F692" t="inlineStr">
        <is>
          <t>NORRBOTTENS LÄN</t>
        </is>
      </c>
      <c r="G692" t="inlineStr">
        <is>
          <t>BODEN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64975-2023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45285</v>
      </c>
      <c r="E693" s="1" t="n">
        <v>46309</v>
      </c>
      <c r="F693" t="inlineStr">
        <is>
          <t>NORRBOTTENS LÄN</t>
        </is>
      </c>
      <c r="G693" t="inlineStr">
        <is>
          <t>BODEN</t>
        </is>
      </c>
      <c r="I693" t="n">
        <v>9.4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35115-2024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45529</v>
      </c>
      <c r="E694" s="1" t="n">
        <v>46309</v>
      </c>
      <c r="F694" t="inlineStr">
        <is>
          <t>NORRBOTTENS LÄN</t>
        </is>
      </c>
      <c r="G694" t="inlineStr">
        <is>
          <t>BODEN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25627-2022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44732</v>
      </c>
      <c r="E695" s="1" t="n">
        <v>46309</v>
      </c>
      <c r="F695" t="inlineStr">
        <is>
          <t>NORRBOTTENS LÄN</t>
        </is>
      </c>
      <c r="G695" t="inlineStr">
        <is>
          <t>BODEN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4055-2024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45323</v>
      </c>
      <c r="E696" s="1" t="n">
        <v>46309</v>
      </c>
      <c r="F696" t="inlineStr">
        <is>
          <t>NORRBOTTENS LÄN</t>
        </is>
      </c>
      <c r="G696" t="inlineStr">
        <is>
          <t>BODEN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46309</v>
      </c>
      <c r="F697" t="inlineStr">
        <is>
          <t>NORRBOTTENS LÄN</t>
        </is>
      </c>
      <c r="G697" t="inlineStr">
        <is>
          <t>BODEN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7159-2023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44970</v>
      </c>
      <c r="E698" s="1" t="n">
        <v>46309</v>
      </c>
      <c r="F698" t="inlineStr">
        <is>
          <t>NORRBOTTENS LÄN</t>
        </is>
      </c>
      <c r="G698" t="inlineStr">
        <is>
          <t>BODEN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29555-2026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46204</v>
      </c>
      <c r="E699" s="1" t="n">
        <v>46309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29155-2026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46202</v>
      </c>
      <c r="E700" s="1" t="n">
        <v>46309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29147-2026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46202</v>
      </c>
      <c r="E701" s="1" t="n">
        <v>46309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29152-2026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46202</v>
      </c>
      <c r="E702" s="1" t="n">
        <v>46309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49124-2023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45210</v>
      </c>
      <c r="E703" s="1" t="n">
        <v>46309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45692</v>
      </c>
      <c r="E704" s="1" t="n">
        <v>46309</v>
      </c>
      <c r="F704" t="inlineStr">
        <is>
          <t>NORRBOTTENS LÄN</t>
        </is>
      </c>
      <c r="G704" t="inlineStr">
        <is>
          <t>BODEN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31754-2024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45509</v>
      </c>
      <c r="E705" s="1" t="n">
        <v>46309</v>
      </c>
      <c r="F705" t="inlineStr">
        <is>
          <t>NORRBOTTENS LÄN</t>
        </is>
      </c>
      <c r="G705" t="inlineStr">
        <is>
          <t>BODEN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36438-2024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46309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46309</v>
      </c>
      <c r="F707" t="inlineStr">
        <is>
          <t>NORRBOTTENS LÄN</t>
        </is>
      </c>
      <c r="G707" t="inlineStr">
        <is>
          <t>BODEN</t>
        </is>
      </c>
      <c r="I707" t="n">
        <v>12.2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44964</v>
      </c>
      <c r="E708" s="1" t="n">
        <v>46309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46309</v>
      </c>
      <c r="F709" t="inlineStr">
        <is>
          <t>NORRBOTTENS LÄN</t>
        </is>
      </c>
      <c r="G709" t="inlineStr">
        <is>
          <t>BODEN</t>
        </is>
      </c>
      <c r="I709" t="n">
        <v>38.7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46309</v>
      </c>
      <c r="F710" t="inlineStr">
        <is>
          <t>NORRBOTTENS LÄN</t>
        </is>
      </c>
      <c r="G710" t="inlineStr">
        <is>
          <t>BODEN</t>
        </is>
      </c>
      <c r="H710" t="inlineStr">
        <is>
          <t>Kommuner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37114-2024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45539</v>
      </c>
      <c r="E711" s="1" t="n">
        <v>46309</v>
      </c>
      <c r="F711" t="inlineStr">
        <is>
          <t>NORRBOTTENS LÄN</t>
        </is>
      </c>
      <c r="G711" t="inlineStr">
        <is>
          <t>BODEN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46309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30025-2026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46309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30077-2026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46206</v>
      </c>
      <c r="E714" s="1" t="n">
        <v>46309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30332-2026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46208</v>
      </c>
      <c r="E715" s="1" t="n">
        <v>46309</v>
      </c>
      <c r="F715" t="inlineStr">
        <is>
          <t>NORRBOTTENS LÄN</t>
        </is>
      </c>
      <c r="G715" t="inlineStr">
        <is>
          <t>BODEN</t>
        </is>
      </c>
      <c r="I715" t="n">
        <v>9.800000000000001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46309</v>
      </c>
      <c r="F716" t="inlineStr">
        <is>
          <t>NORRBOTTENS LÄN</t>
        </is>
      </c>
      <c r="G716" t="inlineStr">
        <is>
          <t>BODEN</t>
        </is>
      </c>
      <c r="H716" t="inlineStr">
        <is>
          <t>Kommuner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30430-2026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46209</v>
      </c>
      <c r="E717" s="1" t="n">
        <v>46309</v>
      </c>
      <c r="F717" t="inlineStr">
        <is>
          <t>NORRBOTTENS LÄN</t>
        </is>
      </c>
      <c r="G717" t="inlineStr">
        <is>
          <t>BODEN</t>
        </is>
      </c>
      <c r="H717" t="inlineStr">
        <is>
          <t>Kommuner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19563-2024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45429</v>
      </c>
      <c r="E718" s="1" t="n">
        <v>46309</v>
      </c>
      <c r="F718" t="inlineStr">
        <is>
          <t>NORRBOTTENS LÄN</t>
        </is>
      </c>
      <c r="G718" t="inlineStr">
        <is>
          <t>BODEN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30745-2026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46211</v>
      </c>
      <c r="E719" s="1" t="n">
        <v>46309</v>
      </c>
      <c r="F719" t="inlineStr">
        <is>
          <t>NORRBOTTENS LÄN</t>
        </is>
      </c>
      <c r="G719" t="inlineStr">
        <is>
          <t>BODEN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28432-2022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44747</v>
      </c>
      <c r="E720" s="1" t="n">
        <v>46309</v>
      </c>
      <c r="F720" t="inlineStr">
        <is>
          <t>NORRBOTTENS LÄN</t>
        </is>
      </c>
      <c r="G720" t="inlineStr">
        <is>
          <t>BODEN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44706</v>
      </c>
      <c r="E721" s="1" t="n">
        <v>46309</v>
      </c>
      <c r="F721" t="inlineStr">
        <is>
          <t>NORRBOTTENS LÄN</t>
        </is>
      </c>
      <c r="G721" t="inlineStr">
        <is>
          <t>BODEN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53840-2022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44880</v>
      </c>
      <c r="E722" s="1" t="n">
        <v>46309</v>
      </c>
      <c r="F722" t="inlineStr">
        <is>
          <t>NORRBOTTENS LÄN</t>
        </is>
      </c>
      <c r="G722" t="inlineStr">
        <is>
          <t>BODEN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9969-2023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44979</v>
      </c>
      <c r="E723" s="1" t="n">
        <v>46309</v>
      </c>
      <c r="F723" t="inlineStr">
        <is>
          <t>NORRBOTTENS LÄN</t>
        </is>
      </c>
      <c r="G723" t="inlineStr">
        <is>
          <t>BODEN</t>
        </is>
      </c>
      <c r="H723" t="inlineStr">
        <is>
          <t>Övriga statliga verk och myndigheter</t>
        </is>
      </c>
      <c r="I723" t="n">
        <v>18.8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877-2023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44931</v>
      </c>
      <c r="E724" s="1" t="n">
        <v>46309</v>
      </c>
      <c r="F724" t="inlineStr">
        <is>
          <t>NORRBOTTENS LÄN</t>
        </is>
      </c>
      <c r="G724" t="inlineStr">
        <is>
          <t>BODEN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46217</v>
      </c>
      <c r="E725" s="1" t="n">
        <v>46309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43648-2023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45187</v>
      </c>
      <c r="E726" s="1" t="n">
        <v>46309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46309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8.800000000000001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46217</v>
      </c>
      <c r="E728" s="1" t="n">
        <v>46309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46309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46052-2025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46309</v>
      </c>
      <c r="F730" t="inlineStr">
        <is>
          <t>NORRBOTTENS LÄN</t>
        </is>
      </c>
      <c r="G730" t="inlineStr">
        <is>
          <t>BODEN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48471-2024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45591</v>
      </c>
      <c r="E731" s="1" t="n">
        <v>46309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45894</v>
      </c>
      <c r="E732" s="1" t="n">
        <v>46309</v>
      </c>
      <c r="F732" t="inlineStr">
        <is>
          <t>NORRBOTTENS LÄN</t>
        </is>
      </c>
      <c r="G732" t="inlineStr">
        <is>
          <t>BODEN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14757-2023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45014</v>
      </c>
      <c r="E733" s="1" t="n">
        <v>46309</v>
      </c>
      <c r="F733" t="inlineStr">
        <is>
          <t>NORRBOTTENS LÄN</t>
        </is>
      </c>
      <c r="G733" t="inlineStr">
        <is>
          <t>BODEN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46309</v>
      </c>
      <c r="F734" t="inlineStr">
        <is>
          <t>NORRBOTTENS LÄN</t>
        </is>
      </c>
      <c r="G734" t="inlineStr">
        <is>
          <t>BODEN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37984-2024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46309</v>
      </c>
      <c r="F735" t="inlineStr">
        <is>
          <t>NORRBOTTENS LÄN</t>
        </is>
      </c>
      <c r="G735" t="inlineStr">
        <is>
          <t>BODEN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45001</v>
      </c>
      <c r="E736" s="1" t="n">
        <v>46309</v>
      </c>
      <c r="F736" t="inlineStr">
        <is>
          <t>NORRBOTTENS LÄN</t>
        </is>
      </c>
      <c r="G736" t="inlineStr">
        <is>
          <t>BODEN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44964</v>
      </c>
      <c r="E737" s="1" t="n">
        <v>46309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46268</v>
      </c>
      <c r="E738" s="1" t="n">
        <v>46309</v>
      </c>
      <c r="F738" t="inlineStr">
        <is>
          <t>NORRBOTTENS LÄN</t>
        </is>
      </c>
      <c r="G738" t="inlineStr">
        <is>
          <t>BODEN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46225</v>
      </c>
      <c r="E739" s="1" t="n">
        <v>46309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36398-2026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46268</v>
      </c>
      <c r="E740" s="1" t="n">
        <v>46309</v>
      </c>
      <c r="F740" t="inlineStr">
        <is>
          <t>NORRBOTTENS LÄN</t>
        </is>
      </c>
      <c r="G740" t="inlineStr">
        <is>
          <t>BODEN</t>
        </is>
      </c>
      <c r="H740" t="inlineStr">
        <is>
          <t>Kommuner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46267</v>
      </c>
      <c r="E741" s="1" t="n">
        <v>46309</v>
      </c>
      <c r="F741" t="inlineStr">
        <is>
          <t>NORRBOTTENS LÄN</t>
        </is>
      </c>
      <c r="G741" t="inlineStr">
        <is>
          <t>BODEN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45105</v>
      </c>
      <c r="E742" s="1" t="n">
        <v>46309</v>
      </c>
      <c r="F742" t="inlineStr">
        <is>
          <t>NORRBOTTENS LÄN</t>
        </is>
      </c>
      <c r="G742" t="inlineStr">
        <is>
          <t>BODEN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3462-2022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44585</v>
      </c>
      <c r="E743" s="1" t="n">
        <v>46309</v>
      </c>
      <c r="F743" t="inlineStr">
        <is>
          <t>NORRBOTTENS LÄN</t>
        </is>
      </c>
      <c r="G743" t="inlineStr">
        <is>
          <t>BODEN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46029</v>
      </c>
      <c r="E744" s="1" t="n">
        <v>46309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46564-2022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44847</v>
      </c>
      <c r="E745" s="1" t="n">
        <v>46309</v>
      </c>
      <c r="F745" t="inlineStr">
        <is>
          <t>NORRBOTTENS LÄN</t>
        </is>
      </c>
      <c r="G745" t="inlineStr">
        <is>
          <t>BODEN</t>
        </is>
      </c>
      <c r="I745" t="n">
        <v>28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36792-2026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46272</v>
      </c>
      <c r="E746" s="1" t="n">
        <v>46309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36430-2026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46269</v>
      </c>
      <c r="E747" s="1" t="n">
        <v>46309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46270</v>
      </c>
      <c r="E748" s="1" t="n">
        <v>46309</v>
      </c>
      <c r="F748" t="inlineStr">
        <is>
          <t>NORRBOTTENS LÄN</t>
        </is>
      </c>
      <c r="G748" t="inlineStr">
        <is>
          <t>BODEN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36241-2026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46268</v>
      </c>
      <c r="E749" s="1" t="n">
        <v>46309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3146-2024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45316</v>
      </c>
      <c r="E750" s="1" t="n">
        <v>46309</v>
      </c>
      <c r="F750" t="inlineStr">
        <is>
          <t>NORRBOTTENS LÄN</t>
        </is>
      </c>
      <c r="G750" t="inlineStr">
        <is>
          <t>BODEN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73910-2021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44552</v>
      </c>
      <c r="E751" s="1" t="n">
        <v>46309</v>
      </c>
      <c r="F751" t="inlineStr">
        <is>
          <t>NORRBOTTENS LÄN</t>
        </is>
      </c>
      <c r="G751" t="inlineStr">
        <is>
          <t>BODEN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8776-2022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44614</v>
      </c>
      <c r="E752" s="1" t="n">
        <v>46309</v>
      </c>
      <c r="F752" t="inlineStr">
        <is>
          <t>NORRBOTTENS LÄN</t>
        </is>
      </c>
      <c r="G752" t="inlineStr">
        <is>
          <t>BODEN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46274</v>
      </c>
      <c r="E753" s="1" t="n">
        <v>46309</v>
      </c>
      <c r="F753" t="inlineStr">
        <is>
          <t>NORRBOTTENS LÄN</t>
        </is>
      </c>
      <c r="G753" t="inlineStr">
        <is>
          <t>BODEN</t>
        </is>
      </c>
      <c r="I753" t="n">
        <v>9.800000000000001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26806-2024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45470</v>
      </c>
      <c r="E754" s="1" t="n">
        <v>46309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37029-2026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46309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11.8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47423-2024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45587</v>
      </c>
      <c r="E756" s="1" t="n">
        <v>46309</v>
      </c>
      <c r="F756" t="inlineStr">
        <is>
          <t>NORRBOTTENS LÄN</t>
        </is>
      </c>
      <c r="G756" t="inlineStr">
        <is>
          <t>BODEN</t>
        </is>
      </c>
      <c r="I756" t="n">
        <v>17.2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37162-2026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46274</v>
      </c>
      <c r="E757" s="1" t="n">
        <v>46309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46274</v>
      </c>
      <c r="E758" s="1" t="n">
        <v>46309</v>
      </c>
      <c r="F758" t="inlineStr">
        <is>
          <t>NORRBOTTENS LÄN</t>
        </is>
      </c>
      <c r="G758" t="inlineStr">
        <is>
          <t>BODEN</t>
        </is>
      </c>
      <c r="I758" t="n">
        <v>12.3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46309</v>
      </c>
      <c r="F759" t="inlineStr">
        <is>
          <t>NORRBOTTENS LÄN</t>
        </is>
      </c>
      <c r="G759" t="inlineStr">
        <is>
          <t>BODEN</t>
        </is>
      </c>
      <c r="I759" t="n">
        <v>6.4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708-2022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44566</v>
      </c>
      <c r="E760" s="1" t="n">
        <v>46309</v>
      </c>
      <c r="F760" t="inlineStr">
        <is>
          <t>NORRBOTTENS LÄN</t>
        </is>
      </c>
      <c r="G760" t="inlineStr">
        <is>
          <t>BODEN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45685</v>
      </c>
      <c r="E761" s="1" t="n">
        <v>46309</v>
      </c>
      <c r="F761" t="inlineStr">
        <is>
          <t>NORRBOTTENS LÄN</t>
        </is>
      </c>
      <c r="G761" t="inlineStr">
        <is>
          <t>BODEN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37791-2024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45543</v>
      </c>
      <c r="E762" s="1" t="n">
        <v>46309</v>
      </c>
      <c r="F762" t="inlineStr">
        <is>
          <t>NORRBOTTENS LÄN</t>
        </is>
      </c>
      <c r="G762" t="inlineStr">
        <is>
          <t>BODEN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37589-2026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46276</v>
      </c>
      <c r="E763" s="1" t="n">
        <v>46309</v>
      </c>
      <c r="F763" t="inlineStr">
        <is>
          <t>NORRBOTTENS LÄN</t>
        </is>
      </c>
      <c r="G763" t="inlineStr">
        <is>
          <t>BODEN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37436-2026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46275</v>
      </c>
      <c r="E764" s="1" t="n">
        <v>46309</v>
      </c>
      <c r="F764" t="inlineStr">
        <is>
          <t>NORRBOTTENS LÄN</t>
        </is>
      </c>
      <c r="G764" t="inlineStr">
        <is>
          <t>BODEN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37478-2026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46275</v>
      </c>
      <c r="E765" s="1" t="n">
        <v>46309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46276</v>
      </c>
      <c r="E766" s="1" t="n">
        <v>46309</v>
      </c>
      <c r="F766" t="inlineStr">
        <is>
          <t>NORRBOTTENS LÄN</t>
        </is>
      </c>
      <c r="G766" t="inlineStr">
        <is>
          <t>BODEN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57563-2023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45246</v>
      </c>
      <c r="E767" s="1" t="n">
        <v>46309</v>
      </c>
      <c r="F767" t="inlineStr">
        <is>
          <t>NORRBOTTENS LÄN</t>
        </is>
      </c>
      <c r="G767" t="inlineStr">
        <is>
          <t>BODEN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46309</v>
      </c>
      <c r="F768" t="inlineStr">
        <is>
          <t>NORRBOTTENS LÄN</t>
        </is>
      </c>
      <c r="G768" t="inlineStr">
        <is>
          <t>BODEN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45035-2022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44841</v>
      </c>
      <c r="E769" s="1" t="n">
        <v>46309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46275</v>
      </c>
      <c r="E770" s="1" t="n">
        <v>46309</v>
      </c>
      <c r="F770" t="inlineStr">
        <is>
          <t>NORRBOTTENS LÄN</t>
        </is>
      </c>
      <c r="G770" t="inlineStr">
        <is>
          <t>BODEN</t>
        </is>
      </c>
      <c r="I770" t="n">
        <v>23.1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18436-2025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46309</v>
      </c>
      <c r="F771" t="inlineStr">
        <is>
          <t>NORRBOTTENS LÄN</t>
        </is>
      </c>
      <c r="G771" t="inlineStr">
        <is>
          <t>BODEN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46275</v>
      </c>
      <c r="E772" s="1" t="n">
        <v>46309</v>
      </c>
      <c r="F772" t="inlineStr">
        <is>
          <t>NORRBOTTENS LÄN</t>
        </is>
      </c>
      <c r="G772" t="inlineStr">
        <is>
          <t>BODEN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28074-2024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45476</v>
      </c>
      <c r="E773" s="1" t="n">
        <v>46309</v>
      </c>
      <c r="F773" t="inlineStr">
        <is>
          <t>NORRBOTTENS LÄN</t>
        </is>
      </c>
      <c r="G773" t="inlineStr">
        <is>
          <t>BODEN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32087-2026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46234</v>
      </c>
      <c r="E774" s="1" t="n">
        <v>46309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46309</v>
      </c>
      <c r="F775" t="inlineStr">
        <is>
          <t>NORRBOTTENS LÄN</t>
        </is>
      </c>
      <c r="G775" t="inlineStr">
        <is>
          <t>BODEN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46234</v>
      </c>
      <c r="E776" s="1" t="n">
        <v>46309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46309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30105-2023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45099</v>
      </c>
      <c r="E778" s="1" t="n">
        <v>46309</v>
      </c>
      <c r="F778" t="inlineStr">
        <is>
          <t>NORRBOTTENS LÄN</t>
        </is>
      </c>
      <c r="G778" t="inlineStr">
        <is>
          <t>BODEN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61588-2024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45646</v>
      </c>
      <c r="E779" s="1" t="n">
        <v>46309</v>
      </c>
      <c r="F779" t="inlineStr">
        <is>
          <t>NORRBOTTENS LÄN</t>
        </is>
      </c>
      <c r="G779" t="inlineStr">
        <is>
          <t>BODEN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46281</v>
      </c>
      <c r="E780" s="1" t="n">
        <v>46309</v>
      </c>
      <c r="F780" t="inlineStr">
        <is>
          <t>NORRBOTTENS LÄN</t>
        </is>
      </c>
      <c r="G780" t="inlineStr">
        <is>
          <t>BODEN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38272-2026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46281</v>
      </c>
      <c r="E781" s="1" t="n">
        <v>46309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38212-2026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46281</v>
      </c>
      <c r="E782" s="1" t="n">
        <v>46309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Aktiebolag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46281</v>
      </c>
      <c r="E783" s="1" t="n">
        <v>46309</v>
      </c>
      <c r="F783" t="inlineStr">
        <is>
          <t>NORRBOTTENS LÄN</t>
        </is>
      </c>
      <c r="G783" t="inlineStr">
        <is>
          <t>BODEN</t>
        </is>
      </c>
      <c r="H783" t="inlineStr">
        <is>
          <t>Övriga Aktiebolag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46238</v>
      </c>
      <c r="E784" s="1" t="n">
        <v>46309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46238</v>
      </c>
      <c r="E785" s="1" t="n">
        <v>46309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19757-2025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45770</v>
      </c>
      <c r="E786" s="1" t="n">
        <v>46309</v>
      </c>
      <c r="F786" t="inlineStr">
        <is>
          <t>NORRBOTTENS LÄN</t>
        </is>
      </c>
      <c r="G786" t="inlineStr">
        <is>
          <t>BODEN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32562-2026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46239</v>
      </c>
      <c r="E787" s="1" t="n">
        <v>46309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26.6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23706-2024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45454</v>
      </c>
      <c r="E788" s="1" t="n">
        <v>46309</v>
      </c>
      <c r="F788" t="inlineStr">
        <is>
          <t>NORRBOTTENS LÄN</t>
        </is>
      </c>
      <c r="G788" t="inlineStr">
        <is>
          <t>BODEN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19582-2025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45770</v>
      </c>
      <c r="E789" s="1" t="n">
        <v>46309</v>
      </c>
      <c r="F789" t="inlineStr">
        <is>
          <t>NORRBOTTENS LÄN</t>
        </is>
      </c>
      <c r="G789" t="inlineStr">
        <is>
          <t>BODEN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2732-2025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45677</v>
      </c>
      <c r="E790" s="1" t="n">
        <v>46309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45425</v>
      </c>
      <c r="E791" s="1" t="n">
        <v>46309</v>
      </c>
      <c r="F791" t="inlineStr">
        <is>
          <t>NORRBOTTENS LÄN</t>
        </is>
      </c>
      <c r="G791" t="inlineStr">
        <is>
          <t>BODEN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19968-2025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45771</v>
      </c>
      <c r="E792" s="1" t="n">
        <v>46309</v>
      </c>
      <c r="F792" t="inlineStr">
        <is>
          <t>NORRBOTTENS LÄN</t>
        </is>
      </c>
      <c r="G792" t="inlineStr">
        <is>
          <t>BODEN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33034-2023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45125</v>
      </c>
      <c r="E793" s="1" t="n">
        <v>46309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32674-2026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46240</v>
      </c>
      <c r="E794" s="1" t="n">
        <v>46309</v>
      </c>
      <c r="F794" t="inlineStr">
        <is>
          <t>NORRBOTTENS LÄN</t>
        </is>
      </c>
      <c r="G794" t="inlineStr">
        <is>
          <t>BODEN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62140-2024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46309</v>
      </c>
      <c r="F795" t="inlineStr">
        <is>
          <t>NORRBOTTENS LÄN</t>
        </is>
      </c>
      <c r="G795" t="inlineStr">
        <is>
          <t>BODEN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32678-2026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46240</v>
      </c>
      <c r="E796" s="1" t="n">
        <v>46309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19082-2025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45766</v>
      </c>
      <c r="E797" s="1" t="n">
        <v>46309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35561-2025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45856</v>
      </c>
      <c r="E798" s="1" t="n">
        <v>46309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38576-2026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46283</v>
      </c>
      <c r="E799" s="1" t="n">
        <v>46309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58504-2024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45635</v>
      </c>
      <c r="E800" s="1" t="n">
        <v>46309</v>
      </c>
      <c r="F800" t="inlineStr">
        <is>
          <t>NORRBOTTENS LÄN</t>
        </is>
      </c>
      <c r="G800" t="inlineStr">
        <is>
          <t>BODEN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28357-2023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45099</v>
      </c>
      <c r="E801" s="1" t="n">
        <v>46309</v>
      </c>
      <c r="F801" t="inlineStr">
        <is>
          <t>NORRBOTTENS LÄN</t>
        </is>
      </c>
      <c r="G801" t="inlineStr">
        <is>
          <t>BODEN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45832</v>
      </c>
      <c r="E802" s="1" t="n">
        <v>46309</v>
      </c>
      <c r="F802" t="inlineStr">
        <is>
          <t>NORRBOTTENS LÄN</t>
        </is>
      </c>
      <c r="G802" t="inlineStr">
        <is>
          <t>BODEN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38574-2026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46283</v>
      </c>
      <c r="E803" s="1" t="n">
        <v>46309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15017-2022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44657</v>
      </c>
      <c r="E804" s="1" t="n">
        <v>46309</v>
      </c>
      <c r="F804" t="inlineStr">
        <is>
          <t>NORRBOTTENS LÄN</t>
        </is>
      </c>
      <c r="G804" t="inlineStr">
        <is>
          <t>BODEN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46309</v>
      </c>
      <c r="F805" t="inlineStr">
        <is>
          <t>NORRBOTTENS LÄN</t>
        </is>
      </c>
      <c r="G805" t="inlineStr">
        <is>
          <t>BODEN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61487-2023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45264</v>
      </c>
      <c r="E806" s="1" t="n">
        <v>46309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46309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46309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46309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46309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46309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39007-2026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46287</v>
      </c>
      <c r="E812" s="1" t="n">
        <v>46309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29183-2026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46202</v>
      </c>
      <c r="E813" s="1" t="n">
        <v>46309</v>
      </c>
      <c r="F813" t="inlineStr">
        <is>
          <t>NORRBOTTENS LÄN</t>
        </is>
      </c>
      <c r="G813" t="inlineStr">
        <is>
          <t>BODEN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39220-2026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46287</v>
      </c>
      <c r="E814" s="1" t="n">
        <v>46309</v>
      </c>
      <c r="F814" t="inlineStr">
        <is>
          <t>NORRBOTTENS LÄN</t>
        </is>
      </c>
      <c r="G814" t="inlineStr">
        <is>
          <t>BODEN</t>
        </is>
      </c>
      <c r="H814" t="inlineStr">
        <is>
          <t>Övriga Aktiebolag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17417-2023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45035</v>
      </c>
      <c r="E815" s="1" t="n">
        <v>46309</v>
      </c>
      <c r="F815" t="inlineStr">
        <is>
          <t>NORRBOTTENS LÄN</t>
        </is>
      </c>
      <c r="G815" t="inlineStr">
        <is>
          <t>BODEN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45341</v>
      </c>
      <c r="E816" s="1" t="n">
        <v>46309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statliga verk och myndigheter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39943-2026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46309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46309</v>
      </c>
      <c r="F818" t="inlineStr">
        <is>
          <t>NORRBOTTENS LÄN</t>
        </is>
      </c>
      <c r="G818" t="inlineStr">
        <is>
          <t>BODEN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46309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46309</v>
      </c>
      <c r="F820" t="inlineStr">
        <is>
          <t>NORRBOTTENS LÄN</t>
        </is>
      </c>
      <c r="G820" t="inlineStr">
        <is>
          <t>BODEN</t>
        </is>
      </c>
      <c r="I820" t="n">
        <v>24.6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42995-2022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44833</v>
      </c>
      <c r="E821" s="1" t="n">
        <v>46309</v>
      </c>
      <c r="F821" t="inlineStr">
        <is>
          <t>NORRBOTTENS LÄN</t>
        </is>
      </c>
      <c r="G821" t="inlineStr">
        <is>
          <t>BODEN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59893-2023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45254</v>
      </c>
      <c r="E822" s="1" t="n">
        <v>46309</v>
      </c>
      <c r="F822" t="inlineStr">
        <is>
          <t>NORRBOTTENS LÄN</t>
        </is>
      </c>
      <c r="G822" t="inlineStr">
        <is>
          <t>BODEN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1017-2023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44935</v>
      </c>
      <c r="E823" s="1" t="n">
        <v>46309</v>
      </c>
      <c r="F823" t="inlineStr">
        <is>
          <t>NORRBOTTENS LÄN</t>
        </is>
      </c>
      <c r="G823" t="inlineStr">
        <is>
          <t>BODEN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46309</v>
      </c>
      <c r="F824" t="inlineStr">
        <is>
          <t>NORRBOTTENS LÄN</t>
        </is>
      </c>
      <c r="G824" t="inlineStr">
        <is>
          <t>BODEN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46309</v>
      </c>
      <c r="F825" t="inlineStr">
        <is>
          <t>NORRBOTTENS LÄN</t>
        </is>
      </c>
      <c r="G825" t="inlineStr">
        <is>
          <t>BODEN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40151-2026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46293</v>
      </c>
      <c r="E826" s="1" t="n">
        <v>46309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56837-2023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45244</v>
      </c>
      <c r="E827" s="1" t="n">
        <v>46309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statliga verk och myndigheter</t>
        </is>
      </c>
      <c r="I827" t="n">
        <v>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61969-2024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45653</v>
      </c>
      <c r="E828" s="1" t="n">
        <v>46309</v>
      </c>
      <c r="F828" t="inlineStr">
        <is>
          <t>NORRBOTTENS LÄN</t>
        </is>
      </c>
      <c r="G828" t="inlineStr">
        <is>
          <t>BODEN</t>
        </is>
      </c>
      <c r="I828" t="n">
        <v>9.699999999999999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40028-2026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46293</v>
      </c>
      <c r="E829" s="1" t="n">
        <v>46309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1961-2025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45672</v>
      </c>
      <c r="E830" s="1" t="n">
        <v>46309</v>
      </c>
      <c r="F830" t="inlineStr">
        <is>
          <t>NORRBOTTENS LÄN</t>
        </is>
      </c>
      <c r="G830" t="inlineStr">
        <is>
          <t>BODEN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19624-2025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46309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28079-2024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45476</v>
      </c>
      <c r="E832" s="1" t="n">
        <v>46309</v>
      </c>
      <c r="F832" t="inlineStr">
        <is>
          <t>NORRBOTTENS LÄN</t>
        </is>
      </c>
      <c r="G832" t="inlineStr">
        <is>
          <t>BODEN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40434-2026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46294</v>
      </c>
      <c r="E833" s="1" t="n">
        <v>46309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40026-2026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46309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8.300000000000001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33671-2026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46248</v>
      </c>
      <c r="E835" s="1" t="n">
        <v>46309</v>
      </c>
      <c r="F835" t="inlineStr">
        <is>
          <t>NORRBOTTENS LÄN</t>
        </is>
      </c>
      <c r="G835" t="inlineStr">
        <is>
          <t>BODEN</t>
        </is>
      </c>
      <c r="I835" t="n">
        <v>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19048-2025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45764</v>
      </c>
      <c r="E836" s="1" t="n">
        <v>46309</v>
      </c>
      <c r="F836" t="inlineStr">
        <is>
          <t>NORRBOTTENS LÄN</t>
        </is>
      </c>
      <c r="G836" t="inlineStr">
        <is>
          <t>BODEN</t>
        </is>
      </c>
      <c r="I836" t="n">
        <v>5.7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19050-2025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45764</v>
      </c>
      <c r="E837" s="1" t="n">
        <v>46309</v>
      </c>
      <c r="F837" t="inlineStr">
        <is>
          <t>NORRBOTTENS LÄN</t>
        </is>
      </c>
      <c r="G837" t="inlineStr">
        <is>
          <t>BODEN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46029</v>
      </c>
      <c r="E838" s="1" t="n">
        <v>46309</v>
      </c>
      <c r="F838" t="inlineStr">
        <is>
          <t>NORRBOTTENS LÄN</t>
        </is>
      </c>
      <c r="G838" t="inlineStr">
        <is>
          <t>BODEN</t>
        </is>
      </c>
      <c r="H838" t="inlineStr">
        <is>
          <t>Naturvårdsverket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40701-2026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46296</v>
      </c>
      <c r="E839" s="1" t="n">
        <v>46309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34158-2026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46253</v>
      </c>
      <c r="E840" s="1" t="n">
        <v>46309</v>
      </c>
      <c r="F840" t="inlineStr">
        <is>
          <t>NORRBOTTENS LÄN</t>
        </is>
      </c>
      <c r="G840" t="inlineStr">
        <is>
          <t>BODEN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54236-2022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44881</v>
      </c>
      <c r="E841" s="1" t="n">
        <v>46309</v>
      </c>
      <c r="F841" t="inlineStr">
        <is>
          <t>NORRBOTTENS LÄN</t>
        </is>
      </c>
      <c r="G841" t="inlineStr">
        <is>
          <t>BODEN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40708-2026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46296</v>
      </c>
      <c r="E842" s="1" t="n">
        <v>46309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14801-2024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45397</v>
      </c>
      <c r="E843" s="1" t="n">
        <v>46309</v>
      </c>
      <c r="F843" t="inlineStr">
        <is>
          <t>NORRBOTTENS LÄN</t>
        </is>
      </c>
      <c r="G843" t="inlineStr">
        <is>
          <t>BODEN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14802-2024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45397</v>
      </c>
      <c r="E844" s="1" t="n">
        <v>46309</v>
      </c>
      <c r="F844" t="inlineStr">
        <is>
          <t>NORRBOTTENS LÄN</t>
        </is>
      </c>
      <c r="G844" t="inlineStr">
        <is>
          <t>BODEN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46251</v>
      </c>
      <c r="E845" s="1" t="n">
        <v>46309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13925-2024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45391</v>
      </c>
      <c r="E846" s="1" t="n">
        <v>46309</v>
      </c>
      <c r="F846" t="inlineStr">
        <is>
          <t>NORRBOTTENS LÄN</t>
        </is>
      </c>
      <c r="G846" t="inlineStr">
        <is>
          <t>BODEN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45778</v>
      </c>
      <c r="E847" s="1" t="n">
        <v>46309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21349-2025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45782</v>
      </c>
      <c r="E848" s="1" t="n">
        <v>46309</v>
      </c>
      <c r="F848" t="inlineStr">
        <is>
          <t>NORRBOTTENS LÄN</t>
        </is>
      </c>
      <c r="G848" t="inlineStr">
        <is>
          <t>BODEN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34022-2026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46309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19.5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27543-2025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45813</v>
      </c>
      <c r="E850" s="1" t="n">
        <v>46309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34333-2026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46309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18.5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46309</v>
      </c>
      <c r="F852" t="inlineStr">
        <is>
          <t>NORRBOTTENS LÄN</t>
        </is>
      </c>
      <c r="G852" t="inlineStr">
        <is>
          <t>BODEN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40873-2026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46297</v>
      </c>
      <c r="E853" s="1" t="n">
        <v>46309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41096-2026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46300</v>
      </c>
      <c r="E854" s="1" t="n">
        <v>46309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34462-2026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46254</v>
      </c>
      <c r="E855" s="1" t="n">
        <v>46309</v>
      </c>
      <c r="F855" t="inlineStr">
        <is>
          <t>NORRBOTTENS LÄN</t>
        </is>
      </c>
      <c r="G855" t="inlineStr">
        <is>
          <t>BODEN</t>
        </is>
      </c>
      <c r="I855" t="n">
        <v>4.5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34463-2026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46254</v>
      </c>
      <c r="E856" s="1" t="n">
        <v>46309</v>
      </c>
      <c r="F856" t="inlineStr">
        <is>
          <t>NORRBOTTENS LÄN</t>
        </is>
      </c>
      <c r="G856" t="inlineStr">
        <is>
          <t>BODEN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22372-2025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45786</v>
      </c>
      <c r="E857" s="1" t="n">
        <v>46309</v>
      </c>
      <c r="F857" t="inlineStr">
        <is>
          <t>NORRBOTTENS LÄN</t>
        </is>
      </c>
      <c r="G857" t="inlineStr">
        <is>
          <t>BODEN</t>
        </is>
      </c>
      <c r="H857" t="inlineStr">
        <is>
          <t>Kommuner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36115-2023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45149</v>
      </c>
      <c r="E858" s="1" t="n">
        <v>46309</v>
      </c>
      <c r="F858" t="inlineStr">
        <is>
          <t>NORRBOTTENS LÄN</t>
        </is>
      </c>
      <c r="G858" t="inlineStr">
        <is>
          <t>BODEN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41099-2026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46300</v>
      </c>
      <c r="E859" s="1" t="n">
        <v>46309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6.6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34517-2026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46255</v>
      </c>
      <c r="E860" s="1" t="n">
        <v>46309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41039-2026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46299</v>
      </c>
      <c r="E861" s="1" t="n">
        <v>46309</v>
      </c>
      <c r="F861" t="inlineStr">
        <is>
          <t>NORRBOTTENS LÄN</t>
        </is>
      </c>
      <c r="G861" t="inlineStr">
        <is>
          <t>BODEN</t>
        </is>
      </c>
      <c r="I861" t="n">
        <v>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41302-2026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46309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41140-2026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46300</v>
      </c>
      <c r="E863" s="1" t="n">
        <v>46309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41706-2026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46302</v>
      </c>
      <c r="E864" s="1" t="n">
        <v>46309</v>
      </c>
      <c r="F864" t="inlineStr">
        <is>
          <t>NORRBOTTENS LÄN</t>
        </is>
      </c>
      <c r="G864" t="inlineStr">
        <is>
          <t>BODEN</t>
        </is>
      </c>
      <c r="I864" t="n">
        <v>8.4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34898-2026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46259</v>
      </c>
      <c r="E865" s="1" t="n">
        <v>46309</v>
      </c>
      <c r="F865" t="inlineStr">
        <is>
          <t>NORRBOTTENS LÄN</t>
        </is>
      </c>
      <c r="G865" t="inlineStr">
        <is>
          <t>BODEN</t>
        </is>
      </c>
      <c r="H865" t="inlineStr">
        <is>
          <t>Naturvårdsverket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34897-2026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46259</v>
      </c>
      <c r="E866" s="1" t="n">
        <v>46309</v>
      </c>
      <c r="F866" t="inlineStr">
        <is>
          <t>NORRBOTTENS LÄN</t>
        </is>
      </c>
      <c r="G866" t="inlineStr">
        <is>
          <t>BODEN</t>
        </is>
      </c>
      <c r="H866" t="inlineStr">
        <is>
          <t>Naturvårdsverket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35060-2026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46259</v>
      </c>
      <c r="E867" s="1" t="n">
        <v>46309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44.8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41568-2026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46301</v>
      </c>
      <c r="E868" s="1" t="n">
        <v>46309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35373-2026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46261</v>
      </c>
      <c r="E869" s="1" t="n">
        <v>46309</v>
      </c>
      <c r="F869" t="inlineStr">
        <is>
          <t>NORRBOTTENS LÄN</t>
        </is>
      </c>
      <c r="G869" t="inlineStr">
        <is>
          <t>BODEN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42179-2026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46304</v>
      </c>
      <c r="E870" s="1" t="n">
        <v>46309</v>
      </c>
      <c r="F870" t="inlineStr">
        <is>
          <t>NORRBOTTENS LÄN</t>
        </is>
      </c>
      <c r="G870" t="inlineStr">
        <is>
          <t>BODEN</t>
        </is>
      </c>
      <c r="H870" t="inlineStr">
        <is>
          <t>SCA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35407-2026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46309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35381-2026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46309</v>
      </c>
      <c r="F872" t="inlineStr">
        <is>
          <t>NORRBOTTENS LÄN</t>
        </is>
      </c>
      <c r="G872" t="inlineStr">
        <is>
          <t>BODEN</t>
        </is>
      </c>
      <c r="I872" t="n">
        <v>10.9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46309</v>
      </c>
      <c r="F873" t="inlineStr">
        <is>
          <t>NORRBOTTENS LÄN</t>
        </is>
      </c>
      <c r="G873" t="inlineStr">
        <is>
          <t>BODEN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35295-2026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46309</v>
      </c>
      <c r="F874" t="inlineStr">
        <is>
          <t>NORRBOTTENS LÄN</t>
        </is>
      </c>
      <c r="G874" t="inlineStr">
        <is>
          <t>BODEN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  <c r="Z874">
        <f>HYPERLINK("https://klasma.github.io/Logging_2582/knärot/A 35295-2026 karta knärot.png", "A 35295-2026")</f>
        <v/>
      </c>
      <c r="AA874">
        <f>HYPERLINK("https://klasma.github.io/Logging_2582/klagomål/A 35295-2026 FSC-klagomål.docx", "A 35295-2026")</f>
        <v/>
      </c>
      <c r="AB874">
        <f>HYPERLINK("https://klasma.github.io/Logging_2582/klagomålsmail/A 35295-2026 FSC-klagomål mail.docx", "A 35295-2026")</f>
        <v/>
      </c>
      <c r="AC874">
        <f>HYPERLINK("https://klasma.github.io/Logging_2582/tillsyn/A 35295-2026 tillsynsbegäran.docx", "A 35295-2026")</f>
        <v/>
      </c>
      <c r="AD874">
        <f>HYPERLINK("https://klasma.github.io/Logging_2582/tillsynsmail/A 35295-2026 tillsynsbegäran mail.docx", "A 35295-2026")</f>
        <v/>
      </c>
    </row>
    <row r="875" ht="15" customHeight="1">
      <c r="A875" t="inlineStr">
        <is>
          <t>A 42214-2026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46306</v>
      </c>
      <c r="E875" s="1" t="n">
        <v>46309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42204-2026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46305</v>
      </c>
      <c r="E876" s="1" t="n">
        <v>46309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42316-2026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46307</v>
      </c>
      <c r="E877" s="1" t="n">
        <v>46309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42213-2026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46306</v>
      </c>
      <c r="E878" s="1" t="n">
        <v>46309</v>
      </c>
      <c r="F878" t="inlineStr">
        <is>
          <t>NORRBOTTENS LÄN</t>
        </is>
      </c>
      <c r="G878" t="inlineStr">
        <is>
          <t>BODEN</t>
        </is>
      </c>
      <c r="H878" t="inlineStr">
        <is>
          <t>SCA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46307</v>
      </c>
      <c r="E879" s="1" t="n">
        <v>46309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42203-2026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46305</v>
      </c>
      <c r="E880" s="1" t="n">
        <v>46309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7.3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35902-2026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46266</v>
      </c>
      <c r="E881" s="1" t="n">
        <v>46309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12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885-2024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45376</v>
      </c>
      <c r="E882" s="1" t="n">
        <v>46309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1063-2023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45013</v>
      </c>
      <c r="E883" s="1" t="n">
        <v>46309</v>
      </c>
      <c r="F883" t="inlineStr">
        <is>
          <t>NORRBOTTENS LÄN</t>
        </is>
      </c>
      <c r="G883" t="inlineStr">
        <is>
          <t>BODEN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883-2024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45376</v>
      </c>
      <c r="E884" s="1" t="n">
        <v>46309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52-2025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45667</v>
      </c>
      <c r="E885" s="1" t="n">
        <v>46309</v>
      </c>
      <c r="F885" t="inlineStr">
        <is>
          <t>NORRBOTTENS LÄN</t>
        </is>
      </c>
      <c r="G885" t="inlineStr">
        <is>
          <t>BODEN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190-2023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44945</v>
      </c>
      <c r="E886" s="1" t="n">
        <v>46309</v>
      </c>
      <c r="F886" t="inlineStr">
        <is>
          <t>NORRBOTTENS LÄN</t>
        </is>
      </c>
      <c r="G886" t="inlineStr">
        <is>
          <t>BODEN</t>
        </is>
      </c>
      <c r="H886" t="inlineStr">
        <is>
          <t>SCA</t>
        </is>
      </c>
      <c r="I886" t="n">
        <v>6.8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977-2025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46309</v>
      </c>
      <c r="F887" t="inlineStr">
        <is>
          <t>NORRBOTTENS LÄN</t>
        </is>
      </c>
      <c r="G887" t="inlineStr">
        <is>
          <t>BODEN</t>
        </is>
      </c>
      <c r="I887" t="n">
        <v>11.1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978-2025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45743</v>
      </c>
      <c r="E888" s="1" t="n">
        <v>46309</v>
      </c>
      <c r="F888" t="inlineStr">
        <is>
          <t>NORRBOTTENS LÄN</t>
        </is>
      </c>
      <c r="G888" t="inlineStr">
        <is>
          <t>BODEN</t>
        </is>
      </c>
      <c r="I888" t="n">
        <v>19.5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1498-2025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45789</v>
      </c>
      <c r="E889" s="1" t="n">
        <v>46309</v>
      </c>
      <c r="F889" t="inlineStr">
        <is>
          <t>NORRBOTTENS LÄN</t>
        </is>
      </c>
      <c r="G889" t="inlineStr">
        <is>
          <t>BODEN</t>
        </is>
      </c>
      <c r="H889" t="inlineStr">
        <is>
          <t>Övriga Aktiebolag</t>
        </is>
      </c>
      <c r="I889" t="n">
        <v>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1572-2025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45792</v>
      </c>
      <c r="E890" s="1" t="n">
        <v>46309</v>
      </c>
      <c r="F890" t="inlineStr">
        <is>
          <t>NORRBOTTENS LÄN</t>
        </is>
      </c>
      <c r="G890" t="inlineStr">
        <is>
          <t>BODEN</t>
        </is>
      </c>
      <c r="I890" t="n">
        <v>8.6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46309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1633-2025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46309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1632-2025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45799</v>
      </c>
      <c r="E893" s="1" t="n">
        <v>46309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1734-2025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45810</v>
      </c>
      <c r="E894" s="1" t="n">
        <v>46309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1811-2025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45818</v>
      </c>
      <c r="E895" s="1" t="n">
        <v>46309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2072-2025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45840</v>
      </c>
      <c r="E896" s="1" t="n">
        <v>46309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3580-2025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46018</v>
      </c>
      <c r="E897" s="1" t="n">
        <v>46309</v>
      </c>
      <c r="F897" t="inlineStr">
        <is>
          <t>NORRBOTTENS LÄN</t>
        </is>
      </c>
      <c r="G897" t="inlineStr">
        <is>
          <t>BODEN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46309</v>
      </c>
      <c r="F898" t="inlineStr">
        <is>
          <t>NORRBOTTENS LÄN</t>
        </is>
      </c>
      <c r="G898" t="inlineStr">
        <is>
          <t>BODEN</t>
        </is>
      </c>
      <c r="I898" t="n">
        <v>57.4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1261-2026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46309</v>
      </c>
      <c r="F899" t="inlineStr">
        <is>
          <t>NORRBOTTENS LÄN</t>
        </is>
      </c>
      <c r="G899" t="inlineStr">
        <is>
          <t>BODEN</t>
        </is>
      </c>
      <c r="I899" t="n">
        <v>16.9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1262-2026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46147</v>
      </c>
      <c r="E900" s="1" t="n">
        <v>46309</v>
      </c>
      <c r="F900" t="inlineStr">
        <is>
          <t>NORRBOTTENS LÄN</t>
        </is>
      </c>
      <c r="G900" t="inlineStr">
        <is>
          <t>BODEN</t>
        </is>
      </c>
      <c r="H900" t="inlineStr">
        <is>
          <t>Kommuner</t>
        </is>
      </c>
      <c r="I900" t="n">
        <v>16.2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1356-2026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46309</v>
      </c>
      <c r="F901" t="inlineStr">
        <is>
          <t>NORRBOTTENS LÄN</t>
        </is>
      </c>
      <c r="G901" t="inlineStr">
        <is>
          <t>BODEN</t>
        </is>
      </c>
      <c r="I901" t="n">
        <v>124.7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1357-2026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46152</v>
      </c>
      <c r="E902" s="1" t="n">
        <v>46309</v>
      </c>
      <c r="F902" t="inlineStr">
        <is>
          <t>NORRBOTTENS LÄN</t>
        </is>
      </c>
      <c r="G902" t="inlineStr">
        <is>
          <t>BODEN</t>
        </is>
      </c>
      <c r="I902" t="n">
        <v>38.2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>
      <c r="A903" t="inlineStr">
        <is>
          <t>S 1297-2026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46148</v>
      </c>
      <c r="E903" s="1" t="n">
        <v>46309</v>
      </c>
      <c r="F903" t="inlineStr">
        <is>
          <t>NORRBOTTENS LÄN</t>
        </is>
      </c>
      <c r="G903" t="inlineStr">
        <is>
          <t>BODEN</t>
        </is>
      </c>
      <c r="I903" t="n">
        <v>20.5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2026-10-14T02:00:02Z</dcterms:created>
  <dcterms:modified xmlns:dcterms="http://purl.org/dc/terms/" xmlns:xsi="http://www.w3.org/2001/XMLSchema-instance" xsi:type="dcterms:W3CDTF">2026-10-14T02:00:03Z</dcterms:modified>
</cp:coreProperties>
</file>