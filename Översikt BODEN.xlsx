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45832</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45832</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45832</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45832</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45832</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45832</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45832</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45832</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45832</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45832</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45832</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45832</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45832</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45832</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45832</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45832</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45832</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45832</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45832</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45832</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45832</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45832</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45832</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45832</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45832</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45832</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45832</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45832</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45832</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45832</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45832</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45832</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45832</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45832</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45832</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45832</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45832</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45832</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45832</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45832</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45832</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45832</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45832</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45832</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45832</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45832</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45832</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45832</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45832</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45832</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45832</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45832</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45832</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45832</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45832</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45832</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45832</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45832</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45832</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45832</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45832</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45832</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45832</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45832</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45832</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45832</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45832</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45832</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45832</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45832</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45832</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45832</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45832</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45832</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45832</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45832</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45832</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45832</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45832</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45832</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45832</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45832</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45832</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45832</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45832</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45832</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45832</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45832</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45832</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45832</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45832</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45832</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45832</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45832</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45832</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45832</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45832</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45832</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45832</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45832</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45832</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45832</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45832</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45832</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45832</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45832</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45832</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45832</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45832</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45832</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45832</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45832</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45832</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45832</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45832</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45832</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45832</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45832</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45832</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45832</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45832</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45832</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45832</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45832</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45832</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45832</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45832</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45832</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45832</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45832</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45832</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45832</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45832</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45832</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45832</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45832</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45832</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45832</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45832</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45832</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45832</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45832</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45832</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45832</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45832</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45832</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45832</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45832</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45832</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45832</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45832</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45832</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45832</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45832</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45832</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45832</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45832</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45832</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45832</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45832</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45832</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45832</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45832</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45832</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45832</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45832</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45832</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18176-2019</t>
        </is>
      </c>
      <c r="B170" s="1" t="n">
        <v>43558</v>
      </c>
      <c r="C170" s="1" t="n">
        <v>45832</v>
      </c>
      <c r="D170" t="inlineStr">
        <is>
          <t>NORRBOTTENS LÄN</t>
        </is>
      </c>
      <c r="E170" t="inlineStr">
        <is>
          <t>BODEN</t>
        </is>
      </c>
      <c r="F170" t="inlineStr">
        <is>
          <t>Sveaskog</t>
        </is>
      </c>
      <c r="G170" t="n">
        <v>27.5</v>
      </c>
      <c r="H170" t="n">
        <v>0</v>
      </c>
      <c r="I170" t="n">
        <v>0</v>
      </c>
      <c r="J170" t="n">
        <v>0</v>
      </c>
      <c r="K170" t="n">
        <v>0</v>
      </c>
      <c r="L170" t="n">
        <v>0</v>
      </c>
      <c r="M170" t="n">
        <v>0</v>
      </c>
      <c r="N170" t="n">
        <v>0</v>
      </c>
      <c r="O170" t="n">
        <v>0</v>
      </c>
      <c r="P170" t="n">
        <v>0</v>
      </c>
      <c r="Q170" t="n">
        <v>0</v>
      </c>
      <c r="R170" s="2" t="inlineStr"/>
    </row>
    <row r="171" ht="15" customHeight="1">
      <c r="A171" t="inlineStr">
        <is>
          <t>A 18939-2019</t>
        </is>
      </c>
      <c r="B171" s="1" t="n">
        <v>43563</v>
      </c>
      <c r="C171" s="1" t="n">
        <v>45832</v>
      </c>
      <c r="D171" t="inlineStr">
        <is>
          <t>NORRBOTTENS LÄN</t>
        </is>
      </c>
      <c r="E171" t="inlineStr">
        <is>
          <t>BODEN</t>
        </is>
      </c>
      <c r="G171" t="n">
        <v>0.9</v>
      </c>
      <c r="H171" t="n">
        <v>0</v>
      </c>
      <c r="I171" t="n">
        <v>0</v>
      </c>
      <c r="J171" t="n">
        <v>0</v>
      </c>
      <c r="K171" t="n">
        <v>0</v>
      </c>
      <c r="L171" t="n">
        <v>0</v>
      </c>
      <c r="M171" t="n">
        <v>0</v>
      </c>
      <c r="N171" t="n">
        <v>0</v>
      </c>
      <c r="O171" t="n">
        <v>0</v>
      </c>
      <c r="P171" t="n">
        <v>0</v>
      </c>
      <c r="Q171" t="n">
        <v>0</v>
      </c>
      <c r="R171" s="2" t="inlineStr"/>
    </row>
    <row r="172" ht="15" customHeight="1">
      <c r="A172" t="inlineStr">
        <is>
          <t>A 19558-2019</t>
        </is>
      </c>
      <c r="B172" s="1" t="n">
        <v>43565</v>
      </c>
      <c r="C172" s="1" t="n">
        <v>45832</v>
      </c>
      <c r="D172" t="inlineStr">
        <is>
          <t>NORRBOTTENS LÄN</t>
        </is>
      </c>
      <c r="E172" t="inlineStr">
        <is>
          <t>BODEN</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20295-2019</t>
        </is>
      </c>
      <c r="B173" s="1" t="n">
        <v>43567</v>
      </c>
      <c r="C173" s="1" t="n">
        <v>45832</v>
      </c>
      <c r="D173" t="inlineStr">
        <is>
          <t>NORRBOTTENS LÄN</t>
        </is>
      </c>
      <c r="E173" t="inlineStr">
        <is>
          <t>BODEN</t>
        </is>
      </c>
      <c r="G173" t="n">
        <v>1.6</v>
      </c>
      <c r="H173" t="n">
        <v>0</v>
      </c>
      <c r="I173" t="n">
        <v>0</v>
      </c>
      <c r="J173" t="n">
        <v>0</v>
      </c>
      <c r="K173" t="n">
        <v>0</v>
      </c>
      <c r="L173" t="n">
        <v>0</v>
      </c>
      <c r="M173" t="n">
        <v>0</v>
      </c>
      <c r="N173" t="n">
        <v>0</v>
      </c>
      <c r="O173" t="n">
        <v>0</v>
      </c>
      <c r="P173" t="n">
        <v>0</v>
      </c>
      <c r="Q173" t="n">
        <v>0</v>
      </c>
      <c r="R173" s="2" t="inlineStr"/>
    </row>
    <row r="174" ht="15" customHeight="1">
      <c r="A174" t="inlineStr">
        <is>
          <t>A 20903-2019</t>
        </is>
      </c>
      <c r="B174" s="1" t="n">
        <v>43573</v>
      </c>
      <c r="C174" s="1" t="n">
        <v>45832</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20916-2019</t>
        </is>
      </c>
      <c r="B175" s="1" t="n">
        <v>43573</v>
      </c>
      <c r="C175" s="1" t="n">
        <v>45832</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21129-2019</t>
        </is>
      </c>
      <c r="B176" s="1" t="n">
        <v>43579</v>
      </c>
      <c r="C176" s="1" t="n">
        <v>45832</v>
      </c>
      <c r="D176" t="inlineStr">
        <is>
          <t>NORRBOTTENS LÄN</t>
        </is>
      </c>
      <c r="E176" t="inlineStr">
        <is>
          <t>BODEN</t>
        </is>
      </c>
      <c r="F176" t="inlineStr">
        <is>
          <t>Sveaskog</t>
        </is>
      </c>
      <c r="G176" t="n">
        <v>10.5</v>
      </c>
      <c r="H176" t="n">
        <v>0</v>
      </c>
      <c r="I176" t="n">
        <v>0</v>
      </c>
      <c r="J176" t="n">
        <v>0</v>
      </c>
      <c r="K176" t="n">
        <v>0</v>
      </c>
      <c r="L176" t="n">
        <v>0</v>
      </c>
      <c r="M176" t="n">
        <v>0</v>
      </c>
      <c r="N176" t="n">
        <v>0</v>
      </c>
      <c r="O176" t="n">
        <v>0</v>
      </c>
      <c r="P176" t="n">
        <v>0</v>
      </c>
      <c r="Q176" t="n">
        <v>0</v>
      </c>
      <c r="R176" s="2" t="inlineStr"/>
    </row>
    <row r="177" ht="15" customHeight="1">
      <c r="A177" t="inlineStr">
        <is>
          <t>A 21953-2019</t>
        </is>
      </c>
      <c r="B177" s="1" t="n">
        <v>43584</v>
      </c>
      <c r="C177" s="1" t="n">
        <v>45832</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22330-2019</t>
        </is>
      </c>
      <c r="B178" s="1" t="n">
        <v>43586</v>
      </c>
      <c r="C178" s="1" t="n">
        <v>45832</v>
      </c>
      <c r="D178" t="inlineStr">
        <is>
          <t>NORRBOTTENS LÄN</t>
        </is>
      </c>
      <c r="E178" t="inlineStr">
        <is>
          <t>BODEN</t>
        </is>
      </c>
      <c r="G178" t="n">
        <v>7.4</v>
      </c>
      <c r="H178" t="n">
        <v>0</v>
      </c>
      <c r="I178" t="n">
        <v>0</v>
      </c>
      <c r="J178" t="n">
        <v>0</v>
      </c>
      <c r="K178" t="n">
        <v>0</v>
      </c>
      <c r="L178" t="n">
        <v>0</v>
      </c>
      <c r="M178" t="n">
        <v>0</v>
      </c>
      <c r="N178" t="n">
        <v>0</v>
      </c>
      <c r="O178" t="n">
        <v>0</v>
      </c>
      <c r="P178" t="n">
        <v>0</v>
      </c>
      <c r="Q178" t="n">
        <v>0</v>
      </c>
      <c r="R178" s="2" t="inlineStr"/>
    </row>
    <row r="179" ht="15" customHeight="1">
      <c r="A179" t="inlineStr">
        <is>
          <t>A 22907-2019</t>
        </is>
      </c>
      <c r="B179" s="1" t="n">
        <v>43591</v>
      </c>
      <c r="C179" s="1" t="n">
        <v>45832</v>
      </c>
      <c r="D179" t="inlineStr">
        <is>
          <t>NORRBOTTENS LÄN</t>
        </is>
      </c>
      <c r="E179" t="inlineStr">
        <is>
          <t>BODEN</t>
        </is>
      </c>
      <c r="F179" t="inlineStr">
        <is>
          <t>Övriga Aktiebolag</t>
        </is>
      </c>
      <c r="G179" t="n">
        <v>4.1</v>
      </c>
      <c r="H179" t="n">
        <v>0</v>
      </c>
      <c r="I179" t="n">
        <v>0</v>
      </c>
      <c r="J179" t="n">
        <v>0</v>
      </c>
      <c r="K179" t="n">
        <v>0</v>
      </c>
      <c r="L179" t="n">
        <v>0</v>
      </c>
      <c r="M179" t="n">
        <v>0</v>
      </c>
      <c r="N179" t="n">
        <v>0</v>
      </c>
      <c r="O179" t="n">
        <v>0</v>
      </c>
      <c r="P179" t="n">
        <v>0</v>
      </c>
      <c r="Q179" t="n">
        <v>0</v>
      </c>
      <c r="R179" s="2" t="inlineStr"/>
    </row>
    <row r="180" ht="15" customHeight="1">
      <c r="A180" t="inlineStr">
        <is>
          <t>A 23082-2019</t>
        </is>
      </c>
      <c r="B180" s="1" t="n">
        <v>43591</v>
      </c>
      <c r="C180" s="1" t="n">
        <v>45832</v>
      </c>
      <c r="D180" t="inlineStr">
        <is>
          <t>NORRBOTTENS LÄN</t>
        </is>
      </c>
      <c r="E180" t="inlineStr">
        <is>
          <t>BODEN</t>
        </is>
      </c>
      <c r="F180" t="inlineStr">
        <is>
          <t>SCA</t>
        </is>
      </c>
      <c r="G180" t="n">
        <v>7.9</v>
      </c>
      <c r="H180" t="n">
        <v>0</v>
      </c>
      <c r="I180" t="n">
        <v>0</v>
      </c>
      <c r="J180" t="n">
        <v>0</v>
      </c>
      <c r="K180" t="n">
        <v>0</v>
      </c>
      <c r="L180" t="n">
        <v>0</v>
      </c>
      <c r="M180" t="n">
        <v>0</v>
      </c>
      <c r="N180" t="n">
        <v>0</v>
      </c>
      <c r="O180" t="n">
        <v>0</v>
      </c>
      <c r="P180" t="n">
        <v>0</v>
      </c>
      <c r="Q180" t="n">
        <v>0</v>
      </c>
      <c r="R180" s="2" t="inlineStr"/>
    </row>
    <row r="181" ht="15" customHeight="1">
      <c r="A181" t="inlineStr">
        <is>
          <t>A 23152-2019</t>
        </is>
      </c>
      <c r="B181" s="1" t="n">
        <v>43591</v>
      </c>
      <c r="C181" s="1" t="n">
        <v>45832</v>
      </c>
      <c r="D181" t="inlineStr">
        <is>
          <t>NORRBOTTENS LÄN</t>
        </is>
      </c>
      <c r="E181" t="inlineStr">
        <is>
          <t>BODEN</t>
        </is>
      </c>
      <c r="G181" t="n">
        <v>53</v>
      </c>
      <c r="H181" t="n">
        <v>0</v>
      </c>
      <c r="I181" t="n">
        <v>0</v>
      </c>
      <c r="J181" t="n">
        <v>0</v>
      </c>
      <c r="K181" t="n">
        <v>0</v>
      </c>
      <c r="L181" t="n">
        <v>0</v>
      </c>
      <c r="M181" t="n">
        <v>0</v>
      </c>
      <c r="N181" t="n">
        <v>0</v>
      </c>
      <c r="O181" t="n">
        <v>0</v>
      </c>
      <c r="P181" t="n">
        <v>0</v>
      </c>
      <c r="Q181" t="n">
        <v>0</v>
      </c>
      <c r="R181" s="2" t="inlineStr"/>
    </row>
    <row r="182" ht="15" customHeight="1">
      <c r="A182" t="inlineStr">
        <is>
          <t>A 23312-2019</t>
        </is>
      </c>
      <c r="B182" s="1" t="n">
        <v>43593</v>
      </c>
      <c r="C182" s="1" t="n">
        <v>45832</v>
      </c>
      <c r="D182" t="inlineStr">
        <is>
          <t>NORRBOTTENS LÄN</t>
        </is>
      </c>
      <c r="E182" t="inlineStr">
        <is>
          <t>BODEN</t>
        </is>
      </c>
      <c r="F182" t="inlineStr">
        <is>
          <t>Övriga Aktiebolag</t>
        </is>
      </c>
      <c r="G182" t="n">
        <v>2.7</v>
      </c>
      <c r="H182" t="n">
        <v>0</v>
      </c>
      <c r="I182" t="n">
        <v>0</v>
      </c>
      <c r="J182" t="n">
        <v>0</v>
      </c>
      <c r="K182" t="n">
        <v>0</v>
      </c>
      <c r="L182" t="n">
        <v>0</v>
      </c>
      <c r="M182" t="n">
        <v>0</v>
      </c>
      <c r="N182" t="n">
        <v>0</v>
      </c>
      <c r="O182" t="n">
        <v>0</v>
      </c>
      <c r="P182" t="n">
        <v>0</v>
      </c>
      <c r="Q182" t="n">
        <v>0</v>
      </c>
      <c r="R182" s="2" t="inlineStr"/>
      <c r="U182">
        <f>HYPERLINK("https://klasma.github.io/Logging_2582/knärot/A 23312-2019 karta knärot.png", "A 23312-2019")</f>
        <v/>
      </c>
      <c r="V182">
        <f>HYPERLINK("https://klasma.github.io/Logging_2582/klagomål/A 23312-2019 FSC-klagomål.docx", "A 23312-2019")</f>
        <v/>
      </c>
      <c r="W182">
        <f>HYPERLINK("https://klasma.github.io/Logging_2582/klagomålsmail/A 23312-2019 FSC-klagomål mail.docx", "A 23312-2019")</f>
        <v/>
      </c>
      <c r="X182">
        <f>HYPERLINK("https://klasma.github.io/Logging_2582/tillsyn/A 23312-2019 tillsynsbegäran.docx", "A 23312-2019")</f>
        <v/>
      </c>
      <c r="Y182">
        <f>HYPERLINK("https://klasma.github.io/Logging_2582/tillsynsmail/A 23312-2019 tillsynsbegäran mail.docx", "A 23312-2019")</f>
        <v/>
      </c>
    </row>
    <row r="183" ht="15" customHeight="1">
      <c r="A183" t="inlineStr">
        <is>
          <t>A 24156-2019</t>
        </is>
      </c>
      <c r="B183" s="1" t="n">
        <v>43598</v>
      </c>
      <c r="C183" s="1" t="n">
        <v>45832</v>
      </c>
      <c r="D183" t="inlineStr">
        <is>
          <t>NORRBOTTENS LÄN</t>
        </is>
      </c>
      <c r="E183" t="inlineStr">
        <is>
          <t>BODEN</t>
        </is>
      </c>
      <c r="G183" t="n">
        <v>8.6</v>
      </c>
      <c r="H183" t="n">
        <v>0</v>
      </c>
      <c r="I183" t="n">
        <v>0</v>
      </c>
      <c r="J183" t="n">
        <v>0</v>
      </c>
      <c r="K183" t="n">
        <v>0</v>
      </c>
      <c r="L183" t="n">
        <v>0</v>
      </c>
      <c r="M183" t="n">
        <v>0</v>
      </c>
      <c r="N183" t="n">
        <v>0</v>
      </c>
      <c r="O183" t="n">
        <v>0</v>
      </c>
      <c r="P183" t="n">
        <v>0</v>
      </c>
      <c r="Q183" t="n">
        <v>0</v>
      </c>
      <c r="R183" s="2" t="inlineStr"/>
    </row>
    <row r="184" ht="15" customHeight="1">
      <c r="A184" t="inlineStr">
        <is>
          <t>A 24564-2019</t>
        </is>
      </c>
      <c r="B184" s="1" t="n">
        <v>43600</v>
      </c>
      <c r="C184" s="1" t="n">
        <v>45832</v>
      </c>
      <c r="D184" t="inlineStr">
        <is>
          <t>NORRBOTTENS LÄN</t>
        </is>
      </c>
      <c r="E184" t="inlineStr">
        <is>
          <t>BODEN</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24837-2019</t>
        </is>
      </c>
      <c r="B185" s="1" t="n">
        <v>43602</v>
      </c>
      <c r="C185" s="1" t="n">
        <v>45832</v>
      </c>
      <c r="D185" t="inlineStr">
        <is>
          <t>NORRBOTTENS LÄN</t>
        </is>
      </c>
      <c r="E185" t="inlineStr">
        <is>
          <t>BODEN</t>
        </is>
      </c>
      <c r="F185" t="inlineStr">
        <is>
          <t>Övriga Aktiebolag</t>
        </is>
      </c>
      <c r="G185" t="n">
        <v>24.6</v>
      </c>
      <c r="H185" t="n">
        <v>0</v>
      </c>
      <c r="I185" t="n">
        <v>0</v>
      </c>
      <c r="J185" t="n">
        <v>0</v>
      </c>
      <c r="K185" t="n">
        <v>0</v>
      </c>
      <c r="L185" t="n">
        <v>0</v>
      </c>
      <c r="M185" t="n">
        <v>0</v>
      </c>
      <c r="N185" t="n">
        <v>0</v>
      </c>
      <c r="O185" t="n">
        <v>0</v>
      </c>
      <c r="P185" t="n">
        <v>0</v>
      </c>
      <c r="Q185" t="n">
        <v>0</v>
      </c>
      <c r="R185" s="2" t="inlineStr"/>
    </row>
    <row r="186" ht="15" customHeight="1">
      <c r="A186" t="inlineStr">
        <is>
          <t>A 24838-2019</t>
        </is>
      </c>
      <c r="B186" s="1" t="n">
        <v>43602</v>
      </c>
      <c r="C186" s="1" t="n">
        <v>45832</v>
      </c>
      <c r="D186" t="inlineStr">
        <is>
          <t>NORRBOTTENS LÄN</t>
        </is>
      </c>
      <c r="E186" t="inlineStr">
        <is>
          <t>BODEN</t>
        </is>
      </c>
      <c r="F186" t="inlineStr">
        <is>
          <t>Sveaskog</t>
        </is>
      </c>
      <c r="G186" t="n">
        <v>10.4</v>
      </c>
      <c r="H186" t="n">
        <v>0</v>
      </c>
      <c r="I186" t="n">
        <v>0</v>
      </c>
      <c r="J186" t="n">
        <v>0</v>
      </c>
      <c r="K186" t="n">
        <v>0</v>
      </c>
      <c r="L186" t="n">
        <v>0</v>
      </c>
      <c r="M186" t="n">
        <v>0</v>
      </c>
      <c r="N186" t="n">
        <v>0</v>
      </c>
      <c r="O186" t="n">
        <v>0</v>
      </c>
      <c r="P186" t="n">
        <v>0</v>
      </c>
      <c r="Q186" t="n">
        <v>0</v>
      </c>
      <c r="R186" s="2" t="inlineStr"/>
    </row>
    <row r="187" ht="15" customHeight="1">
      <c r="A187" t="inlineStr">
        <is>
          <t>A 26137-2019</t>
        </is>
      </c>
      <c r="B187" s="1" t="n">
        <v>43609</v>
      </c>
      <c r="C187" s="1" t="n">
        <v>45832</v>
      </c>
      <c r="D187" t="inlineStr">
        <is>
          <t>NORRBOTTENS LÄN</t>
        </is>
      </c>
      <c r="E187" t="inlineStr">
        <is>
          <t>BODEN</t>
        </is>
      </c>
      <c r="G187" t="n">
        <v>3.9</v>
      </c>
      <c r="H187" t="n">
        <v>0</v>
      </c>
      <c r="I187" t="n">
        <v>0</v>
      </c>
      <c r="J187" t="n">
        <v>0</v>
      </c>
      <c r="K187" t="n">
        <v>0</v>
      </c>
      <c r="L187" t="n">
        <v>0</v>
      </c>
      <c r="M187" t="n">
        <v>0</v>
      </c>
      <c r="N187" t="n">
        <v>0</v>
      </c>
      <c r="O187" t="n">
        <v>0</v>
      </c>
      <c r="P187" t="n">
        <v>0</v>
      </c>
      <c r="Q187" t="n">
        <v>0</v>
      </c>
      <c r="R187" s="2" t="inlineStr"/>
    </row>
    <row r="188" ht="15" customHeight="1">
      <c r="A188" t="inlineStr">
        <is>
          <t>A 26139-2019</t>
        </is>
      </c>
      <c r="B188" s="1" t="n">
        <v>43609</v>
      </c>
      <c r="C188" s="1" t="n">
        <v>45832</v>
      </c>
      <c r="D188" t="inlineStr">
        <is>
          <t>NORRBOTTENS LÄN</t>
        </is>
      </c>
      <c r="E188" t="inlineStr">
        <is>
          <t>BODEN</t>
        </is>
      </c>
      <c r="G188" t="n">
        <v>5.1</v>
      </c>
      <c r="H188" t="n">
        <v>0</v>
      </c>
      <c r="I188" t="n">
        <v>0</v>
      </c>
      <c r="J188" t="n">
        <v>0</v>
      </c>
      <c r="K188" t="n">
        <v>0</v>
      </c>
      <c r="L188" t="n">
        <v>0</v>
      </c>
      <c r="M188" t="n">
        <v>0</v>
      </c>
      <c r="N188" t="n">
        <v>0</v>
      </c>
      <c r="O188" t="n">
        <v>0</v>
      </c>
      <c r="P188" t="n">
        <v>0</v>
      </c>
      <c r="Q188" t="n">
        <v>0</v>
      </c>
      <c r="R188" s="2" t="inlineStr"/>
    </row>
    <row r="189" ht="15" customHeight="1">
      <c r="A189" t="inlineStr">
        <is>
          <t>A 26209-2019</t>
        </is>
      </c>
      <c r="B189" s="1" t="n">
        <v>43609</v>
      </c>
      <c r="C189" s="1" t="n">
        <v>45832</v>
      </c>
      <c r="D189" t="inlineStr">
        <is>
          <t>NORRBOTTENS LÄN</t>
        </is>
      </c>
      <c r="E189" t="inlineStr">
        <is>
          <t>BODEN</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28698-2019</t>
        </is>
      </c>
      <c r="B190" s="1" t="n">
        <v>43614</v>
      </c>
      <c r="C190" s="1" t="n">
        <v>45832</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27389-2019</t>
        </is>
      </c>
      <c r="B191" s="1" t="n">
        <v>43616</v>
      </c>
      <c r="C191" s="1" t="n">
        <v>45832</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28881-2019</t>
        </is>
      </c>
      <c r="B192" s="1" t="n">
        <v>43616</v>
      </c>
      <c r="C192" s="1" t="n">
        <v>45832</v>
      </c>
      <c r="D192" t="inlineStr">
        <is>
          <t>NORRBOTTENS LÄN</t>
        </is>
      </c>
      <c r="E192" t="inlineStr">
        <is>
          <t>BODEN</t>
        </is>
      </c>
      <c r="G192" t="n">
        <v>6.7</v>
      </c>
      <c r="H192" t="n">
        <v>0</v>
      </c>
      <c r="I192" t="n">
        <v>0</v>
      </c>
      <c r="J192" t="n">
        <v>0</v>
      </c>
      <c r="K192" t="n">
        <v>0</v>
      </c>
      <c r="L192" t="n">
        <v>0</v>
      </c>
      <c r="M192" t="n">
        <v>0</v>
      </c>
      <c r="N192" t="n">
        <v>0</v>
      </c>
      <c r="O192" t="n">
        <v>0</v>
      </c>
      <c r="P192" t="n">
        <v>0</v>
      </c>
      <c r="Q192" t="n">
        <v>0</v>
      </c>
      <c r="R192" s="2" t="inlineStr"/>
    </row>
    <row r="193" ht="15" customHeight="1">
      <c r="A193" t="inlineStr">
        <is>
          <t>A 28886-2019</t>
        </is>
      </c>
      <c r="B193" s="1" t="n">
        <v>43616</v>
      </c>
      <c r="C193" s="1" t="n">
        <v>45832</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28223-2019</t>
        </is>
      </c>
      <c r="B194" s="1" t="n">
        <v>43621</v>
      </c>
      <c r="C194" s="1" t="n">
        <v>45832</v>
      </c>
      <c r="D194" t="inlineStr">
        <is>
          <t>NORRBOTTENS LÄN</t>
        </is>
      </c>
      <c r="E194" t="inlineStr">
        <is>
          <t>BODEN</t>
        </is>
      </c>
      <c r="F194" t="inlineStr">
        <is>
          <t>SCA</t>
        </is>
      </c>
      <c r="G194" t="n">
        <v>38.1</v>
      </c>
      <c r="H194" t="n">
        <v>0</v>
      </c>
      <c r="I194" t="n">
        <v>0</v>
      </c>
      <c r="J194" t="n">
        <v>0</v>
      </c>
      <c r="K194" t="n">
        <v>0</v>
      </c>
      <c r="L194" t="n">
        <v>0</v>
      </c>
      <c r="M194" t="n">
        <v>0</v>
      </c>
      <c r="N194" t="n">
        <v>0</v>
      </c>
      <c r="O194" t="n">
        <v>0</v>
      </c>
      <c r="P194" t="n">
        <v>0</v>
      </c>
      <c r="Q194" t="n">
        <v>0</v>
      </c>
      <c r="R194" s="2" t="inlineStr"/>
      <c r="U194">
        <f>HYPERLINK("https://klasma.github.io/Logging_2582/knärot/A 28223-2019 karta knärot.png", "A 28223-2019")</f>
        <v/>
      </c>
      <c r="V194">
        <f>HYPERLINK("https://klasma.github.io/Logging_2582/klagomål/A 28223-2019 FSC-klagomål.docx", "A 28223-2019")</f>
        <v/>
      </c>
      <c r="W194">
        <f>HYPERLINK("https://klasma.github.io/Logging_2582/klagomålsmail/A 28223-2019 FSC-klagomål mail.docx", "A 28223-2019")</f>
        <v/>
      </c>
      <c r="X194">
        <f>HYPERLINK("https://klasma.github.io/Logging_2582/tillsyn/A 28223-2019 tillsynsbegäran.docx", "A 28223-2019")</f>
        <v/>
      </c>
      <c r="Y194">
        <f>HYPERLINK("https://klasma.github.io/Logging_2582/tillsynsmail/A 28223-2019 tillsynsbegäran mail.docx", "A 28223-2019")</f>
        <v/>
      </c>
    </row>
    <row r="195" ht="15" customHeight="1">
      <c r="A195" t="inlineStr">
        <is>
          <t>A 28224-2019</t>
        </is>
      </c>
      <c r="B195" s="1" t="n">
        <v>43621</v>
      </c>
      <c r="C195" s="1" t="n">
        <v>45832</v>
      </c>
      <c r="D195" t="inlineStr">
        <is>
          <t>NORRBOTTENS LÄN</t>
        </is>
      </c>
      <c r="E195" t="inlineStr">
        <is>
          <t>BODEN</t>
        </is>
      </c>
      <c r="F195" t="inlineStr">
        <is>
          <t>SCA</t>
        </is>
      </c>
      <c r="G195" t="n">
        <v>42.7</v>
      </c>
      <c r="H195" t="n">
        <v>0</v>
      </c>
      <c r="I195" t="n">
        <v>0</v>
      </c>
      <c r="J195" t="n">
        <v>0</v>
      </c>
      <c r="K195" t="n">
        <v>0</v>
      </c>
      <c r="L195" t="n">
        <v>0</v>
      </c>
      <c r="M195" t="n">
        <v>0</v>
      </c>
      <c r="N195" t="n">
        <v>0</v>
      </c>
      <c r="O195" t="n">
        <v>0</v>
      </c>
      <c r="P195" t="n">
        <v>0</v>
      </c>
      <c r="Q195" t="n">
        <v>0</v>
      </c>
      <c r="R195" s="2" t="inlineStr"/>
    </row>
    <row r="196" ht="15" customHeight="1">
      <c r="A196" t="inlineStr">
        <is>
          <t>A 28632-2019</t>
        </is>
      </c>
      <c r="B196" s="1" t="n">
        <v>43621</v>
      </c>
      <c r="C196" s="1" t="n">
        <v>45832</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28827-2019</t>
        </is>
      </c>
      <c r="B197" s="1" t="n">
        <v>43627</v>
      </c>
      <c r="C197" s="1" t="n">
        <v>45832</v>
      </c>
      <c r="D197" t="inlineStr">
        <is>
          <t>NORRBOTTENS LÄN</t>
        </is>
      </c>
      <c r="E197" t="inlineStr">
        <is>
          <t>BODEN</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29606-2019</t>
        </is>
      </c>
      <c r="B198" s="1" t="n">
        <v>43628</v>
      </c>
      <c r="C198" s="1" t="n">
        <v>45832</v>
      </c>
      <c r="D198" t="inlineStr">
        <is>
          <t>NORRBOTTENS LÄN</t>
        </is>
      </c>
      <c r="E198" t="inlineStr">
        <is>
          <t>BODEN</t>
        </is>
      </c>
      <c r="G198" t="n">
        <v>0.6</v>
      </c>
      <c r="H198" t="n">
        <v>0</v>
      </c>
      <c r="I198" t="n">
        <v>0</v>
      </c>
      <c r="J198" t="n">
        <v>0</v>
      </c>
      <c r="K198" t="n">
        <v>0</v>
      </c>
      <c r="L198" t="n">
        <v>0</v>
      </c>
      <c r="M198" t="n">
        <v>0</v>
      </c>
      <c r="N198" t="n">
        <v>0</v>
      </c>
      <c r="O198" t="n">
        <v>0</v>
      </c>
      <c r="P198" t="n">
        <v>0</v>
      </c>
      <c r="Q198" t="n">
        <v>0</v>
      </c>
      <c r="R198" s="2" t="inlineStr"/>
    </row>
    <row r="199" ht="15" customHeight="1">
      <c r="A199" t="inlineStr">
        <is>
          <t>A 29600-2019</t>
        </is>
      </c>
      <c r="B199" s="1" t="n">
        <v>43628</v>
      </c>
      <c r="C199" s="1" t="n">
        <v>45832</v>
      </c>
      <c r="D199" t="inlineStr">
        <is>
          <t>NORRBOTTENS LÄN</t>
        </is>
      </c>
      <c r="E199" t="inlineStr">
        <is>
          <t>BODEN</t>
        </is>
      </c>
      <c r="G199" t="n">
        <v>6.3</v>
      </c>
      <c r="H199" t="n">
        <v>0</v>
      </c>
      <c r="I199" t="n">
        <v>0</v>
      </c>
      <c r="J199" t="n">
        <v>0</v>
      </c>
      <c r="K199" t="n">
        <v>0</v>
      </c>
      <c r="L199" t="n">
        <v>0</v>
      </c>
      <c r="M199" t="n">
        <v>0</v>
      </c>
      <c r="N199" t="n">
        <v>0</v>
      </c>
      <c r="O199" t="n">
        <v>0</v>
      </c>
      <c r="P199" t="n">
        <v>0</v>
      </c>
      <c r="Q199" t="n">
        <v>0</v>
      </c>
      <c r="R199" s="2" t="inlineStr"/>
    </row>
    <row r="200" ht="15" customHeight="1">
      <c r="A200" t="inlineStr">
        <is>
          <t>A 29586-2019</t>
        </is>
      </c>
      <c r="B200" s="1" t="n">
        <v>43630</v>
      </c>
      <c r="C200" s="1" t="n">
        <v>45832</v>
      </c>
      <c r="D200" t="inlineStr">
        <is>
          <t>NORRBOTTENS LÄN</t>
        </is>
      </c>
      <c r="E200" t="inlineStr">
        <is>
          <t>BODEN</t>
        </is>
      </c>
      <c r="F200" t="inlineStr">
        <is>
          <t>Sveaskog</t>
        </is>
      </c>
      <c r="G200" t="n">
        <v>18.6</v>
      </c>
      <c r="H200" t="n">
        <v>0</v>
      </c>
      <c r="I200" t="n">
        <v>0</v>
      </c>
      <c r="J200" t="n">
        <v>0</v>
      </c>
      <c r="K200" t="n">
        <v>0</v>
      </c>
      <c r="L200" t="n">
        <v>0</v>
      </c>
      <c r="M200" t="n">
        <v>0</v>
      </c>
      <c r="N200" t="n">
        <v>0</v>
      </c>
      <c r="O200" t="n">
        <v>0</v>
      </c>
      <c r="P200" t="n">
        <v>0</v>
      </c>
      <c r="Q200" t="n">
        <v>0</v>
      </c>
      <c r="R200" s="2" t="inlineStr"/>
    </row>
    <row r="201" ht="15" customHeight="1">
      <c r="A201" t="inlineStr">
        <is>
          <t>A 30736-2019</t>
        </is>
      </c>
      <c r="B201" s="1" t="n">
        <v>43636</v>
      </c>
      <c r="C201" s="1" t="n">
        <v>45832</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30794-2019</t>
        </is>
      </c>
      <c r="B202" s="1" t="n">
        <v>43636</v>
      </c>
      <c r="C202" s="1" t="n">
        <v>45832</v>
      </c>
      <c r="D202" t="inlineStr">
        <is>
          <t>NORRBOTTENS LÄN</t>
        </is>
      </c>
      <c r="E202" t="inlineStr">
        <is>
          <t>BODEN</t>
        </is>
      </c>
      <c r="G202" t="n">
        <v>16.6</v>
      </c>
      <c r="H202" t="n">
        <v>0</v>
      </c>
      <c r="I202" t="n">
        <v>0</v>
      </c>
      <c r="J202" t="n">
        <v>0</v>
      </c>
      <c r="K202" t="n">
        <v>0</v>
      </c>
      <c r="L202" t="n">
        <v>0</v>
      </c>
      <c r="M202" t="n">
        <v>0</v>
      </c>
      <c r="N202" t="n">
        <v>0</v>
      </c>
      <c r="O202" t="n">
        <v>0</v>
      </c>
      <c r="P202" t="n">
        <v>0</v>
      </c>
      <c r="Q202" t="n">
        <v>0</v>
      </c>
      <c r="R202" s="2" t="inlineStr"/>
    </row>
    <row r="203" ht="15" customHeight="1">
      <c r="A203" t="inlineStr">
        <is>
          <t>A 30801-2019</t>
        </is>
      </c>
      <c r="B203" s="1" t="n">
        <v>43636</v>
      </c>
      <c r="C203" s="1" t="n">
        <v>45832</v>
      </c>
      <c r="D203" t="inlineStr">
        <is>
          <t>NORRBOTTENS LÄN</t>
        </is>
      </c>
      <c r="E203" t="inlineStr">
        <is>
          <t>BODEN</t>
        </is>
      </c>
      <c r="G203" t="n">
        <v>14.4</v>
      </c>
      <c r="H203" t="n">
        <v>0</v>
      </c>
      <c r="I203" t="n">
        <v>0</v>
      </c>
      <c r="J203" t="n">
        <v>0</v>
      </c>
      <c r="K203" t="n">
        <v>0</v>
      </c>
      <c r="L203" t="n">
        <v>0</v>
      </c>
      <c r="M203" t="n">
        <v>0</v>
      </c>
      <c r="N203" t="n">
        <v>0</v>
      </c>
      <c r="O203" t="n">
        <v>0</v>
      </c>
      <c r="P203" t="n">
        <v>0</v>
      </c>
      <c r="Q203" t="n">
        <v>0</v>
      </c>
      <c r="R203" s="2" t="inlineStr"/>
    </row>
    <row r="204" ht="15" customHeight="1">
      <c r="A204" t="inlineStr">
        <is>
          <t>A 30957-2019</t>
        </is>
      </c>
      <c r="B204" s="1" t="n">
        <v>43639</v>
      </c>
      <c r="C204" s="1" t="n">
        <v>45832</v>
      </c>
      <c r="D204" t="inlineStr">
        <is>
          <t>NORRBOTTENS LÄN</t>
        </is>
      </c>
      <c r="E204" t="inlineStr">
        <is>
          <t>BODEN</t>
        </is>
      </c>
      <c r="G204" t="n">
        <v>7.5</v>
      </c>
      <c r="H204" t="n">
        <v>0</v>
      </c>
      <c r="I204" t="n">
        <v>0</v>
      </c>
      <c r="J204" t="n">
        <v>0</v>
      </c>
      <c r="K204" t="n">
        <v>0</v>
      </c>
      <c r="L204" t="n">
        <v>0</v>
      </c>
      <c r="M204" t="n">
        <v>0</v>
      </c>
      <c r="N204" t="n">
        <v>0</v>
      </c>
      <c r="O204" t="n">
        <v>0</v>
      </c>
      <c r="P204" t="n">
        <v>0</v>
      </c>
      <c r="Q204" t="n">
        <v>0</v>
      </c>
      <c r="R204" s="2" t="inlineStr"/>
    </row>
    <row r="205" ht="15" customHeight="1">
      <c r="A205" t="inlineStr">
        <is>
          <t>A 31295-2019</t>
        </is>
      </c>
      <c r="B205" s="1" t="n">
        <v>43640</v>
      </c>
      <c r="C205" s="1" t="n">
        <v>45832</v>
      </c>
      <c r="D205" t="inlineStr">
        <is>
          <t>NORRBOTTENS LÄN</t>
        </is>
      </c>
      <c r="E205" t="inlineStr">
        <is>
          <t>BODEN</t>
        </is>
      </c>
      <c r="G205" t="n">
        <v>0.9</v>
      </c>
      <c r="H205" t="n">
        <v>0</v>
      </c>
      <c r="I205" t="n">
        <v>0</v>
      </c>
      <c r="J205" t="n">
        <v>0</v>
      </c>
      <c r="K205" t="n">
        <v>0</v>
      </c>
      <c r="L205" t="n">
        <v>0</v>
      </c>
      <c r="M205" t="n">
        <v>0</v>
      </c>
      <c r="N205" t="n">
        <v>0</v>
      </c>
      <c r="O205" t="n">
        <v>0</v>
      </c>
      <c r="P205" t="n">
        <v>0</v>
      </c>
      <c r="Q205" t="n">
        <v>0</v>
      </c>
      <c r="R205" s="2" t="inlineStr"/>
    </row>
    <row r="206" ht="15" customHeight="1">
      <c r="A206" t="inlineStr">
        <is>
          <t>A 31864-2019</t>
        </is>
      </c>
      <c r="B206" s="1" t="n">
        <v>43641</v>
      </c>
      <c r="C206" s="1" t="n">
        <v>45832</v>
      </c>
      <c r="D206" t="inlineStr">
        <is>
          <t>NORRBOTTENS LÄN</t>
        </is>
      </c>
      <c r="E206" t="inlineStr">
        <is>
          <t>BODEN</t>
        </is>
      </c>
      <c r="G206" t="n">
        <v>12.4</v>
      </c>
      <c r="H206" t="n">
        <v>0</v>
      </c>
      <c r="I206" t="n">
        <v>0</v>
      </c>
      <c r="J206" t="n">
        <v>0</v>
      </c>
      <c r="K206" t="n">
        <v>0</v>
      </c>
      <c r="L206" t="n">
        <v>0</v>
      </c>
      <c r="M206" t="n">
        <v>0</v>
      </c>
      <c r="N206" t="n">
        <v>0</v>
      </c>
      <c r="O206" t="n">
        <v>0</v>
      </c>
      <c r="P206" t="n">
        <v>0</v>
      </c>
      <c r="Q206" t="n">
        <v>0</v>
      </c>
      <c r="R206" s="2" t="inlineStr"/>
    </row>
    <row r="207" ht="15" customHeight="1">
      <c r="A207" t="inlineStr">
        <is>
          <t>A 32161-2019</t>
        </is>
      </c>
      <c r="B207" s="1" t="n">
        <v>43643</v>
      </c>
      <c r="C207" s="1" t="n">
        <v>45832</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33707-2019</t>
        </is>
      </c>
      <c r="B208" s="1" t="n">
        <v>43644</v>
      </c>
      <c r="C208" s="1" t="n">
        <v>45832</v>
      </c>
      <c r="D208" t="inlineStr">
        <is>
          <t>NORRBOTTENS LÄN</t>
        </is>
      </c>
      <c r="E208" t="inlineStr">
        <is>
          <t>BODEN</t>
        </is>
      </c>
      <c r="F208" t="inlineStr">
        <is>
          <t>Kommuner</t>
        </is>
      </c>
      <c r="G208" t="n">
        <v>21.2</v>
      </c>
      <c r="H208" t="n">
        <v>0</v>
      </c>
      <c r="I208" t="n">
        <v>0</v>
      </c>
      <c r="J208" t="n">
        <v>0</v>
      </c>
      <c r="K208" t="n">
        <v>0</v>
      </c>
      <c r="L208" t="n">
        <v>0</v>
      </c>
      <c r="M208" t="n">
        <v>0</v>
      </c>
      <c r="N208" t="n">
        <v>0</v>
      </c>
      <c r="O208" t="n">
        <v>0</v>
      </c>
      <c r="P208" t="n">
        <v>0</v>
      </c>
      <c r="Q208" t="n">
        <v>0</v>
      </c>
      <c r="R208" s="2" t="inlineStr"/>
    </row>
    <row r="209" ht="15" customHeight="1">
      <c r="A209" t="inlineStr">
        <is>
          <t>A 34375-2019</t>
        </is>
      </c>
      <c r="B209" s="1" t="n">
        <v>43647</v>
      </c>
      <c r="C209" s="1" t="n">
        <v>45832</v>
      </c>
      <c r="D209" t="inlineStr">
        <is>
          <t>NORRBOTTENS LÄN</t>
        </is>
      </c>
      <c r="E209" t="inlineStr">
        <is>
          <t>BODEN</t>
        </is>
      </c>
      <c r="G209" t="n">
        <v>0.2</v>
      </c>
      <c r="H209" t="n">
        <v>0</v>
      </c>
      <c r="I209" t="n">
        <v>0</v>
      </c>
      <c r="J209" t="n">
        <v>0</v>
      </c>
      <c r="K209" t="n">
        <v>0</v>
      </c>
      <c r="L209" t="n">
        <v>0</v>
      </c>
      <c r="M209" t="n">
        <v>0</v>
      </c>
      <c r="N209" t="n">
        <v>0</v>
      </c>
      <c r="O209" t="n">
        <v>0</v>
      </c>
      <c r="P209" t="n">
        <v>0</v>
      </c>
      <c r="Q209" t="n">
        <v>0</v>
      </c>
      <c r="R209" s="2" t="inlineStr"/>
    </row>
    <row r="210" ht="15" customHeight="1">
      <c r="A210" t="inlineStr">
        <is>
          <t>A 33447-2019</t>
        </is>
      </c>
      <c r="B210" s="1" t="n">
        <v>43650</v>
      </c>
      <c r="C210" s="1" t="n">
        <v>45832</v>
      </c>
      <c r="D210" t="inlineStr">
        <is>
          <t>NORRBOTTENS LÄN</t>
        </is>
      </c>
      <c r="E210" t="inlineStr">
        <is>
          <t>BODEN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33278-2019</t>
        </is>
      </c>
      <c r="B211" s="1" t="n">
        <v>43650</v>
      </c>
      <c r="C211" s="1" t="n">
        <v>45832</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34015-2019</t>
        </is>
      </c>
      <c r="B212" s="1" t="n">
        <v>43654</v>
      </c>
      <c r="C212" s="1" t="n">
        <v>45832</v>
      </c>
      <c r="D212" t="inlineStr">
        <is>
          <t>NORRBOTTENS LÄN</t>
        </is>
      </c>
      <c r="E212" t="inlineStr">
        <is>
          <t>BODEN</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34264-2019</t>
        </is>
      </c>
      <c r="B213" s="1" t="n">
        <v>43655</v>
      </c>
      <c r="C213" s="1" t="n">
        <v>45832</v>
      </c>
      <c r="D213" t="inlineStr">
        <is>
          <t>NORRBOTTENS LÄN</t>
        </is>
      </c>
      <c r="E213" t="inlineStr">
        <is>
          <t>BODEN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36050-2019</t>
        </is>
      </c>
      <c r="B214" s="1" t="n">
        <v>43657</v>
      </c>
      <c r="C214" s="1" t="n">
        <v>45832</v>
      </c>
      <c r="D214" t="inlineStr">
        <is>
          <t>NORRBOTTENS LÄN</t>
        </is>
      </c>
      <c r="E214" t="inlineStr">
        <is>
          <t>BODEN</t>
        </is>
      </c>
      <c r="G214" t="n">
        <v>32.3</v>
      </c>
      <c r="H214" t="n">
        <v>0</v>
      </c>
      <c r="I214" t="n">
        <v>0</v>
      </c>
      <c r="J214" t="n">
        <v>0</v>
      </c>
      <c r="K214" t="n">
        <v>0</v>
      </c>
      <c r="L214" t="n">
        <v>0</v>
      </c>
      <c r="M214" t="n">
        <v>0</v>
      </c>
      <c r="N214" t="n">
        <v>0</v>
      </c>
      <c r="O214" t="n">
        <v>0</v>
      </c>
      <c r="P214" t="n">
        <v>0</v>
      </c>
      <c r="Q214" t="n">
        <v>0</v>
      </c>
      <c r="R214" s="2" t="inlineStr"/>
    </row>
    <row r="215" ht="15" customHeight="1">
      <c r="A215" t="inlineStr">
        <is>
          <t>A 36052-2019</t>
        </is>
      </c>
      <c r="B215" s="1" t="n">
        <v>43657</v>
      </c>
      <c r="C215" s="1" t="n">
        <v>45832</v>
      </c>
      <c r="D215" t="inlineStr">
        <is>
          <t>NORRBOTTENS LÄN</t>
        </is>
      </c>
      <c r="E215" t="inlineStr">
        <is>
          <t>BODEN</t>
        </is>
      </c>
      <c r="G215" t="n">
        <v>0.9</v>
      </c>
      <c r="H215" t="n">
        <v>0</v>
      </c>
      <c r="I215" t="n">
        <v>0</v>
      </c>
      <c r="J215" t="n">
        <v>0</v>
      </c>
      <c r="K215" t="n">
        <v>0</v>
      </c>
      <c r="L215" t="n">
        <v>0</v>
      </c>
      <c r="M215" t="n">
        <v>0</v>
      </c>
      <c r="N215" t="n">
        <v>0</v>
      </c>
      <c r="O215" t="n">
        <v>0</v>
      </c>
      <c r="P215" t="n">
        <v>0</v>
      </c>
      <c r="Q215" t="n">
        <v>0</v>
      </c>
      <c r="R215" s="2" t="inlineStr"/>
    </row>
    <row r="216" ht="15" customHeight="1">
      <c r="A216" t="inlineStr">
        <is>
          <t>A 35103-2019</t>
        </is>
      </c>
      <c r="B216" s="1" t="n">
        <v>43661</v>
      </c>
      <c r="C216" s="1" t="n">
        <v>45832</v>
      </c>
      <c r="D216" t="inlineStr">
        <is>
          <t>NORRBOTTENS LÄN</t>
        </is>
      </c>
      <c r="E216" t="inlineStr">
        <is>
          <t>BODEN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35100-2019</t>
        </is>
      </c>
      <c r="B217" s="1" t="n">
        <v>43661</v>
      </c>
      <c r="C217" s="1" t="n">
        <v>45832</v>
      </c>
      <c r="D217" t="inlineStr">
        <is>
          <t>NORRBOTTENS LÄN</t>
        </is>
      </c>
      <c r="E217" t="inlineStr">
        <is>
          <t>BODEN</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35336-2019</t>
        </is>
      </c>
      <c r="B218" s="1" t="n">
        <v>43663</v>
      </c>
      <c r="C218" s="1" t="n">
        <v>45832</v>
      </c>
      <c r="D218" t="inlineStr">
        <is>
          <t>NORRBOTTENS LÄN</t>
        </is>
      </c>
      <c r="E218" t="inlineStr">
        <is>
          <t>BODEN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35338-2019</t>
        </is>
      </c>
      <c r="B219" s="1" t="n">
        <v>43663</v>
      </c>
      <c r="C219" s="1" t="n">
        <v>45832</v>
      </c>
      <c r="D219" t="inlineStr">
        <is>
          <t>NORRBOTTENS LÄN</t>
        </is>
      </c>
      <c r="E219" t="inlineStr">
        <is>
          <t>BODEN</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36399-2019</t>
        </is>
      </c>
      <c r="B220" s="1" t="n">
        <v>43663</v>
      </c>
      <c r="C220" s="1" t="n">
        <v>45832</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35692-2019</t>
        </is>
      </c>
      <c r="B221" s="1" t="n">
        <v>43664</v>
      </c>
      <c r="C221" s="1" t="n">
        <v>45832</v>
      </c>
      <c r="D221" t="inlineStr">
        <is>
          <t>NORRBOTTENS LÄN</t>
        </is>
      </c>
      <c r="E221" t="inlineStr">
        <is>
          <t>BODEN</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37428-2019</t>
        </is>
      </c>
      <c r="B222" s="1" t="n">
        <v>43678</v>
      </c>
      <c r="C222" s="1" t="n">
        <v>45832</v>
      </c>
      <c r="D222" t="inlineStr">
        <is>
          <t>NORRBOTTENS LÄN</t>
        </is>
      </c>
      <c r="E222" t="inlineStr">
        <is>
          <t>BODEN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38529-2019</t>
        </is>
      </c>
      <c r="B223" s="1" t="n">
        <v>43685</v>
      </c>
      <c r="C223" s="1" t="n">
        <v>45832</v>
      </c>
      <c r="D223" t="inlineStr">
        <is>
          <t>NORRBOTTENS LÄN</t>
        </is>
      </c>
      <c r="E223" t="inlineStr">
        <is>
          <t>BODEN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38974-2019</t>
        </is>
      </c>
      <c r="B224" s="1" t="n">
        <v>43689</v>
      </c>
      <c r="C224" s="1" t="n">
        <v>45832</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38980-2019</t>
        </is>
      </c>
      <c r="B225" s="1" t="n">
        <v>43689</v>
      </c>
      <c r="C225" s="1" t="n">
        <v>45832</v>
      </c>
      <c r="D225" t="inlineStr">
        <is>
          <t>NORRBOTTENS LÄN</t>
        </is>
      </c>
      <c r="E225" t="inlineStr">
        <is>
          <t>BODEN</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39892-2019</t>
        </is>
      </c>
      <c r="B226" s="1" t="n">
        <v>43692</v>
      </c>
      <c r="C226" s="1" t="n">
        <v>45832</v>
      </c>
      <c r="D226" t="inlineStr">
        <is>
          <t>NORRBOTTENS LÄN</t>
        </is>
      </c>
      <c r="E226" t="inlineStr">
        <is>
          <t>BODEN</t>
        </is>
      </c>
      <c r="G226" t="n">
        <v>43.5</v>
      </c>
      <c r="H226" t="n">
        <v>0</v>
      </c>
      <c r="I226" t="n">
        <v>0</v>
      </c>
      <c r="J226" t="n">
        <v>0</v>
      </c>
      <c r="K226" t="n">
        <v>0</v>
      </c>
      <c r="L226" t="n">
        <v>0</v>
      </c>
      <c r="M226" t="n">
        <v>0</v>
      </c>
      <c r="N226" t="n">
        <v>0</v>
      </c>
      <c r="O226" t="n">
        <v>0</v>
      </c>
      <c r="P226" t="n">
        <v>0</v>
      </c>
      <c r="Q226" t="n">
        <v>0</v>
      </c>
      <c r="R226" s="2" t="inlineStr"/>
    </row>
    <row r="227" ht="15" customHeight="1">
      <c r="A227" t="inlineStr">
        <is>
          <t>A 39947-2019</t>
        </is>
      </c>
      <c r="B227" s="1" t="n">
        <v>43692</v>
      </c>
      <c r="C227" s="1" t="n">
        <v>45832</v>
      </c>
      <c r="D227" t="inlineStr">
        <is>
          <t>NORRBOTTENS LÄN</t>
        </is>
      </c>
      <c r="E227" t="inlineStr">
        <is>
          <t>BODEN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39966-2019</t>
        </is>
      </c>
      <c r="B228" s="1" t="n">
        <v>43692</v>
      </c>
      <c r="C228" s="1" t="n">
        <v>45832</v>
      </c>
      <c r="D228" t="inlineStr">
        <is>
          <t>NORRBOTTENS LÄN</t>
        </is>
      </c>
      <c r="E228" t="inlineStr">
        <is>
          <t>BODEN</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40631-2019</t>
        </is>
      </c>
      <c r="B229" s="1" t="n">
        <v>43696</v>
      </c>
      <c r="C229" s="1" t="n">
        <v>45832</v>
      </c>
      <c r="D229" t="inlineStr">
        <is>
          <t>NORRBOTTENS LÄN</t>
        </is>
      </c>
      <c r="E229" t="inlineStr">
        <is>
          <t>BODEN</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41351-2019</t>
        </is>
      </c>
      <c r="B230" s="1" t="n">
        <v>43698</v>
      </c>
      <c r="C230" s="1" t="n">
        <v>45832</v>
      </c>
      <c r="D230" t="inlineStr">
        <is>
          <t>NORRBOTTENS LÄN</t>
        </is>
      </c>
      <c r="E230" t="inlineStr">
        <is>
          <t>BODEN</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42403-2019</t>
        </is>
      </c>
      <c r="B231" s="1" t="n">
        <v>43703</v>
      </c>
      <c r="C231" s="1" t="n">
        <v>45832</v>
      </c>
      <c r="D231" t="inlineStr">
        <is>
          <t>NORRBOTTENS LÄN</t>
        </is>
      </c>
      <c r="E231" t="inlineStr">
        <is>
          <t>BODEN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42404-2019</t>
        </is>
      </c>
      <c r="B232" s="1" t="n">
        <v>43703</v>
      </c>
      <c r="C232" s="1" t="n">
        <v>45832</v>
      </c>
      <c r="D232" t="inlineStr">
        <is>
          <t>NORRBOTTENS LÄN</t>
        </is>
      </c>
      <c r="E232" t="inlineStr">
        <is>
          <t>BODEN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42492-2019</t>
        </is>
      </c>
      <c r="B233" s="1" t="n">
        <v>43704</v>
      </c>
      <c r="C233" s="1" t="n">
        <v>45832</v>
      </c>
      <c r="D233" t="inlineStr">
        <is>
          <t>NORRBOTTENS LÄN</t>
        </is>
      </c>
      <c r="E233" t="inlineStr">
        <is>
          <t>BODEN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43937-2019</t>
        </is>
      </c>
      <c r="B234" s="1" t="n">
        <v>43707</v>
      </c>
      <c r="C234" s="1" t="n">
        <v>45832</v>
      </c>
      <c r="D234" t="inlineStr">
        <is>
          <t>NORRBOTTENS LÄN</t>
        </is>
      </c>
      <c r="E234" t="inlineStr">
        <is>
          <t>BODEN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44894-2019</t>
        </is>
      </c>
      <c r="B235" s="1" t="n">
        <v>43712</v>
      </c>
      <c r="C235" s="1" t="n">
        <v>45832</v>
      </c>
      <c r="D235" t="inlineStr">
        <is>
          <t>NORRBOTTENS LÄN</t>
        </is>
      </c>
      <c r="E235" t="inlineStr">
        <is>
          <t>BODEN</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45186-2019</t>
        </is>
      </c>
      <c r="B236" s="1" t="n">
        <v>43713</v>
      </c>
      <c r="C236" s="1" t="n">
        <v>45832</v>
      </c>
      <c r="D236" t="inlineStr">
        <is>
          <t>NORRBOTTENS LÄN</t>
        </is>
      </c>
      <c r="E236" t="inlineStr">
        <is>
          <t>BODEN</t>
        </is>
      </c>
      <c r="G236" t="n">
        <v>9.9</v>
      </c>
      <c r="H236" t="n">
        <v>0</v>
      </c>
      <c r="I236" t="n">
        <v>0</v>
      </c>
      <c r="J236" t="n">
        <v>0</v>
      </c>
      <c r="K236" t="n">
        <v>0</v>
      </c>
      <c r="L236" t="n">
        <v>0</v>
      </c>
      <c r="M236" t="n">
        <v>0</v>
      </c>
      <c r="N236" t="n">
        <v>0</v>
      </c>
      <c r="O236" t="n">
        <v>0</v>
      </c>
      <c r="P236" t="n">
        <v>0</v>
      </c>
      <c r="Q236" t="n">
        <v>0</v>
      </c>
      <c r="R236" s="2" t="inlineStr"/>
    </row>
    <row r="237" ht="15" customHeight="1">
      <c r="A237" t="inlineStr">
        <is>
          <t>A 46517-2019</t>
        </is>
      </c>
      <c r="B237" s="1" t="n">
        <v>43719</v>
      </c>
      <c r="C237" s="1" t="n">
        <v>45832</v>
      </c>
      <c r="D237" t="inlineStr">
        <is>
          <t>NORRBOTTENS LÄN</t>
        </is>
      </c>
      <c r="E237" t="inlineStr">
        <is>
          <t>BODEN</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46622-2019</t>
        </is>
      </c>
      <c r="B238" s="1" t="n">
        <v>43719</v>
      </c>
      <c r="C238" s="1" t="n">
        <v>45832</v>
      </c>
      <c r="D238" t="inlineStr">
        <is>
          <t>NORRBOTTENS LÄN</t>
        </is>
      </c>
      <c r="E238" t="inlineStr">
        <is>
          <t>BODEN</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46720-2019</t>
        </is>
      </c>
      <c r="B239" s="1" t="n">
        <v>43719</v>
      </c>
      <c r="C239" s="1" t="n">
        <v>45832</v>
      </c>
      <c r="D239" t="inlineStr">
        <is>
          <t>NORRBOTTENS LÄN</t>
        </is>
      </c>
      <c r="E239" t="inlineStr">
        <is>
          <t>BODEN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46888-2019</t>
        </is>
      </c>
      <c r="B240" s="1" t="n">
        <v>43719</v>
      </c>
      <c r="C240" s="1" t="n">
        <v>45832</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46721-2019</t>
        </is>
      </c>
      <c r="B241" s="1" t="n">
        <v>43719</v>
      </c>
      <c r="C241" s="1" t="n">
        <v>45832</v>
      </c>
      <c r="D241" t="inlineStr">
        <is>
          <t>NORRBOTTENS LÄN</t>
        </is>
      </c>
      <c r="E241" t="inlineStr">
        <is>
          <t>BODEN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46385-2019</t>
        </is>
      </c>
      <c r="B242" s="1" t="n">
        <v>43719</v>
      </c>
      <c r="C242" s="1" t="n">
        <v>45832</v>
      </c>
      <c r="D242" t="inlineStr">
        <is>
          <t>NORRBOTTENS LÄN</t>
        </is>
      </c>
      <c r="E242" t="inlineStr">
        <is>
          <t>BODEN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46766-2019</t>
        </is>
      </c>
      <c r="B243" s="1" t="n">
        <v>43720</v>
      </c>
      <c r="C243" s="1" t="n">
        <v>45832</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47100-2019</t>
        </is>
      </c>
      <c r="B244" s="1" t="n">
        <v>43721</v>
      </c>
      <c r="C244" s="1" t="n">
        <v>45832</v>
      </c>
      <c r="D244" t="inlineStr">
        <is>
          <t>NORRBOTTENS LÄN</t>
        </is>
      </c>
      <c r="E244" t="inlineStr">
        <is>
          <t>BODEN</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47821-2019</t>
        </is>
      </c>
      <c r="B245" s="1" t="n">
        <v>43725</v>
      </c>
      <c r="C245" s="1" t="n">
        <v>45832</v>
      </c>
      <c r="D245" t="inlineStr">
        <is>
          <t>NORRBOTTENS LÄN</t>
        </is>
      </c>
      <c r="E245" t="inlineStr">
        <is>
          <t>BODEN</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48023-2019</t>
        </is>
      </c>
      <c r="B246" s="1" t="n">
        <v>43725</v>
      </c>
      <c r="C246" s="1" t="n">
        <v>45832</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48586-2019</t>
        </is>
      </c>
      <c r="B247" s="1" t="n">
        <v>43727</v>
      </c>
      <c r="C247" s="1" t="n">
        <v>45832</v>
      </c>
      <c r="D247" t="inlineStr">
        <is>
          <t>NORRBOTTENS LÄN</t>
        </is>
      </c>
      <c r="E247" t="inlineStr">
        <is>
          <t>BODEN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48796-2019</t>
        </is>
      </c>
      <c r="B248" s="1" t="n">
        <v>43727</v>
      </c>
      <c r="C248" s="1" t="n">
        <v>45832</v>
      </c>
      <c r="D248" t="inlineStr">
        <is>
          <t>NORRBOTTENS LÄN</t>
        </is>
      </c>
      <c r="E248" t="inlineStr">
        <is>
          <t>BODEN</t>
        </is>
      </c>
      <c r="F248" t="inlineStr">
        <is>
          <t>SCA</t>
        </is>
      </c>
      <c r="G248" t="n">
        <v>7.4</v>
      </c>
      <c r="H248" t="n">
        <v>0</v>
      </c>
      <c r="I248" t="n">
        <v>0</v>
      </c>
      <c r="J248" t="n">
        <v>0</v>
      </c>
      <c r="K248" t="n">
        <v>0</v>
      </c>
      <c r="L248" t="n">
        <v>0</v>
      </c>
      <c r="M248" t="n">
        <v>0</v>
      </c>
      <c r="N248" t="n">
        <v>0</v>
      </c>
      <c r="O248" t="n">
        <v>0</v>
      </c>
      <c r="P248" t="n">
        <v>0</v>
      </c>
      <c r="Q248" t="n">
        <v>0</v>
      </c>
      <c r="R248" s="2" t="inlineStr"/>
    </row>
    <row r="249" ht="15" customHeight="1">
      <c r="A249" t="inlineStr">
        <is>
          <t>A 48627-2019</t>
        </is>
      </c>
      <c r="B249" s="1" t="n">
        <v>43727</v>
      </c>
      <c r="C249" s="1" t="n">
        <v>45832</v>
      </c>
      <c r="D249" t="inlineStr">
        <is>
          <t>NORRBOTTENS LÄN</t>
        </is>
      </c>
      <c r="E249" t="inlineStr">
        <is>
          <t>BODEN</t>
        </is>
      </c>
      <c r="G249" t="n">
        <v>8.9</v>
      </c>
      <c r="H249" t="n">
        <v>0</v>
      </c>
      <c r="I249" t="n">
        <v>0</v>
      </c>
      <c r="J249" t="n">
        <v>0</v>
      </c>
      <c r="K249" t="n">
        <v>0</v>
      </c>
      <c r="L249" t="n">
        <v>0</v>
      </c>
      <c r="M249" t="n">
        <v>0</v>
      </c>
      <c r="N249" t="n">
        <v>0</v>
      </c>
      <c r="O249" t="n">
        <v>0</v>
      </c>
      <c r="P249" t="n">
        <v>0</v>
      </c>
      <c r="Q249" t="n">
        <v>0</v>
      </c>
      <c r="R249" s="2" t="inlineStr"/>
    </row>
    <row r="250" ht="15" customHeight="1">
      <c r="A250" t="inlineStr">
        <is>
          <t>A 49655-2019</t>
        </is>
      </c>
      <c r="B250" s="1" t="n">
        <v>43732</v>
      </c>
      <c r="C250" s="1" t="n">
        <v>45832</v>
      </c>
      <c r="D250" t="inlineStr">
        <is>
          <t>NORRBOTTENS LÄN</t>
        </is>
      </c>
      <c r="E250" t="inlineStr">
        <is>
          <t>BODEN</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51207-2019</t>
        </is>
      </c>
      <c r="B251" s="1" t="n">
        <v>43732</v>
      </c>
      <c r="C251" s="1" t="n">
        <v>45832</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51177-2019</t>
        </is>
      </c>
      <c r="B252" s="1" t="n">
        <v>43732</v>
      </c>
      <c r="C252" s="1" t="n">
        <v>45832</v>
      </c>
      <c r="D252" t="inlineStr">
        <is>
          <t>NORRBOTTENS LÄN</t>
        </is>
      </c>
      <c r="E252" t="inlineStr">
        <is>
          <t>BODEN</t>
        </is>
      </c>
      <c r="G252" t="n">
        <v>26.5</v>
      </c>
      <c r="H252" t="n">
        <v>0</v>
      </c>
      <c r="I252" t="n">
        <v>0</v>
      </c>
      <c r="J252" t="n">
        <v>0</v>
      </c>
      <c r="K252" t="n">
        <v>0</v>
      </c>
      <c r="L252" t="n">
        <v>0</v>
      </c>
      <c r="M252" t="n">
        <v>0</v>
      </c>
      <c r="N252" t="n">
        <v>0</v>
      </c>
      <c r="O252" t="n">
        <v>0</v>
      </c>
      <c r="P252" t="n">
        <v>0</v>
      </c>
      <c r="Q252" t="n">
        <v>0</v>
      </c>
      <c r="R252" s="2" t="inlineStr"/>
    </row>
    <row r="253" ht="15" customHeight="1">
      <c r="A253" t="inlineStr">
        <is>
          <t>A 49903-2019</t>
        </is>
      </c>
      <c r="B253" s="1" t="n">
        <v>43733</v>
      </c>
      <c r="C253" s="1" t="n">
        <v>45832</v>
      </c>
      <c r="D253" t="inlineStr">
        <is>
          <t>NORRBOTTENS LÄN</t>
        </is>
      </c>
      <c r="E253" t="inlineStr">
        <is>
          <t>BODEN</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50819-2019</t>
        </is>
      </c>
      <c r="B254" s="1" t="n">
        <v>43738</v>
      </c>
      <c r="C254" s="1" t="n">
        <v>45832</v>
      </c>
      <c r="D254" t="inlineStr">
        <is>
          <t>NORRBOTTENS LÄN</t>
        </is>
      </c>
      <c r="E254" t="inlineStr">
        <is>
          <t>BODEN</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52225-2019</t>
        </is>
      </c>
      <c r="B255" s="1" t="n">
        <v>43742</v>
      </c>
      <c r="C255" s="1" t="n">
        <v>45832</v>
      </c>
      <c r="D255" t="inlineStr">
        <is>
          <t>NORRBOTTENS LÄN</t>
        </is>
      </c>
      <c r="E255" t="inlineStr">
        <is>
          <t>BODEN</t>
        </is>
      </c>
      <c r="G255" t="n">
        <v>1.6</v>
      </c>
      <c r="H255" t="n">
        <v>0</v>
      </c>
      <c r="I255" t="n">
        <v>0</v>
      </c>
      <c r="J255" t="n">
        <v>0</v>
      </c>
      <c r="K255" t="n">
        <v>0</v>
      </c>
      <c r="L255" t="n">
        <v>0</v>
      </c>
      <c r="M255" t="n">
        <v>0</v>
      </c>
      <c r="N255" t="n">
        <v>0</v>
      </c>
      <c r="O255" t="n">
        <v>0</v>
      </c>
      <c r="P255" t="n">
        <v>0</v>
      </c>
      <c r="Q255" t="n">
        <v>0</v>
      </c>
      <c r="R255" s="2" t="inlineStr"/>
    </row>
    <row r="256" ht="15" customHeight="1">
      <c r="A256" t="inlineStr">
        <is>
          <t>A 52223-2019</t>
        </is>
      </c>
      <c r="B256" s="1" t="n">
        <v>43742</v>
      </c>
      <c r="C256" s="1" t="n">
        <v>45832</v>
      </c>
      <c r="D256" t="inlineStr">
        <is>
          <t>NORRBOTTENS LÄN</t>
        </is>
      </c>
      <c r="E256" t="inlineStr">
        <is>
          <t>BODEN</t>
        </is>
      </c>
      <c r="G256" t="n">
        <v>1.1</v>
      </c>
      <c r="H256" t="n">
        <v>0</v>
      </c>
      <c r="I256" t="n">
        <v>0</v>
      </c>
      <c r="J256" t="n">
        <v>0</v>
      </c>
      <c r="K256" t="n">
        <v>0</v>
      </c>
      <c r="L256" t="n">
        <v>0</v>
      </c>
      <c r="M256" t="n">
        <v>0</v>
      </c>
      <c r="N256" t="n">
        <v>0</v>
      </c>
      <c r="O256" t="n">
        <v>0</v>
      </c>
      <c r="P256" t="n">
        <v>0</v>
      </c>
      <c r="Q256" t="n">
        <v>0</v>
      </c>
      <c r="R256" s="2" t="inlineStr"/>
    </row>
    <row r="257" ht="15" customHeight="1">
      <c r="A257" t="inlineStr">
        <is>
          <t>A 52229-2019</t>
        </is>
      </c>
      <c r="B257" s="1" t="n">
        <v>43742</v>
      </c>
      <c r="C257" s="1" t="n">
        <v>45832</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52228-2019</t>
        </is>
      </c>
      <c r="B258" s="1" t="n">
        <v>43742</v>
      </c>
      <c r="C258" s="1" t="n">
        <v>45832</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52220-2019</t>
        </is>
      </c>
      <c r="B259" s="1" t="n">
        <v>43742</v>
      </c>
      <c r="C259" s="1" t="n">
        <v>45832</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52207-2019</t>
        </is>
      </c>
      <c r="B260" s="1" t="n">
        <v>43742</v>
      </c>
      <c r="C260" s="1" t="n">
        <v>45832</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52224-2019</t>
        </is>
      </c>
      <c r="B261" s="1" t="n">
        <v>43742</v>
      </c>
      <c r="C261" s="1" t="n">
        <v>45832</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54419-2019</t>
        </is>
      </c>
      <c r="B262" s="1" t="n">
        <v>43753</v>
      </c>
      <c r="C262" s="1" t="n">
        <v>45832</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54656-2019</t>
        </is>
      </c>
      <c r="B263" s="1" t="n">
        <v>43754</v>
      </c>
      <c r="C263" s="1" t="n">
        <v>45832</v>
      </c>
      <c r="D263" t="inlineStr">
        <is>
          <t>NORRBOTTENS LÄN</t>
        </is>
      </c>
      <c r="E263" t="inlineStr">
        <is>
          <t>BODEN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54658-2019</t>
        </is>
      </c>
      <c r="B264" s="1" t="n">
        <v>43754</v>
      </c>
      <c r="C264" s="1" t="n">
        <v>45832</v>
      </c>
      <c r="D264" t="inlineStr">
        <is>
          <t>NORRBOTTENS LÄN</t>
        </is>
      </c>
      <c r="E264" t="inlineStr">
        <is>
          <t>BODEN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55972-2019</t>
        </is>
      </c>
      <c r="B265" s="1" t="n">
        <v>43759</v>
      </c>
      <c r="C265" s="1" t="n">
        <v>45832</v>
      </c>
      <c r="D265" t="inlineStr">
        <is>
          <t>NORRBOTTENS LÄN</t>
        </is>
      </c>
      <c r="E265" t="inlineStr">
        <is>
          <t>BODEN</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55688-2019</t>
        </is>
      </c>
      <c r="B266" s="1" t="n">
        <v>43760</v>
      </c>
      <c r="C266" s="1" t="n">
        <v>45832</v>
      </c>
      <c r="D266" t="inlineStr">
        <is>
          <t>NORRBOTTENS LÄN</t>
        </is>
      </c>
      <c r="E266" t="inlineStr">
        <is>
          <t>BODEN</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55707-2019</t>
        </is>
      </c>
      <c r="B267" s="1" t="n">
        <v>43760</v>
      </c>
      <c r="C267" s="1" t="n">
        <v>45832</v>
      </c>
      <c r="D267" t="inlineStr">
        <is>
          <t>NORRBOTTENS LÄN</t>
        </is>
      </c>
      <c r="E267" t="inlineStr">
        <is>
          <t>BODEN</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55708-2019</t>
        </is>
      </c>
      <c r="B268" s="1" t="n">
        <v>43760</v>
      </c>
      <c r="C268" s="1" t="n">
        <v>45832</v>
      </c>
      <c r="D268" t="inlineStr">
        <is>
          <t>NORRBOTTENS LÄN</t>
        </is>
      </c>
      <c r="E268" t="inlineStr">
        <is>
          <t>BODEN</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56444-2019</t>
        </is>
      </c>
      <c r="B269" s="1" t="n">
        <v>43762</v>
      </c>
      <c r="C269" s="1" t="n">
        <v>45832</v>
      </c>
      <c r="D269" t="inlineStr">
        <is>
          <t>NORRBOTTENS LÄN</t>
        </is>
      </c>
      <c r="E269" t="inlineStr">
        <is>
          <t>BODEN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56442-2019</t>
        </is>
      </c>
      <c r="B270" s="1" t="n">
        <v>43762</v>
      </c>
      <c r="C270" s="1" t="n">
        <v>45832</v>
      </c>
      <c r="D270" t="inlineStr">
        <is>
          <t>NORRBOTTENS LÄN</t>
        </is>
      </c>
      <c r="E270" t="inlineStr">
        <is>
          <t>BODEN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56807-2019</t>
        </is>
      </c>
      <c r="B271" s="1" t="n">
        <v>43763</v>
      </c>
      <c r="C271" s="1" t="n">
        <v>45832</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57012-2019</t>
        </is>
      </c>
      <c r="B272" s="1" t="n">
        <v>43766</v>
      </c>
      <c r="C272" s="1" t="n">
        <v>45832</v>
      </c>
      <c r="D272" t="inlineStr">
        <is>
          <t>NORRBOTTENS LÄN</t>
        </is>
      </c>
      <c r="E272" t="inlineStr">
        <is>
          <t>BODEN</t>
        </is>
      </c>
      <c r="G272" t="n">
        <v>4.6</v>
      </c>
      <c r="H272" t="n">
        <v>0</v>
      </c>
      <c r="I272" t="n">
        <v>0</v>
      </c>
      <c r="J272" t="n">
        <v>0</v>
      </c>
      <c r="K272" t="n">
        <v>0</v>
      </c>
      <c r="L272" t="n">
        <v>0</v>
      </c>
      <c r="M272" t="n">
        <v>0</v>
      </c>
      <c r="N272" t="n">
        <v>0</v>
      </c>
      <c r="O272" t="n">
        <v>0</v>
      </c>
      <c r="P272" t="n">
        <v>0</v>
      </c>
      <c r="Q272" t="n">
        <v>0</v>
      </c>
      <c r="R272" s="2" t="inlineStr"/>
    </row>
    <row r="273" ht="15" customHeight="1">
      <c r="A273" t="inlineStr">
        <is>
          <t>A 57170-2019</t>
        </is>
      </c>
      <c r="B273" s="1" t="n">
        <v>43766</v>
      </c>
      <c r="C273" s="1" t="n">
        <v>45832</v>
      </c>
      <c r="D273" t="inlineStr">
        <is>
          <t>NORRBOTTENS LÄN</t>
        </is>
      </c>
      <c r="E273" t="inlineStr">
        <is>
          <t>BODEN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59216-2019</t>
        </is>
      </c>
      <c r="B274" s="1" t="n">
        <v>43770</v>
      </c>
      <c r="C274" s="1" t="n">
        <v>45832</v>
      </c>
      <c r="D274" t="inlineStr">
        <is>
          <t>NORRBOTTENS LÄN</t>
        </is>
      </c>
      <c r="E274" t="inlineStr">
        <is>
          <t>BODEN</t>
        </is>
      </c>
      <c r="G274" t="n">
        <v>3.2</v>
      </c>
      <c r="H274" t="n">
        <v>0</v>
      </c>
      <c r="I274" t="n">
        <v>0</v>
      </c>
      <c r="J274" t="n">
        <v>0</v>
      </c>
      <c r="K274" t="n">
        <v>0</v>
      </c>
      <c r="L274" t="n">
        <v>0</v>
      </c>
      <c r="M274" t="n">
        <v>0</v>
      </c>
      <c r="N274" t="n">
        <v>0</v>
      </c>
      <c r="O274" t="n">
        <v>0</v>
      </c>
      <c r="P274" t="n">
        <v>0</v>
      </c>
      <c r="Q274" t="n">
        <v>0</v>
      </c>
      <c r="R274" s="2" t="inlineStr"/>
    </row>
    <row r="275" ht="15" customHeight="1">
      <c r="A275" t="inlineStr">
        <is>
          <t>A 58477-2019</t>
        </is>
      </c>
      <c r="B275" s="1" t="n">
        <v>43773</v>
      </c>
      <c r="C275" s="1" t="n">
        <v>45832</v>
      </c>
      <c r="D275" t="inlineStr">
        <is>
          <t>NORRBOTTENS LÄN</t>
        </is>
      </c>
      <c r="E275" t="inlineStr">
        <is>
          <t>BODEN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59081-2019</t>
        </is>
      </c>
      <c r="B276" s="1" t="n">
        <v>43774</v>
      </c>
      <c r="C276" s="1" t="n">
        <v>45832</v>
      </c>
      <c r="D276" t="inlineStr">
        <is>
          <t>NORRBOTTENS LÄN</t>
        </is>
      </c>
      <c r="E276" t="inlineStr">
        <is>
          <t>BODEN</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60599-2019</t>
        </is>
      </c>
      <c r="B277" s="1" t="n">
        <v>43777</v>
      </c>
      <c r="C277" s="1" t="n">
        <v>45832</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60576-2019</t>
        </is>
      </c>
      <c r="B278" s="1" t="n">
        <v>43781</v>
      </c>
      <c r="C278" s="1" t="n">
        <v>45832</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60856-2019</t>
        </is>
      </c>
      <c r="B279" s="1" t="n">
        <v>43781</v>
      </c>
      <c r="C279" s="1" t="n">
        <v>45832</v>
      </c>
      <c r="D279" t="inlineStr">
        <is>
          <t>NORRBOTTENS LÄN</t>
        </is>
      </c>
      <c r="E279" t="inlineStr">
        <is>
          <t>BODEN</t>
        </is>
      </c>
      <c r="G279" t="n">
        <v>0.5</v>
      </c>
      <c r="H279" t="n">
        <v>0</v>
      </c>
      <c r="I279" t="n">
        <v>0</v>
      </c>
      <c r="J279" t="n">
        <v>0</v>
      </c>
      <c r="K279" t="n">
        <v>0</v>
      </c>
      <c r="L279" t="n">
        <v>0</v>
      </c>
      <c r="M279" t="n">
        <v>0</v>
      </c>
      <c r="N279" t="n">
        <v>0</v>
      </c>
      <c r="O279" t="n">
        <v>0</v>
      </c>
      <c r="P279" t="n">
        <v>0</v>
      </c>
      <c r="Q279" t="n">
        <v>0</v>
      </c>
      <c r="R279" s="2" t="inlineStr"/>
    </row>
    <row r="280" ht="15" customHeight="1">
      <c r="A280" t="inlineStr">
        <is>
          <t>A 61199-2019</t>
        </is>
      </c>
      <c r="B280" s="1" t="n">
        <v>43782</v>
      </c>
      <c r="C280" s="1" t="n">
        <v>45832</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61770-2019</t>
        </is>
      </c>
      <c r="B281" s="1" t="n">
        <v>43784</v>
      </c>
      <c r="C281" s="1" t="n">
        <v>45832</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61769-2019</t>
        </is>
      </c>
      <c r="B282" s="1" t="n">
        <v>43784</v>
      </c>
      <c r="C282" s="1" t="n">
        <v>45832</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62164-2019</t>
        </is>
      </c>
      <c r="B283" s="1" t="n">
        <v>43787</v>
      </c>
      <c r="C283" s="1" t="n">
        <v>45832</v>
      </c>
      <c r="D283" t="inlineStr">
        <is>
          <t>NORRBOTTENS LÄN</t>
        </is>
      </c>
      <c r="E283" t="inlineStr">
        <is>
          <t>BODEN</t>
        </is>
      </c>
      <c r="F283" t="inlineStr">
        <is>
          <t>SCA</t>
        </is>
      </c>
      <c r="G283" t="n">
        <v>10.7</v>
      </c>
      <c r="H283" t="n">
        <v>0</v>
      </c>
      <c r="I283" t="n">
        <v>0</v>
      </c>
      <c r="J283" t="n">
        <v>0</v>
      </c>
      <c r="K283" t="n">
        <v>0</v>
      </c>
      <c r="L283" t="n">
        <v>0</v>
      </c>
      <c r="M283" t="n">
        <v>0</v>
      </c>
      <c r="N283" t="n">
        <v>0</v>
      </c>
      <c r="O283" t="n">
        <v>0</v>
      </c>
      <c r="P283" t="n">
        <v>0</v>
      </c>
      <c r="Q283" t="n">
        <v>0</v>
      </c>
      <c r="R283" s="2" t="inlineStr"/>
    </row>
    <row r="284" ht="15" customHeight="1">
      <c r="A284" t="inlineStr">
        <is>
          <t>A 62710-2019</t>
        </is>
      </c>
      <c r="B284" s="1" t="n">
        <v>43789</v>
      </c>
      <c r="C284" s="1" t="n">
        <v>45832</v>
      </c>
      <c r="D284" t="inlineStr">
        <is>
          <t>NORRBOTTENS LÄN</t>
        </is>
      </c>
      <c r="E284" t="inlineStr">
        <is>
          <t>BODEN</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64411-2019</t>
        </is>
      </c>
      <c r="B285" s="1" t="n">
        <v>43794</v>
      </c>
      <c r="C285" s="1" t="n">
        <v>45832</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64171-2019</t>
        </is>
      </c>
      <c r="B286" s="1" t="n">
        <v>43797</v>
      </c>
      <c r="C286" s="1" t="n">
        <v>45832</v>
      </c>
      <c r="D286" t="inlineStr">
        <is>
          <t>NORRBOTTENS LÄN</t>
        </is>
      </c>
      <c r="E286" t="inlineStr">
        <is>
          <t>BODEN</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64352-2019</t>
        </is>
      </c>
      <c r="B287" s="1" t="n">
        <v>43797</v>
      </c>
      <c r="C287" s="1" t="n">
        <v>45832</v>
      </c>
      <c r="D287" t="inlineStr">
        <is>
          <t>NORRBOTTENS LÄN</t>
        </is>
      </c>
      <c r="E287" t="inlineStr">
        <is>
          <t>BODEN</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65019-2019</t>
        </is>
      </c>
      <c r="B288" s="1" t="n">
        <v>43801</v>
      </c>
      <c r="C288" s="1" t="n">
        <v>45832</v>
      </c>
      <c r="D288" t="inlineStr">
        <is>
          <t>NORRBOTTENS LÄN</t>
        </is>
      </c>
      <c r="E288" t="inlineStr">
        <is>
          <t>BODEN</t>
        </is>
      </c>
      <c r="F288" t="inlineStr">
        <is>
          <t>Kommuner</t>
        </is>
      </c>
      <c r="G288" t="n">
        <v>9.1</v>
      </c>
      <c r="H288" t="n">
        <v>0</v>
      </c>
      <c r="I288" t="n">
        <v>0</v>
      </c>
      <c r="J288" t="n">
        <v>0</v>
      </c>
      <c r="K288" t="n">
        <v>0</v>
      </c>
      <c r="L288" t="n">
        <v>0</v>
      </c>
      <c r="M288" t="n">
        <v>0</v>
      </c>
      <c r="N288" t="n">
        <v>0</v>
      </c>
      <c r="O288" t="n">
        <v>0</v>
      </c>
      <c r="P288" t="n">
        <v>0</v>
      </c>
      <c r="Q288" t="n">
        <v>0</v>
      </c>
      <c r="R288" s="2" t="inlineStr"/>
    </row>
    <row r="289" ht="15" customHeight="1">
      <c r="A289" t="inlineStr">
        <is>
          <t>A 65099-2019</t>
        </is>
      </c>
      <c r="B289" s="1" t="n">
        <v>43802</v>
      </c>
      <c r="C289" s="1" t="n">
        <v>45832</v>
      </c>
      <c r="D289" t="inlineStr">
        <is>
          <t>NORRBOTTENS LÄN</t>
        </is>
      </c>
      <c r="E289" t="inlineStr">
        <is>
          <t>BODEN</t>
        </is>
      </c>
      <c r="G289" t="n">
        <v>4.2</v>
      </c>
      <c r="H289" t="n">
        <v>0</v>
      </c>
      <c r="I289" t="n">
        <v>0</v>
      </c>
      <c r="J289" t="n">
        <v>0</v>
      </c>
      <c r="K289" t="n">
        <v>0</v>
      </c>
      <c r="L289" t="n">
        <v>0</v>
      </c>
      <c r="M289" t="n">
        <v>0</v>
      </c>
      <c r="N289" t="n">
        <v>0</v>
      </c>
      <c r="O289" t="n">
        <v>0</v>
      </c>
      <c r="P289" t="n">
        <v>0</v>
      </c>
      <c r="Q289" t="n">
        <v>0</v>
      </c>
      <c r="R289" s="2" t="inlineStr"/>
    </row>
    <row r="290" ht="15" customHeight="1">
      <c r="A290" t="inlineStr">
        <is>
          <t>A 65753-2019</t>
        </is>
      </c>
      <c r="B290" s="1" t="n">
        <v>43804</v>
      </c>
      <c r="C290" s="1" t="n">
        <v>45832</v>
      </c>
      <c r="D290" t="inlineStr">
        <is>
          <t>NORRBOTTENS LÄN</t>
        </is>
      </c>
      <c r="E290" t="inlineStr">
        <is>
          <t>BODEN</t>
        </is>
      </c>
      <c r="F290" t="inlineStr">
        <is>
          <t>Kommuner</t>
        </is>
      </c>
      <c r="G290" t="n">
        <v>7.8</v>
      </c>
      <c r="H290" t="n">
        <v>0</v>
      </c>
      <c r="I290" t="n">
        <v>0</v>
      </c>
      <c r="J290" t="n">
        <v>0</v>
      </c>
      <c r="K290" t="n">
        <v>0</v>
      </c>
      <c r="L290" t="n">
        <v>0</v>
      </c>
      <c r="M290" t="n">
        <v>0</v>
      </c>
      <c r="N290" t="n">
        <v>0</v>
      </c>
      <c r="O290" t="n">
        <v>0</v>
      </c>
      <c r="P290" t="n">
        <v>0</v>
      </c>
      <c r="Q290" t="n">
        <v>0</v>
      </c>
      <c r="R290" s="2" t="inlineStr"/>
    </row>
    <row r="291" ht="15" customHeight="1">
      <c r="A291" t="inlineStr">
        <is>
          <t>A 67143-2019</t>
        </is>
      </c>
      <c r="B291" s="1" t="n">
        <v>43805</v>
      </c>
      <c r="C291" s="1" t="n">
        <v>45832</v>
      </c>
      <c r="D291" t="inlineStr">
        <is>
          <t>NORRBOTTENS LÄN</t>
        </is>
      </c>
      <c r="E291" t="inlineStr">
        <is>
          <t>BODEN</t>
        </is>
      </c>
      <c r="G291" t="n">
        <v>4</v>
      </c>
      <c r="H291" t="n">
        <v>0</v>
      </c>
      <c r="I291" t="n">
        <v>0</v>
      </c>
      <c r="J291" t="n">
        <v>0</v>
      </c>
      <c r="K291" t="n">
        <v>0</v>
      </c>
      <c r="L291" t="n">
        <v>0</v>
      </c>
      <c r="M291" t="n">
        <v>0</v>
      </c>
      <c r="N291" t="n">
        <v>0</v>
      </c>
      <c r="O291" t="n">
        <v>0</v>
      </c>
      <c r="P291" t="n">
        <v>0</v>
      </c>
      <c r="Q291" t="n">
        <v>0</v>
      </c>
      <c r="R291" s="2" t="inlineStr"/>
    </row>
    <row r="292" ht="15" customHeight="1">
      <c r="A292" t="inlineStr">
        <is>
          <t>A 66103-2019</t>
        </is>
      </c>
      <c r="B292" s="1" t="n">
        <v>43807</v>
      </c>
      <c r="C292" s="1" t="n">
        <v>45832</v>
      </c>
      <c r="D292" t="inlineStr">
        <is>
          <t>NORRBOTTENS LÄN</t>
        </is>
      </c>
      <c r="E292" t="inlineStr">
        <is>
          <t>BODEN</t>
        </is>
      </c>
      <c r="G292" t="n">
        <v>4.4</v>
      </c>
      <c r="H292" t="n">
        <v>0</v>
      </c>
      <c r="I292" t="n">
        <v>0</v>
      </c>
      <c r="J292" t="n">
        <v>0</v>
      </c>
      <c r="K292" t="n">
        <v>0</v>
      </c>
      <c r="L292" t="n">
        <v>0</v>
      </c>
      <c r="M292" t="n">
        <v>0</v>
      </c>
      <c r="N292" t="n">
        <v>0</v>
      </c>
      <c r="O292" t="n">
        <v>0</v>
      </c>
      <c r="P292" t="n">
        <v>0</v>
      </c>
      <c r="Q292" t="n">
        <v>0</v>
      </c>
      <c r="R292" s="2" t="inlineStr"/>
    </row>
    <row r="293" ht="15" customHeight="1">
      <c r="A293" t="inlineStr">
        <is>
          <t>A 66404-2019</t>
        </is>
      </c>
      <c r="B293" s="1" t="n">
        <v>43809</v>
      </c>
      <c r="C293" s="1" t="n">
        <v>45832</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66908-2019</t>
        </is>
      </c>
      <c r="B294" s="1" t="n">
        <v>43810</v>
      </c>
      <c r="C294" s="1" t="n">
        <v>45832</v>
      </c>
      <c r="D294" t="inlineStr">
        <is>
          <t>NORRBOTTENS LÄN</t>
        </is>
      </c>
      <c r="E294" t="inlineStr">
        <is>
          <t>BODEN</t>
        </is>
      </c>
      <c r="F294" t="inlineStr">
        <is>
          <t>Sveaskog</t>
        </is>
      </c>
      <c r="G294" t="n">
        <v>29.2</v>
      </c>
      <c r="H294" t="n">
        <v>0</v>
      </c>
      <c r="I294" t="n">
        <v>0</v>
      </c>
      <c r="J294" t="n">
        <v>0</v>
      </c>
      <c r="K294" t="n">
        <v>0</v>
      </c>
      <c r="L294" t="n">
        <v>0</v>
      </c>
      <c r="M294" t="n">
        <v>0</v>
      </c>
      <c r="N294" t="n">
        <v>0</v>
      </c>
      <c r="O294" t="n">
        <v>0</v>
      </c>
      <c r="P294" t="n">
        <v>0</v>
      </c>
      <c r="Q294" t="n">
        <v>0</v>
      </c>
      <c r="R294" s="2" t="inlineStr"/>
    </row>
    <row r="295" ht="15" customHeight="1">
      <c r="A295" t="inlineStr">
        <is>
          <t>A 67938-2019</t>
        </is>
      </c>
      <c r="B295" s="1" t="n">
        <v>43816</v>
      </c>
      <c r="C295" s="1" t="n">
        <v>45832</v>
      </c>
      <c r="D295" t="inlineStr">
        <is>
          <t>NORRBOTTENS LÄN</t>
        </is>
      </c>
      <c r="E295" t="inlineStr">
        <is>
          <t>BODEN</t>
        </is>
      </c>
      <c r="G295" t="n">
        <v>2.7</v>
      </c>
      <c r="H295" t="n">
        <v>0</v>
      </c>
      <c r="I295" t="n">
        <v>0</v>
      </c>
      <c r="J295" t="n">
        <v>0</v>
      </c>
      <c r="K295" t="n">
        <v>0</v>
      </c>
      <c r="L295" t="n">
        <v>0</v>
      </c>
      <c r="M295" t="n">
        <v>0</v>
      </c>
      <c r="N295" t="n">
        <v>0</v>
      </c>
      <c r="O295" t="n">
        <v>0</v>
      </c>
      <c r="P295" t="n">
        <v>0</v>
      </c>
      <c r="Q295" t="n">
        <v>0</v>
      </c>
      <c r="R295" s="2" t="inlineStr"/>
    </row>
    <row r="296" ht="15" customHeight="1">
      <c r="A296" t="inlineStr">
        <is>
          <t>A 687-2020</t>
        </is>
      </c>
      <c r="B296" s="1" t="n">
        <v>43819</v>
      </c>
      <c r="C296" s="1" t="n">
        <v>45832</v>
      </c>
      <c r="D296" t="inlineStr">
        <is>
          <t>NORRBOTTENS LÄN</t>
        </is>
      </c>
      <c r="E296" t="inlineStr">
        <is>
          <t>BODEN</t>
        </is>
      </c>
      <c r="G296" t="n">
        <v>0.5</v>
      </c>
      <c r="H296" t="n">
        <v>0</v>
      </c>
      <c r="I296" t="n">
        <v>0</v>
      </c>
      <c r="J296" t="n">
        <v>0</v>
      </c>
      <c r="K296" t="n">
        <v>0</v>
      </c>
      <c r="L296" t="n">
        <v>0</v>
      </c>
      <c r="M296" t="n">
        <v>0</v>
      </c>
      <c r="N296" t="n">
        <v>0</v>
      </c>
      <c r="O296" t="n">
        <v>0</v>
      </c>
      <c r="P296" t="n">
        <v>0</v>
      </c>
      <c r="Q296" t="n">
        <v>0</v>
      </c>
      <c r="R296" s="2" t="inlineStr"/>
    </row>
    <row r="297" ht="15" customHeight="1">
      <c r="A297" t="inlineStr">
        <is>
          <t>A 1560-2020</t>
        </is>
      </c>
      <c r="B297" s="1" t="n">
        <v>43843</v>
      </c>
      <c r="C297" s="1" t="n">
        <v>45832</v>
      </c>
      <c r="D297" t="inlineStr">
        <is>
          <t>NORRBOTTENS LÄN</t>
        </is>
      </c>
      <c r="E297" t="inlineStr">
        <is>
          <t>BODEN</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2901-2020</t>
        </is>
      </c>
      <c r="B298" s="1" t="n">
        <v>43850</v>
      </c>
      <c r="C298" s="1" t="n">
        <v>45832</v>
      </c>
      <c r="D298" t="inlineStr">
        <is>
          <t>NORRBOTTENS LÄN</t>
        </is>
      </c>
      <c r="E298" t="inlineStr">
        <is>
          <t>BODEN</t>
        </is>
      </c>
      <c r="F298" t="inlineStr">
        <is>
          <t>Övriga statliga verk och myndigheter</t>
        </is>
      </c>
      <c r="G298" t="n">
        <v>12.1</v>
      </c>
      <c r="H298" t="n">
        <v>0</v>
      </c>
      <c r="I298" t="n">
        <v>0</v>
      </c>
      <c r="J298" t="n">
        <v>0</v>
      </c>
      <c r="K298" t="n">
        <v>0</v>
      </c>
      <c r="L298" t="n">
        <v>0</v>
      </c>
      <c r="M298" t="n">
        <v>0</v>
      </c>
      <c r="N298" t="n">
        <v>0</v>
      </c>
      <c r="O298" t="n">
        <v>0</v>
      </c>
      <c r="P298" t="n">
        <v>0</v>
      </c>
      <c r="Q298" t="n">
        <v>0</v>
      </c>
      <c r="R298" s="2" t="inlineStr"/>
    </row>
    <row r="299" ht="15" customHeight="1">
      <c r="A299" t="inlineStr">
        <is>
          <t>A 2894-2020</t>
        </is>
      </c>
      <c r="B299" s="1" t="n">
        <v>43850</v>
      </c>
      <c r="C299" s="1" t="n">
        <v>45832</v>
      </c>
      <c r="D299" t="inlineStr">
        <is>
          <t>NORRBOTTENS LÄN</t>
        </is>
      </c>
      <c r="E299" t="inlineStr">
        <is>
          <t>BODEN</t>
        </is>
      </c>
      <c r="F299" t="inlineStr">
        <is>
          <t>Övriga statliga verk och myndigheter</t>
        </is>
      </c>
      <c r="G299" t="n">
        <v>19.1</v>
      </c>
      <c r="H299" t="n">
        <v>0</v>
      </c>
      <c r="I299" t="n">
        <v>0</v>
      </c>
      <c r="J299" t="n">
        <v>0</v>
      </c>
      <c r="K299" t="n">
        <v>0</v>
      </c>
      <c r="L299" t="n">
        <v>0</v>
      </c>
      <c r="M299" t="n">
        <v>0</v>
      </c>
      <c r="N299" t="n">
        <v>0</v>
      </c>
      <c r="O299" t="n">
        <v>0</v>
      </c>
      <c r="P299" t="n">
        <v>0</v>
      </c>
      <c r="Q299" t="n">
        <v>0</v>
      </c>
      <c r="R299" s="2" t="inlineStr"/>
    </row>
    <row r="300" ht="15" customHeight="1">
      <c r="A300" t="inlineStr">
        <is>
          <t>A 3669-2020</t>
        </is>
      </c>
      <c r="B300" s="1" t="n">
        <v>43853</v>
      </c>
      <c r="C300" s="1" t="n">
        <v>45832</v>
      </c>
      <c r="D300" t="inlineStr">
        <is>
          <t>NORRBOTTENS LÄN</t>
        </is>
      </c>
      <c r="E300" t="inlineStr">
        <is>
          <t>BODEN</t>
        </is>
      </c>
      <c r="G300" t="n">
        <v>6.3</v>
      </c>
      <c r="H300" t="n">
        <v>0</v>
      </c>
      <c r="I300" t="n">
        <v>0</v>
      </c>
      <c r="J300" t="n">
        <v>0</v>
      </c>
      <c r="K300" t="n">
        <v>0</v>
      </c>
      <c r="L300" t="n">
        <v>0</v>
      </c>
      <c r="M300" t="n">
        <v>0</v>
      </c>
      <c r="N300" t="n">
        <v>0</v>
      </c>
      <c r="O300" t="n">
        <v>0</v>
      </c>
      <c r="P300" t="n">
        <v>0</v>
      </c>
      <c r="Q300" t="n">
        <v>0</v>
      </c>
      <c r="R300" s="2" t="inlineStr"/>
    </row>
    <row r="301" ht="15" customHeight="1">
      <c r="A301" t="inlineStr">
        <is>
          <t>A 4223-2020</t>
        </is>
      </c>
      <c r="B301" s="1" t="n">
        <v>43854</v>
      </c>
      <c r="C301" s="1" t="n">
        <v>45832</v>
      </c>
      <c r="D301" t="inlineStr">
        <is>
          <t>NORRBOTTENS LÄN</t>
        </is>
      </c>
      <c r="E301" t="inlineStr">
        <is>
          <t>BODEN</t>
        </is>
      </c>
      <c r="G301" t="n">
        <v>3.8</v>
      </c>
      <c r="H301" t="n">
        <v>0</v>
      </c>
      <c r="I301" t="n">
        <v>0</v>
      </c>
      <c r="J301" t="n">
        <v>0</v>
      </c>
      <c r="K301" t="n">
        <v>0</v>
      </c>
      <c r="L301" t="n">
        <v>0</v>
      </c>
      <c r="M301" t="n">
        <v>0</v>
      </c>
      <c r="N301" t="n">
        <v>0</v>
      </c>
      <c r="O301" t="n">
        <v>0</v>
      </c>
      <c r="P301" t="n">
        <v>0</v>
      </c>
      <c r="Q301" t="n">
        <v>0</v>
      </c>
      <c r="R301" s="2" t="inlineStr"/>
    </row>
    <row r="302" ht="15" customHeight="1">
      <c r="A302" t="inlineStr">
        <is>
          <t>A 5526-2020</t>
        </is>
      </c>
      <c r="B302" s="1" t="n">
        <v>43859</v>
      </c>
      <c r="C302" s="1" t="n">
        <v>45832</v>
      </c>
      <c r="D302" t="inlineStr">
        <is>
          <t>NORRBOTTENS LÄN</t>
        </is>
      </c>
      <c r="E302" t="inlineStr">
        <is>
          <t>BODEN</t>
        </is>
      </c>
      <c r="G302" t="n">
        <v>7.8</v>
      </c>
      <c r="H302" t="n">
        <v>0</v>
      </c>
      <c r="I302" t="n">
        <v>0</v>
      </c>
      <c r="J302" t="n">
        <v>0</v>
      </c>
      <c r="K302" t="n">
        <v>0</v>
      </c>
      <c r="L302" t="n">
        <v>0</v>
      </c>
      <c r="M302" t="n">
        <v>0</v>
      </c>
      <c r="N302" t="n">
        <v>0</v>
      </c>
      <c r="O302" t="n">
        <v>0</v>
      </c>
      <c r="P302" t="n">
        <v>0</v>
      </c>
      <c r="Q302" t="n">
        <v>0</v>
      </c>
      <c r="R302" s="2" t="inlineStr"/>
    </row>
    <row r="303" ht="15" customHeight="1">
      <c r="A303" t="inlineStr">
        <is>
          <t>A 6516-2020</t>
        </is>
      </c>
      <c r="B303" s="1" t="n">
        <v>43865</v>
      </c>
      <c r="C303" s="1" t="n">
        <v>45832</v>
      </c>
      <c r="D303" t="inlineStr">
        <is>
          <t>NORRBOTTENS LÄN</t>
        </is>
      </c>
      <c r="E303" t="inlineStr">
        <is>
          <t>BODEN</t>
        </is>
      </c>
      <c r="G303" t="n">
        <v>5.5</v>
      </c>
      <c r="H303" t="n">
        <v>0</v>
      </c>
      <c r="I303" t="n">
        <v>0</v>
      </c>
      <c r="J303" t="n">
        <v>0</v>
      </c>
      <c r="K303" t="n">
        <v>0</v>
      </c>
      <c r="L303" t="n">
        <v>0</v>
      </c>
      <c r="M303" t="n">
        <v>0</v>
      </c>
      <c r="N303" t="n">
        <v>0</v>
      </c>
      <c r="O303" t="n">
        <v>0</v>
      </c>
      <c r="P303" t="n">
        <v>0</v>
      </c>
      <c r="Q303" t="n">
        <v>0</v>
      </c>
      <c r="R303" s="2" t="inlineStr"/>
    </row>
    <row r="304" ht="15" customHeight="1">
      <c r="A304" t="inlineStr">
        <is>
          <t>A 8096-2020</t>
        </is>
      </c>
      <c r="B304" s="1" t="n">
        <v>43874</v>
      </c>
      <c r="C304" s="1" t="n">
        <v>45832</v>
      </c>
      <c r="D304" t="inlineStr">
        <is>
          <t>NORRBOTTENS LÄN</t>
        </is>
      </c>
      <c r="E304" t="inlineStr">
        <is>
          <t>BODEN</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10591-2020</t>
        </is>
      </c>
      <c r="B305" s="1" t="n">
        <v>43887</v>
      </c>
      <c r="C305" s="1" t="n">
        <v>45832</v>
      </c>
      <c r="D305" t="inlineStr">
        <is>
          <t>NORRBOTTENS LÄN</t>
        </is>
      </c>
      <c r="E305" t="inlineStr">
        <is>
          <t>BODEN</t>
        </is>
      </c>
      <c r="G305" t="n">
        <v>2.1</v>
      </c>
      <c r="H305" t="n">
        <v>0</v>
      </c>
      <c r="I305" t="n">
        <v>0</v>
      </c>
      <c r="J305" t="n">
        <v>0</v>
      </c>
      <c r="K305" t="n">
        <v>0</v>
      </c>
      <c r="L305" t="n">
        <v>0</v>
      </c>
      <c r="M305" t="n">
        <v>0</v>
      </c>
      <c r="N305" t="n">
        <v>0</v>
      </c>
      <c r="O305" t="n">
        <v>0</v>
      </c>
      <c r="P305" t="n">
        <v>0</v>
      </c>
      <c r="Q305" t="n">
        <v>0</v>
      </c>
      <c r="R305" s="2" t="inlineStr"/>
    </row>
    <row r="306" ht="15" customHeight="1">
      <c r="A306" t="inlineStr">
        <is>
          <t>A 12358-2020</t>
        </is>
      </c>
      <c r="B306" s="1" t="n">
        <v>43896</v>
      </c>
      <c r="C306" s="1" t="n">
        <v>45832</v>
      </c>
      <c r="D306" t="inlineStr">
        <is>
          <t>NORRBOTTENS LÄN</t>
        </is>
      </c>
      <c r="E306" t="inlineStr">
        <is>
          <t>BODEN</t>
        </is>
      </c>
      <c r="G306" t="n">
        <v>2.5</v>
      </c>
      <c r="H306" t="n">
        <v>0</v>
      </c>
      <c r="I306" t="n">
        <v>0</v>
      </c>
      <c r="J306" t="n">
        <v>0</v>
      </c>
      <c r="K306" t="n">
        <v>0</v>
      </c>
      <c r="L306" t="n">
        <v>0</v>
      </c>
      <c r="M306" t="n">
        <v>0</v>
      </c>
      <c r="N306" t="n">
        <v>0</v>
      </c>
      <c r="O306" t="n">
        <v>0</v>
      </c>
      <c r="P306" t="n">
        <v>0</v>
      </c>
      <c r="Q306" t="n">
        <v>0</v>
      </c>
      <c r="R306" s="2" t="inlineStr"/>
    </row>
    <row r="307" ht="15" customHeight="1">
      <c r="A307" t="inlineStr">
        <is>
          <t>A 13119-2020</t>
        </is>
      </c>
      <c r="B307" s="1" t="n">
        <v>43901</v>
      </c>
      <c r="C307" s="1" t="n">
        <v>45832</v>
      </c>
      <c r="D307" t="inlineStr">
        <is>
          <t>NORRBOTTENS LÄN</t>
        </is>
      </c>
      <c r="E307" t="inlineStr">
        <is>
          <t>BODEN</t>
        </is>
      </c>
      <c r="F307" t="inlineStr">
        <is>
          <t>Sveaskog</t>
        </is>
      </c>
      <c r="G307" t="n">
        <v>32.5</v>
      </c>
      <c r="H307" t="n">
        <v>0</v>
      </c>
      <c r="I307" t="n">
        <v>0</v>
      </c>
      <c r="J307" t="n">
        <v>0</v>
      </c>
      <c r="K307" t="n">
        <v>0</v>
      </c>
      <c r="L307" t="n">
        <v>0</v>
      </c>
      <c r="M307" t="n">
        <v>0</v>
      </c>
      <c r="N307" t="n">
        <v>0</v>
      </c>
      <c r="O307" t="n">
        <v>0</v>
      </c>
      <c r="P307" t="n">
        <v>0</v>
      </c>
      <c r="Q307" t="n">
        <v>0</v>
      </c>
      <c r="R307" s="2" t="inlineStr"/>
    </row>
    <row r="308" ht="15" customHeight="1">
      <c r="A308" t="inlineStr">
        <is>
          <t>A 13123-2020</t>
        </is>
      </c>
      <c r="B308" s="1" t="n">
        <v>43901</v>
      </c>
      <c r="C308" s="1" t="n">
        <v>45832</v>
      </c>
      <c r="D308" t="inlineStr">
        <is>
          <t>NORRBOTTENS LÄN</t>
        </is>
      </c>
      <c r="E308" t="inlineStr">
        <is>
          <t>BODEN</t>
        </is>
      </c>
      <c r="F308" t="inlineStr">
        <is>
          <t>Sveaskog</t>
        </is>
      </c>
      <c r="G308" t="n">
        <v>41.8</v>
      </c>
      <c r="H308" t="n">
        <v>0</v>
      </c>
      <c r="I308" t="n">
        <v>0</v>
      </c>
      <c r="J308" t="n">
        <v>0</v>
      </c>
      <c r="K308" t="n">
        <v>0</v>
      </c>
      <c r="L308" t="n">
        <v>0</v>
      </c>
      <c r="M308" t="n">
        <v>0</v>
      </c>
      <c r="N308" t="n">
        <v>0</v>
      </c>
      <c r="O308" t="n">
        <v>0</v>
      </c>
      <c r="P308" t="n">
        <v>0</v>
      </c>
      <c r="Q308" t="n">
        <v>0</v>
      </c>
      <c r="R308" s="2" t="inlineStr"/>
    </row>
    <row r="309" ht="15" customHeight="1">
      <c r="A309" t="inlineStr">
        <is>
          <t>A 13293-2020</t>
        </is>
      </c>
      <c r="B309" s="1" t="n">
        <v>43901</v>
      </c>
      <c r="C309" s="1" t="n">
        <v>45832</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13821-2020</t>
        </is>
      </c>
      <c r="B310" s="1" t="n">
        <v>43905</v>
      </c>
      <c r="C310" s="1" t="n">
        <v>45832</v>
      </c>
      <c r="D310" t="inlineStr">
        <is>
          <t>NORRBOTTENS LÄN</t>
        </is>
      </c>
      <c r="E310" t="inlineStr">
        <is>
          <t>BODEN</t>
        </is>
      </c>
      <c r="F310" t="inlineStr">
        <is>
          <t>Kommuner</t>
        </is>
      </c>
      <c r="G310" t="n">
        <v>4</v>
      </c>
      <c r="H310" t="n">
        <v>0</v>
      </c>
      <c r="I310" t="n">
        <v>0</v>
      </c>
      <c r="J310" t="n">
        <v>0</v>
      </c>
      <c r="K310" t="n">
        <v>0</v>
      </c>
      <c r="L310" t="n">
        <v>0</v>
      </c>
      <c r="M310" t="n">
        <v>0</v>
      </c>
      <c r="N310" t="n">
        <v>0</v>
      </c>
      <c r="O310" t="n">
        <v>0</v>
      </c>
      <c r="P310" t="n">
        <v>0</v>
      </c>
      <c r="Q310" t="n">
        <v>0</v>
      </c>
      <c r="R310" s="2" t="inlineStr"/>
    </row>
    <row r="311" ht="15" customHeight="1">
      <c r="A311" t="inlineStr">
        <is>
          <t>A 14325-2020</t>
        </is>
      </c>
      <c r="B311" s="1" t="n">
        <v>43907</v>
      </c>
      <c r="C311" s="1" t="n">
        <v>45832</v>
      </c>
      <c r="D311" t="inlineStr">
        <is>
          <t>NORRBOTTENS LÄN</t>
        </is>
      </c>
      <c r="E311" t="inlineStr">
        <is>
          <t>BODEN</t>
        </is>
      </c>
      <c r="F311" t="inlineStr">
        <is>
          <t>SCA</t>
        </is>
      </c>
      <c r="G311" t="n">
        <v>1.6</v>
      </c>
      <c r="H311" t="n">
        <v>0</v>
      </c>
      <c r="I311" t="n">
        <v>0</v>
      </c>
      <c r="J311" t="n">
        <v>0</v>
      </c>
      <c r="K311" t="n">
        <v>0</v>
      </c>
      <c r="L311" t="n">
        <v>0</v>
      </c>
      <c r="M311" t="n">
        <v>0</v>
      </c>
      <c r="N311" t="n">
        <v>0</v>
      </c>
      <c r="O311" t="n">
        <v>0</v>
      </c>
      <c r="P311" t="n">
        <v>0</v>
      </c>
      <c r="Q311" t="n">
        <v>0</v>
      </c>
      <c r="R311" s="2" t="inlineStr"/>
      <c r="U311">
        <f>HYPERLINK("https://klasma.github.io/Logging_2582/knärot/A 14325-2020 karta knärot.png", "A 14325-2020")</f>
        <v/>
      </c>
      <c r="V311">
        <f>HYPERLINK("https://klasma.github.io/Logging_2582/klagomål/A 14325-2020 FSC-klagomål.docx", "A 14325-2020")</f>
        <v/>
      </c>
      <c r="W311">
        <f>HYPERLINK("https://klasma.github.io/Logging_2582/klagomålsmail/A 14325-2020 FSC-klagomål mail.docx", "A 14325-2020")</f>
        <v/>
      </c>
      <c r="X311">
        <f>HYPERLINK("https://klasma.github.io/Logging_2582/tillsyn/A 14325-2020 tillsynsbegäran.docx", "A 14325-2020")</f>
        <v/>
      </c>
      <c r="Y311">
        <f>HYPERLINK("https://klasma.github.io/Logging_2582/tillsynsmail/A 14325-2020 tillsynsbegäran mail.docx", "A 14325-2020")</f>
        <v/>
      </c>
    </row>
    <row r="312" ht="15" customHeight="1">
      <c r="A312" t="inlineStr">
        <is>
          <t>A 17746-2020</t>
        </is>
      </c>
      <c r="B312" s="1" t="n">
        <v>43922</v>
      </c>
      <c r="C312" s="1" t="n">
        <v>45832</v>
      </c>
      <c r="D312" t="inlineStr">
        <is>
          <t>NORRBOTTENS LÄN</t>
        </is>
      </c>
      <c r="E312" t="inlineStr">
        <is>
          <t>BODEN</t>
        </is>
      </c>
      <c r="G312" t="n">
        <v>12.6</v>
      </c>
      <c r="H312" t="n">
        <v>0</v>
      </c>
      <c r="I312" t="n">
        <v>0</v>
      </c>
      <c r="J312" t="n">
        <v>0</v>
      </c>
      <c r="K312" t="n">
        <v>0</v>
      </c>
      <c r="L312" t="n">
        <v>0</v>
      </c>
      <c r="M312" t="n">
        <v>0</v>
      </c>
      <c r="N312" t="n">
        <v>0</v>
      </c>
      <c r="O312" t="n">
        <v>0</v>
      </c>
      <c r="P312" t="n">
        <v>0</v>
      </c>
      <c r="Q312" t="n">
        <v>0</v>
      </c>
      <c r="R312" s="2" t="inlineStr"/>
    </row>
    <row r="313" ht="15" customHeight="1">
      <c r="A313" t="inlineStr">
        <is>
          <t>A 18031-2020</t>
        </is>
      </c>
      <c r="B313" s="1" t="n">
        <v>43927</v>
      </c>
      <c r="C313" s="1" t="n">
        <v>45832</v>
      </c>
      <c r="D313" t="inlineStr">
        <is>
          <t>NORRBOTTENS LÄN</t>
        </is>
      </c>
      <c r="E313" t="inlineStr">
        <is>
          <t>BODEN</t>
        </is>
      </c>
      <c r="F313" t="inlineStr">
        <is>
          <t>Övriga statliga verk och myndigheter</t>
        </is>
      </c>
      <c r="G313" t="n">
        <v>10.3</v>
      </c>
      <c r="H313" t="n">
        <v>0</v>
      </c>
      <c r="I313" t="n">
        <v>0</v>
      </c>
      <c r="J313" t="n">
        <v>0</v>
      </c>
      <c r="K313" t="n">
        <v>0</v>
      </c>
      <c r="L313" t="n">
        <v>0</v>
      </c>
      <c r="M313" t="n">
        <v>0</v>
      </c>
      <c r="N313" t="n">
        <v>0</v>
      </c>
      <c r="O313" t="n">
        <v>0</v>
      </c>
      <c r="P313" t="n">
        <v>0</v>
      </c>
      <c r="Q313" t="n">
        <v>0</v>
      </c>
      <c r="R313" s="2" t="inlineStr"/>
    </row>
    <row r="314" ht="15" customHeight="1">
      <c r="A314" t="inlineStr">
        <is>
          <t>A 18027-2020</t>
        </is>
      </c>
      <c r="B314" s="1" t="n">
        <v>43927</v>
      </c>
      <c r="C314" s="1" t="n">
        <v>45832</v>
      </c>
      <c r="D314" t="inlineStr">
        <is>
          <t>NORRBOTTENS LÄN</t>
        </is>
      </c>
      <c r="E314" t="inlineStr">
        <is>
          <t>BODEN</t>
        </is>
      </c>
      <c r="F314" t="inlineStr">
        <is>
          <t>Övriga statliga verk och myndigheter</t>
        </is>
      </c>
      <c r="G314" t="n">
        <v>17.8</v>
      </c>
      <c r="H314" t="n">
        <v>0</v>
      </c>
      <c r="I314" t="n">
        <v>0</v>
      </c>
      <c r="J314" t="n">
        <v>0</v>
      </c>
      <c r="K314" t="n">
        <v>0</v>
      </c>
      <c r="L314" t="n">
        <v>0</v>
      </c>
      <c r="M314" t="n">
        <v>0</v>
      </c>
      <c r="N314" t="n">
        <v>0</v>
      </c>
      <c r="O314" t="n">
        <v>0</v>
      </c>
      <c r="P314" t="n">
        <v>0</v>
      </c>
      <c r="Q314" t="n">
        <v>0</v>
      </c>
      <c r="R314" s="2" t="inlineStr"/>
    </row>
    <row r="315" ht="15" customHeight="1">
      <c r="A315" t="inlineStr">
        <is>
          <t>A 19068-2020</t>
        </is>
      </c>
      <c r="B315" s="1" t="n">
        <v>43936</v>
      </c>
      <c r="C315" s="1" t="n">
        <v>45832</v>
      </c>
      <c r="D315" t="inlineStr">
        <is>
          <t>NORRBOTTENS LÄN</t>
        </is>
      </c>
      <c r="E315" t="inlineStr">
        <is>
          <t>BODEN</t>
        </is>
      </c>
      <c r="G315" t="n">
        <v>5.2</v>
      </c>
      <c r="H315" t="n">
        <v>0</v>
      </c>
      <c r="I315" t="n">
        <v>0</v>
      </c>
      <c r="J315" t="n">
        <v>0</v>
      </c>
      <c r="K315" t="n">
        <v>0</v>
      </c>
      <c r="L315" t="n">
        <v>0</v>
      </c>
      <c r="M315" t="n">
        <v>0</v>
      </c>
      <c r="N315" t="n">
        <v>0</v>
      </c>
      <c r="O315" t="n">
        <v>0</v>
      </c>
      <c r="P315" t="n">
        <v>0</v>
      </c>
      <c r="Q315" t="n">
        <v>0</v>
      </c>
      <c r="R315" s="2" t="inlineStr"/>
    </row>
    <row r="316" ht="15" customHeight="1">
      <c r="A316" t="inlineStr">
        <is>
          <t>A 22426-2020</t>
        </is>
      </c>
      <c r="B316" s="1" t="n">
        <v>43958</v>
      </c>
      <c r="C316" s="1" t="n">
        <v>45832</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22844-2020</t>
        </is>
      </c>
      <c r="B317" s="1" t="n">
        <v>43964</v>
      </c>
      <c r="C317" s="1" t="n">
        <v>45832</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22846-2020</t>
        </is>
      </c>
      <c r="B318" s="1" t="n">
        <v>43964</v>
      </c>
      <c r="C318" s="1" t="n">
        <v>45832</v>
      </c>
      <c r="D318" t="inlineStr">
        <is>
          <t>NORRBOTTENS LÄN</t>
        </is>
      </c>
      <c r="E318" t="inlineStr">
        <is>
          <t>BODEN</t>
        </is>
      </c>
      <c r="G318" t="n">
        <v>4.4</v>
      </c>
      <c r="H318" t="n">
        <v>0</v>
      </c>
      <c r="I318" t="n">
        <v>0</v>
      </c>
      <c r="J318" t="n">
        <v>0</v>
      </c>
      <c r="K318" t="n">
        <v>0</v>
      </c>
      <c r="L318" t="n">
        <v>0</v>
      </c>
      <c r="M318" t="n">
        <v>0</v>
      </c>
      <c r="N318" t="n">
        <v>0</v>
      </c>
      <c r="O318" t="n">
        <v>0</v>
      </c>
      <c r="P318" t="n">
        <v>0</v>
      </c>
      <c r="Q318" t="n">
        <v>0</v>
      </c>
      <c r="R318" s="2" t="inlineStr"/>
    </row>
    <row r="319" ht="15" customHeight="1">
      <c r="A319" t="inlineStr">
        <is>
          <t>A 23105-2020</t>
        </is>
      </c>
      <c r="B319" s="1" t="n">
        <v>43965</v>
      </c>
      <c r="C319" s="1" t="n">
        <v>45832</v>
      </c>
      <c r="D319" t="inlineStr">
        <is>
          <t>NORRBOTTENS LÄN</t>
        </is>
      </c>
      <c r="E319" t="inlineStr">
        <is>
          <t>BODEN</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24026-2020</t>
        </is>
      </c>
      <c r="B320" s="1" t="n">
        <v>43971</v>
      </c>
      <c r="C320" s="1" t="n">
        <v>45832</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25105-2020</t>
        </is>
      </c>
      <c r="B321" s="1" t="n">
        <v>43979</v>
      </c>
      <c r="C321" s="1" t="n">
        <v>45832</v>
      </c>
      <c r="D321" t="inlineStr">
        <is>
          <t>NORRBOTTENS LÄN</t>
        </is>
      </c>
      <c r="E321" t="inlineStr">
        <is>
          <t>BODEN</t>
        </is>
      </c>
      <c r="G321" t="n">
        <v>4.7</v>
      </c>
      <c r="H321" t="n">
        <v>0</v>
      </c>
      <c r="I321" t="n">
        <v>0</v>
      </c>
      <c r="J321" t="n">
        <v>0</v>
      </c>
      <c r="K321" t="n">
        <v>0</v>
      </c>
      <c r="L321" t="n">
        <v>0</v>
      </c>
      <c r="M321" t="n">
        <v>0</v>
      </c>
      <c r="N321" t="n">
        <v>0</v>
      </c>
      <c r="O321" t="n">
        <v>0</v>
      </c>
      <c r="P321" t="n">
        <v>0</v>
      </c>
      <c r="Q321" t="n">
        <v>0</v>
      </c>
      <c r="R321" s="2" t="inlineStr"/>
    </row>
    <row r="322" ht="15" customHeight="1">
      <c r="A322" t="inlineStr">
        <is>
          <t>A 25439-2020</t>
        </is>
      </c>
      <c r="B322" s="1" t="n">
        <v>43983</v>
      </c>
      <c r="C322" s="1" t="n">
        <v>45832</v>
      </c>
      <c r="D322" t="inlineStr">
        <is>
          <t>NORRBOTTENS LÄN</t>
        </is>
      </c>
      <c r="E322" t="inlineStr">
        <is>
          <t>BODEN</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25541-2020</t>
        </is>
      </c>
      <c r="B323" s="1" t="n">
        <v>43983</v>
      </c>
      <c r="C323" s="1" t="n">
        <v>45832</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25446-2020</t>
        </is>
      </c>
      <c r="B324" s="1" t="n">
        <v>43983</v>
      </c>
      <c r="C324" s="1" t="n">
        <v>45832</v>
      </c>
      <c r="D324" t="inlineStr">
        <is>
          <t>NORRBOTTENS LÄN</t>
        </is>
      </c>
      <c r="E324" t="inlineStr">
        <is>
          <t>BODEN</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25449-2020</t>
        </is>
      </c>
      <c r="B325" s="1" t="n">
        <v>43983</v>
      </c>
      <c r="C325" s="1" t="n">
        <v>45832</v>
      </c>
      <c r="D325" t="inlineStr">
        <is>
          <t>NORRBOTTENS LÄN</t>
        </is>
      </c>
      <c r="E325" t="inlineStr">
        <is>
          <t>BODEN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26916-2020</t>
        </is>
      </c>
      <c r="B326" s="1" t="n">
        <v>43990</v>
      </c>
      <c r="C326" s="1" t="n">
        <v>45832</v>
      </c>
      <c r="D326" t="inlineStr">
        <is>
          <t>NORRBOTTENS LÄN</t>
        </is>
      </c>
      <c r="E326" t="inlineStr">
        <is>
          <t>BODEN</t>
        </is>
      </c>
      <c r="G326" t="n">
        <v>0.5</v>
      </c>
      <c r="H326" t="n">
        <v>0</v>
      </c>
      <c r="I326" t="n">
        <v>0</v>
      </c>
      <c r="J326" t="n">
        <v>0</v>
      </c>
      <c r="K326" t="n">
        <v>0</v>
      </c>
      <c r="L326" t="n">
        <v>0</v>
      </c>
      <c r="M326" t="n">
        <v>0</v>
      </c>
      <c r="N326" t="n">
        <v>0</v>
      </c>
      <c r="O326" t="n">
        <v>0</v>
      </c>
      <c r="P326" t="n">
        <v>0</v>
      </c>
      <c r="Q326" t="n">
        <v>0</v>
      </c>
      <c r="R326" s="2" t="inlineStr"/>
    </row>
    <row r="327" ht="15" customHeight="1">
      <c r="A327" t="inlineStr">
        <is>
          <t>A 27876-2020</t>
        </is>
      </c>
      <c r="B327" s="1" t="n">
        <v>43994</v>
      </c>
      <c r="C327" s="1" t="n">
        <v>45832</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28202-2020</t>
        </is>
      </c>
      <c r="B328" s="1" t="n">
        <v>43997</v>
      </c>
      <c r="C328" s="1" t="n">
        <v>45832</v>
      </c>
      <c r="D328" t="inlineStr">
        <is>
          <t>NORRBOTTENS LÄN</t>
        </is>
      </c>
      <c r="E328" t="inlineStr">
        <is>
          <t>BODEN</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28488-2020</t>
        </is>
      </c>
      <c r="B329" s="1" t="n">
        <v>43998</v>
      </c>
      <c r="C329" s="1" t="n">
        <v>45832</v>
      </c>
      <c r="D329" t="inlineStr">
        <is>
          <t>NORRBOTTENS LÄN</t>
        </is>
      </c>
      <c r="E329" t="inlineStr">
        <is>
          <t>BODEN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29247-2020</t>
        </is>
      </c>
      <c r="B330" s="1" t="n">
        <v>44004</v>
      </c>
      <c r="C330" s="1" t="n">
        <v>45832</v>
      </c>
      <c r="D330" t="inlineStr">
        <is>
          <t>NORRBOTTENS LÄN</t>
        </is>
      </c>
      <c r="E330" t="inlineStr">
        <is>
          <t>BODEN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29567-2020</t>
        </is>
      </c>
      <c r="B331" s="1" t="n">
        <v>44005</v>
      </c>
      <c r="C331" s="1" t="n">
        <v>45832</v>
      </c>
      <c r="D331" t="inlineStr">
        <is>
          <t>NORRBOTTENS LÄN</t>
        </is>
      </c>
      <c r="E331" t="inlineStr">
        <is>
          <t>BODEN</t>
        </is>
      </c>
      <c r="G331" t="n">
        <v>0.2</v>
      </c>
      <c r="H331" t="n">
        <v>0</v>
      </c>
      <c r="I331" t="n">
        <v>0</v>
      </c>
      <c r="J331" t="n">
        <v>0</v>
      </c>
      <c r="K331" t="n">
        <v>0</v>
      </c>
      <c r="L331" t="n">
        <v>0</v>
      </c>
      <c r="M331" t="n">
        <v>0</v>
      </c>
      <c r="N331" t="n">
        <v>0</v>
      </c>
      <c r="O331" t="n">
        <v>0</v>
      </c>
      <c r="P331" t="n">
        <v>0</v>
      </c>
      <c r="Q331" t="n">
        <v>0</v>
      </c>
      <c r="R331" s="2" t="inlineStr"/>
    </row>
    <row r="332" ht="15" customHeight="1">
      <c r="A332" t="inlineStr">
        <is>
          <t>A 29610-2020</t>
        </is>
      </c>
      <c r="B332" s="1" t="n">
        <v>44005</v>
      </c>
      <c r="C332" s="1" t="n">
        <v>45832</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29659-2020</t>
        </is>
      </c>
      <c r="B333" s="1" t="n">
        <v>44005</v>
      </c>
      <c r="C333" s="1" t="n">
        <v>45832</v>
      </c>
      <c r="D333" t="inlineStr">
        <is>
          <t>NORRBOTTENS LÄN</t>
        </is>
      </c>
      <c r="E333" t="inlineStr">
        <is>
          <t>BODEN</t>
        </is>
      </c>
      <c r="F333" t="inlineStr">
        <is>
          <t>Sveaskog</t>
        </is>
      </c>
      <c r="G333" t="n">
        <v>66.90000000000001</v>
      </c>
      <c r="H333" t="n">
        <v>0</v>
      </c>
      <c r="I333" t="n">
        <v>0</v>
      </c>
      <c r="J333" t="n">
        <v>0</v>
      </c>
      <c r="K333" t="n">
        <v>0</v>
      </c>
      <c r="L333" t="n">
        <v>0</v>
      </c>
      <c r="M333" t="n">
        <v>0</v>
      </c>
      <c r="N333" t="n">
        <v>0</v>
      </c>
      <c r="O333" t="n">
        <v>0</v>
      </c>
      <c r="P333" t="n">
        <v>0</v>
      </c>
      <c r="Q333" t="n">
        <v>0</v>
      </c>
      <c r="R333" s="2" t="inlineStr"/>
    </row>
    <row r="334" ht="15" customHeight="1">
      <c r="A334" t="inlineStr">
        <is>
          <t>A 29622-2020</t>
        </is>
      </c>
      <c r="B334" s="1" t="n">
        <v>44005</v>
      </c>
      <c r="C334" s="1" t="n">
        <v>45832</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30334-2020</t>
        </is>
      </c>
      <c r="B335" s="1" t="n">
        <v>44007</v>
      </c>
      <c r="C335" s="1" t="n">
        <v>45832</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30307-2020</t>
        </is>
      </c>
      <c r="B336" s="1" t="n">
        <v>44007</v>
      </c>
      <c r="C336" s="1" t="n">
        <v>45832</v>
      </c>
      <c r="D336" t="inlineStr">
        <is>
          <t>NORRBOTTENS LÄN</t>
        </is>
      </c>
      <c r="E336" t="inlineStr">
        <is>
          <t>BODEN</t>
        </is>
      </c>
      <c r="G336" t="n">
        <v>10.6</v>
      </c>
      <c r="H336" t="n">
        <v>0</v>
      </c>
      <c r="I336" t="n">
        <v>0</v>
      </c>
      <c r="J336" t="n">
        <v>0</v>
      </c>
      <c r="K336" t="n">
        <v>0</v>
      </c>
      <c r="L336" t="n">
        <v>0</v>
      </c>
      <c r="M336" t="n">
        <v>0</v>
      </c>
      <c r="N336" t="n">
        <v>0</v>
      </c>
      <c r="O336" t="n">
        <v>0</v>
      </c>
      <c r="P336" t="n">
        <v>0</v>
      </c>
      <c r="Q336" t="n">
        <v>0</v>
      </c>
      <c r="R336" s="2" t="inlineStr"/>
    </row>
    <row r="337" ht="15" customHeight="1">
      <c r="A337" t="inlineStr">
        <is>
          <t>A 30326-2020</t>
        </is>
      </c>
      <c r="B337" s="1" t="n">
        <v>44007</v>
      </c>
      <c r="C337" s="1" t="n">
        <v>45832</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30565-2020</t>
        </is>
      </c>
      <c r="B338" s="1" t="n">
        <v>44008</v>
      </c>
      <c r="C338" s="1" t="n">
        <v>45832</v>
      </c>
      <c r="D338" t="inlineStr">
        <is>
          <t>NORRBOTTENS LÄN</t>
        </is>
      </c>
      <c r="E338" t="inlineStr">
        <is>
          <t>BODEN</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31429-2020</t>
        </is>
      </c>
      <c r="B339" s="1" t="n">
        <v>44013</v>
      </c>
      <c r="C339" s="1" t="n">
        <v>45832</v>
      </c>
      <c r="D339" t="inlineStr">
        <is>
          <t>NORRBOTTENS LÄN</t>
        </is>
      </c>
      <c r="E339" t="inlineStr">
        <is>
          <t>BODEN</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31978-2020</t>
        </is>
      </c>
      <c r="B340" s="1" t="n">
        <v>44015</v>
      </c>
      <c r="C340" s="1" t="n">
        <v>45832</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32151-2020</t>
        </is>
      </c>
      <c r="B341" s="1" t="n">
        <v>44015</v>
      </c>
      <c r="C341" s="1" t="n">
        <v>45832</v>
      </c>
      <c r="D341" t="inlineStr">
        <is>
          <t>NORRBOTTENS LÄN</t>
        </is>
      </c>
      <c r="E341" t="inlineStr">
        <is>
          <t>BODEN</t>
        </is>
      </c>
      <c r="G341" t="n">
        <v>0.5</v>
      </c>
      <c r="H341" t="n">
        <v>0</v>
      </c>
      <c r="I341" t="n">
        <v>0</v>
      </c>
      <c r="J341" t="n">
        <v>0</v>
      </c>
      <c r="K341" t="n">
        <v>0</v>
      </c>
      <c r="L341" t="n">
        <v>0</v>
      </c>
      <c r="M341" t="n">
        <v>0</v>
      </c>
      <c r="N341" t="n">
        <v>0</v>
      </c>
      <c r="O341" t="n">
        <v>0</v>
      </c>
      <c r="P341" t="n">
        <v>0</v>
      </c>
      <c r="Q341" t="n">
        <v>0</v>
      </c>
      <c r="R341" s="2" t="inlineStr"/>
    </row>
    <row r="342" ht="15" customHeight="1">
      <c r="A342" t="inlineStr">
        <is>
          <t>A 32424-2020</t>
        </is>
      </c>
      <c r="B342" s="1" t="n">
        <v>44015</v>
      </c>
      <c r="C342" s="1" t="n">
        <v>45832</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32985-2020</t>
        </is>
      </c>
      <c r="B343" s="1" t="n">
        <v>44020</v>
      </c>
      <c r="C343" s="1" t="n">
        <v>45832</v>
      </c>
      <c r="D343" t="inlineStr">
        <is>
          <t>NORRBOTTENS LÄN</t>
        </is>
      </c>
      <c r="E343" t="inlineStr">
        <is>
          <t>BODEN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33034-2020</t>
        </is>
      </c>
      <c r="B344" s="1" t="n">
        <v>44021</v>
      </c>
      <c r="C344" s="1" t="n">
        <v>45832</v>
      </c>
      <c r="D344" t="inlineStr">
        <is>
          <t>NORRBOTTENS LÄN</t>
        </is>
      </c>
      <c r="E344" t="inlineStr">
        <is>
          <t>BODEN</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33319-2020</t>
        </is>
      </c>
      <c r="B345" s="1" t="n">
        <v>44022</v>
      </c>
      <c r="C345" s="1" t="n">
        <v>45832</v>
      </c>
      <c r="D345" t="inlineStr">
        <is>
          <t>NORRBOTTENS LÄN</t>
        </is>
      </c>
      <c r="E345" t="inlineStr">
        <is>
          <t>BODEN</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34264-2020</t>
        </is>
      </c>
      <c r="B346" s="1" t="n">
        <v>44029</v>
      </c>
      <c r="C346" s="1" t="n">
        <v>45832</v>
      </c>
      <c r="D346" t="inlineStr">
        <is>
          <t>NORRBOTTENS LÄN</t>
        </is>
      </c>
      <c r="E346" t="inlineStr">
        <is>
          <t>BODEN</t>
        </is>
      </c>
      <c r="F346" t="inlineStr">
        <is>
          <t>SCA</t>
        </is>
      </c>
      <c r="G346" t="n">
        <v>9</v>
      </c>
      <c r="H346" t="n">
        <v>0</v>
      </c>
      <c r="I346" t="n">
        <v>0</v>
      </c>
      <c r="J346" t="n">
        <v>0</v>
      </c>
      <c r="K346" t="n">
        <v>0</v>
      </c>
      <c r="L346" t="n">
        <v>0</v>
      </c>
      <c r="M346" t="n">
        <v>0</v>
      </c>
      <c r="N346" t="n">
        <v>0</v>
      </c>
      <c r="O346" t="n">
        <v>0</v>
      </c>
      <c r="P346" t="n">
        <v>0</v>
      </c>
      <c r="Q346" t="n">
        <v>0</v>
      </c>
      <c r="R346" s="2" t="inlineStr"/>
    </row>
    <row r="347" ht="15" customHeight="1">
      <c r="A347" t="inlineStr">
        <is>
          <t>A 34267-2020</t>
        </is>
      </c>
      <c r="B347" s="1" t="n">
        <v>44029</v>
      </c>
      <c r="C347" s="1" t="n">
        <v>45832</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34266-2020</t>
        </is>
      </c>
      <c r="B348" s="1" t="n">
        <v>44029</v>
      </c>
      <c r="C348" s="1" t="n">
        <v>45832</v>
      </c>
      <c r="D348" t="inlineStr">
        <is>
          <t>NORRBOTTENS LÄN</t>
        </is>
      </c>
      <c r="E348" t="inlineStr">
        <is>
          <t>BODEN</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34790-2020</t>
        </is>
      </c>
      <c r="B349" s="1" t="n">
        <v>44035</v>
      </c>
      <c r="C349" s="1" t="n">
        <v>45832</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34786-2020</t>
        </is>
      </c>
      <c r="B350" s="1" t="n">
        <v>44035</v>
      </c>
      <c r="C350" s="1" t="n">
        <v>45832</v>
      </c>
      <c r="D350" t="inlineStr">
        <is>
          <t>NORRBOTTENS LÄN</t>
        </is>
      </c>
      <c r="E350" t="inlineStr">
        <is>
          <t>BODEN</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34791-2020</t>
        </is>
      </c>
      <c r="B351" s="1" t="n">
        <v>44035</v>
      </c>
      <c r="C351" s="1" t="n">
        <v>45832</v>
      </c>
      <c r="D351" t="inlineStr">
        <is>
          <t>NORRBOTTENS LÄN</t>
        </is>
      </c>
      <c r="E351" t="inlineStr">
        <is>
          <t>BODEN</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34788-2020</t>
        </is>
      </c>
      <c r="B352" s="1" t="n">
        <v>44035</v>
      </c>
      <c r="C352" s="1" t="n">
        <v>45832</v>
      </c>
      <c r="D352" t="inlineStr">
        <is>
          <t>NORRBOTTENS LÄN</t>
        </is>
      </c>
      <c r="E352" t="inlineStr">
        <is>
          <t>BODEN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34792-2020</t>
        </is>
      </c>
      <c r="B353" s="1" t="n">
        <v>44035</v>
      </c>
      <c r="C353" s="1" t="n">
        <v>45832</v>
      </c>
      <c r="D353" t="inlineStr">
        <is>
          <t>NORRBOTTENS LÄN</t>
        </is>
      </c>
      <c r="E353" t="inlineStr">
        <is>
          <t>BODEN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34795-2020</t>
        </is>
      </c>
      <c r="B354" s="1" t="n">
        <v>44035</v>
      </c>
      <c r="C354" s="1" t="n">
        <v>45832</v>
      </c>
      <c r="D354" t="inlineStr">
        <is>
          <t>NORRBOTTENS LÄN</t>
        </is>
      </c>
      <c r="E354" t="inlineStr">
        <is>
          <t>BODEN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34789-2020</t>
        </is>
      </c>
      <c r="B355" s="1" t="n">
        <v>44035</v>
      </c>
      <c r="C355" s="1" t="n">
        <v>45832</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34793-2020</t>
        </is>
      </c>
      <c r="B356" s="1" t="n">
        <v>44035</v>
      </c>
      <c r="C356" s="1" t="n">
        <v>45832</v>
      </c>
      <c r="D356" t="inlineStr">
        <is>
          <t>NORRBOTTENS LÄN</t>
        </is>
      </c>
      <c r="E356" t="inlineStr">
        <is>
          <t>BODEN</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35701-2020</t>
        </is>
      </c>
      <c r="B357" s="1" t="n">
        <v>44046</v>
      </c>
      <c r="C357" s="1" t="n">
        <v>45832</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35903-2020</t>
        </is>
      </c>
      <c r="B358" s="1" t="n">
        <v>44047</v>
      </c>
      <c r="C358" s="1" t="n">
        <v>45832</v>
      </c>
      <c r="D358" t="inlineStr">
        <is>
          <t>NORRBOTTENS LÄN</t>
        </is>
      </c>
      <c r="E358" t="inlineStr">
        <is>
          <t>BODEN</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36651-2020</t>
        </is>
      </c>
      <c r="B359" s="1" t="n">
        <v>44050</v>
      </c>
      <c r="C359" s="1" t="n">
        <v>45832</v>
      </c>
      <c r="D359" t="inlineStr">
        <is>
          <t>NORRBOTTENS LÄN</t>
        </is>
      </c>
      <c r="E359" t="inlineStr">
        <is>
          <t>BODEN</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36515-2020</t>
        </is>
      </c>
      <c r="B360" s="1" t="n">
        <v>44050</v>
      </c>
      <c r="C360" s="1" t="n">
        <v>45832</v>
      </c>
      <c r="D360" t="inlineStr">
        <is>
          <t>NORRBOTTENS LÄN</t>
        </is>
      </c>
      <c r="E360" t="inlineStr">
        <is>
          <t>BODEN</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36653-2020</t>
        </is>
      </c>
      <c r="B361" s="1" t="n">
        <v>44051</v>
      </c>
      <c r="C361" s="1" t="n">
        <v>45832</v>
      </c>
      <c r="D361" t="inlineStr">
        <is>
          <t>NORRBOTTENS LÄN</t>
        </is>
      </c>
      <c r="E361" t="inlineStr">
        <is>
          <t>BODEN</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36960-2020</t>
        </is>
      </c>
      <c r="B362" s="1" t="n">
        <v>44053</v>
      </c>
      <c r="C362" s="1" t="n">
        <v>45832</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36984-2020</t>
        </is>
      </c>
      <c r="B363" s="1" t="n">
        <v>44054</v>
      </c>
      <c r="C363" s="1" t="n">
        <v>45832</v>
      </c>
      <c r="D363" t="inlineStr">
        <is>
          <t>NORRBOTTENS LÄN</t>
        </is>
      </c>
      <c r="E363" t="inlineStr">
        <is>
          <t>BODEN</t>
        </is>
      </c>
      <c r="F363" t="inlineStr">
        <is>
          <t>Övriga Aktiebolag</t>
        </is>
      </c>
      <c r="G363" t="n">
        <v>44.4</v>
      </c>
      <c r="H363" t="n">
        <v>0</v>
      </c>
      <c r="I363" t="n">
        <v>0</v>
      </c>
      <c r="J363" t="n">
        <v>0</v>
      </c>
      <c r="K363" t="n">
        <v>0</v>
      </c>
      <c r="L363" t="n">
        <v>0</v>
      </c>
      <c r="M363" t="n">
        <v>0</v>
      </c>
      <c r="N363" t="n">
        <v>0</v>
      </c>
      <c r="O363" t="n">
        <v>0</v>
      </c>
      <c r="P363" t="n">
        <v>0</v>
      </c>
      <c r="Q363" t="n">
        <v>0</v>
      </c>
      <c r="R363" s="2" t="inlineStr"/>
    </row>
    <row r="364" ht="15" customHeight="1">
      <c r="A364" t="inlineStr">
        <is>
          <t>A 37886-2020</t>
        </is>
      </c>
      <c r="B364" s="1" t="n">
        <v>44057</v>
      </c>
      <c r="C364" s="1" t="n">
        <v>45832</v>
      </c>
      <c r="D364" t="inlineStr">
        <is>
          <t>NORRBOTTENS LÄN</t>
        </is>
      </c>
      <c r="E364" t="inlineStr">
        <is>
          <t>BODEN</t>
        </is>
      </c>
      <c r="G364" t="n">
        <v>3</v>
      </c>
      <c r="H364" t="n">
        <v>0</v>
      </c>
      <c r="I364" t="n">
        <v>0</v>
      </c>
      <c r="J364" t="n">
        <v>0</v>
      </c>
      <c r="K364" t="n">
        <v>0</v>
      </c>
      <c r="L364" t="n">
        <v>0</v>
      </c>
      <c r="M364" t="n">
        <v>0</v>
      </c>
      <c r="N364" t="n">
        <v>0</v>
      </c>
      <c r="O364" t="n">
        <v>0</v>
      </c>
      <c r="P364" t="n">
        <v>0</v>
      </c>
      <c r="Q364" t="n">
        <v>0</v>
      </c>
      <c r="R364" s="2" t="inlineStr"/>
    </row>
    <row r="365" ht="15" customHeight="1">
      <c r="A365" t="inlineStr">
        <is>
          <t>A 38991-2020</t>
        </is>
      </c>
      <c r="B365" s="1" t="n">
        <v>44062</v>
      </c>
      <c r="C365" s="1" t="n">
        <v>45832</v>
      </c>
      <c r="D365" t="inlineStr">
        <is>
          <t>NORRBOTTENS LÄN</t>
        </is>
      </c>
      <c r="E365" t="inlineStr">
        <is>
          <t>BODEN</t>
        </is>
      </c>
      <c r="G365" t="n">
        <v>9.5</v>
      </c>
      <c r="H365" t="n">
        <v>0</v>
      </c>
      <c r="I365" t="n">
        <v>0</v>
      </c>
      <c r="J365" t="n">
        <v>0</v>
      </c>
      <c r="K365" t="n">
        <v>0</v>
      </c>
      <c r="L365" t="n">
        <v>0</v>
      </c>
      <c r="M365" t="n">
        <v>0</v>
      </c>
      <c r="N365" t="n">
        <v>0</v>
      </c>
      <c r="O365" t="n">
        <v>0</v>
      </c>
      <c r="P365" t="n">
        <v>0</v>
      </c>
      <c r="Q365" t="n">
        <v>0</v>
      </c>
      <c r="R365" s="2" t="inlineStr"/>
    </row>
    <row r="366" ht="15" customHeight="1">
      <c r="A366" t="inlineStr">
        <is>
          <t>A 39843-2020</t>
        </is>
      </c>
      <c r="B366" s="1" t="n">
        <v>44064</v>
      </c>
      <c r="C366" s="1" t="n">
        <v>45832</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40282-2020</t>
        </is>
      </c>
      <c r="B367" s="1" t="n">
        <v>44067</v>
      </c>
      <c r="C367" s="1" t="n">
        <v>45832</v>
      </c>
      <c r="D367" t="inlineStr">
        <is>
          <t>NORRBOTTENS LÄN</t>
        </is>
      </c>
      <c r="E367" t="inlineStr">
        <is>
          <t>BODEN</t>
        </is>
      </c>
      <c r="G367" t="n">
        <v>2.4</v>
      </c>
      <c r="H367" t="n">
        <v>0</v>
      </c>
      <c r="I367" t="n">
        <v>0</v>
      </c>
      <c r="J367" t="n">
        <v>0</v>
      </c>
      <c r="K367" t="n">
        <v>0</v>
      </c>
      <c r="L367" t="n">
        <v>0</v>
      </c>
      <c r="M367" t="n">
        <v>0</v>
      </c>
      <c r="N367" t="n">
        <v>0</v>
      </c>
      <c r="O367" t="n">
        <v>0</v>
      </c>
      <c r="P367" t="n">
        <v>0</v>
      </c>
      <c r="Q367" t="n">
        <v>0</v>
      </c>
      <c r="R367" s="2" t="inlineStr"/>
    </row>
    <row r="368" ht="15" customHeight="1">
      <c r="A368" t="inlineStr">
        <is>
          <t>A 41021-2020</t>
        </is>
      </c>
      <c r="B368" s="1" t="n">
        <v>44070</v>
      </c>
      <c r="C368" s="1" t="n">
        <v>45832</v>
      </c>
      <c r="D368" t="inlineStr">
        <is>
          <t>NORRBOTTENS LÄN</t>
        </is>
      </c>
      <c r="E368" t="inlineStr">
        <is>
          <t>BODEN</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41985-2020</t>
        </is>
      </c>
      <c r="B369" s="1" t="n">
        <v>44075</v>
      </c>
      <c r="C369" s="1" t="n">
        <v>45832</v>
      </c>
      <c r="D369" t="inlineStr">
        <is>
          <t>NORRBOTTENS LÄN</t>
        </is>
      </c>
      <c r="E369" t="inlineStr">
        <is>
          <t>BODEN</t>
        </is>
      </c>
      <c r="G369" t="n">
        <v>1.1</v>
      </c>
      <c r="H369" t="n">
        <v>0</v>
      </c>
      <c r="I369" t="n">
        <v>0</v>
      </c>
      <c r="J369" t="n">
        <v>0</v>
      </c>
      <c r="K369" t="n">
        <v>0</v>
      </c>
      <c r="L369" t="n">
        <v>0</v>
      </c>
      <c r="M369" t="n">
        <v>0</v>
      </c>
      <c r="N369" t="n">
        <v>0</v>
      </c>
      <c r="O369" t="n">
        <v>0</v>
      </c>
      <c r="P369" t="n">
        <v>0</v>
      </c>
      <c r="Q369" t="n">
        <v>0</v>
      </c>
      <c r="R369" s="2" t="inlineStr"/>
    </row>
    <row r="370" ht="15" customHeight="1">
      <c r="A370" t="inlineStr">
        <is>
          <t>A 42624-2020</t>
        </is>
      </c>
      <c r="B370" s="1" t="n">
        <v>44077</v>
      </c>
      <c r="C370" s="1" t="n">
        <v>45832</v>
      </c>
      <c r="D370" t="inlineStr">
        <is>
          <t>NORRBOTTENS LÄN</t>
        </is>
      </c>
      <c r="E370" t="inlineStr">
        <is>
          <t>BODEN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42618-2020</t>
        </is>
      </c>
      <c r="B371" s="1" t="n">
        <v>44077</v>
      </c>
      <c r="C371" s="1" t="n">
        <v>45832</v>
      </c>
      <c r="D371" t="inlineStr">
        <is>
          <t>NORRBOTTENS LÄN</t>
        </is>
      </c>
      <c r="E371" t="inlineStr">
        <is>
          <t>BODEN</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45676-2020</t>
        </is>
      </c>
      <c r="B372" s="1" t="n">
        <v>44090</v>
      </c>
      <c r="C372" s="1" t="n">
        <v>45832</v>
      </c>
      <c r="D372" t="inlineStr">
        <is>
          <t>NORRBOTTENS LÄN</t>
        </is>
      </c>
      <c r="E372" t="inlineStr">
        <is>
          <t>BODEN</t>
        </is>
      </c>
      <c r="G372" t="n">
        <v>0.2</v>
      </c>
      <c r="H372" t="n">
        <v>0</v>
      </c>
      <c r="I372" t="n">
        <v>0</v>
      </c>
      <c r="J372" t="n">
        <v>0</v>
      </c>
      <c r="K372" t="n">
        <v>0</v>
      </c>
      <c r="L372" t="n">
        <v>0</v>
      </c>
      <c r="M372" t="n">
        <v>0</v>
      </c>
      <c r="N372" t="n">
        <v>0</v>
      </c>
      <c r="O372" t="n">
        <v>0</v>
      </c>
      <c r="P372" t="n">
        <v>0</v>
      </c>
      <c r="Q372" t="n">
        <v>0</v>
      </c>
      <c r="R372" s="2" t="inlineStr"/>
    </row>
    <row r="373" ht="15" customHeight="1">
      <c r="A373" t="inlineStr">
        <is>
          <t>A 46292-2020</t>
        </is>
      </c>
      <c r="B373" s="1" t="n">
        <v>44092</v>
      </c>
      <c r="C373" s="1" t="n">
        <v>45832</v>
      </c>
      <c r="D373" t="inlineStr">
        <is>
          <t>NORRBOTTENS LÄN</t>
        </is>
      </c>
      <c r="E373" t="inlineStr">
        <is>
          <t>BODEN</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48777-2020</t>
        </is>
      </c>
      <c r="B374" s="1" t="n">
        <v>44099</v>
      </c>
      <c r="C374" s="1" t="n">
        <v>45832</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50526-2020</t>
        </is>
      </c>
      <c r="B375" s="1" t="n">
        <v>44110</v>
      </c>
      <c r="C375" s="1" t="n">
        <v>45832</v>
      </c>
      <c r="D375" t="inlineStr">
        <is>
          <t>NORRBOTTENS LÄN</t>
        </is>
      </c>
      <c r="E375" t="inlineStr">
        <is>
          <t>BODEN</t>
        </is>
      </c>
      <c r="G375" t="n">
        <v>5</v>
      </c>
      <c r="H375" t="n">
        <v>0</v>
      </c>
      <c r="I375" t="n">
        <v>0</v>
      </c>
      <c r="J375" t="n">
        <v>0</v>
      </c>
      <c r="K375" t="n">
        <v>0</v>
      </c>
      <c r="L375" t="n">
        <v>0</v>
      </c>
      <c r="M375" t="n">
        <v>0</v>
      </c>
      <c r="N375" t="n">
        <v>0</v>
      </c>
      <c r="O375" t="n">
        <v>0</v>
      </c>
      <c r="P375" t="n">
        <v>0</v>
      </c>
      <c r="Q375" t="n">
        <v>0</v>
      </c>
      <c r="R375" s="2" t="inlineStr"/>
    </row>
    <row r="376" ht="15" customHeight="1">
      <c r="A376" t="inlineStr">
        <is>
          <t>A 50545-2020</t>
        </is>
      </c>
      <c r="B376" s="1" t="n">
        <v>44110</v>
      </c>
      <c r="C376" s="1" t="n">
        <v>45832</v>
      </c>
      <c r="D376" t="inlineStr">
        <is>
          <t>NORRBOTTENS LÄN</t>
        </is>
      </c>
      <c r="E376" t="inlineStr">
        <is>
          <t>BODEN</t>
        </is>
      </c>
      <c r="G376" t="n">
        <v>4.2</v>
      </c>
      <c r="H376" t="n">
        <v>0</v>
      </c>
      <c r="I376" t="n">
        <v>0</v>
      </c>
      <c r="J376" t="n">
        <v>0</v>
      </c>
      <c r="K376" t="n">
        <v>0</v>
      </c>
      <c r="L376" t="n">
        <v>0</v>
      </c>
      <c r="M376" t="n">
        <v>0</v>
      </c>
      <c r="N376" t="n">
        <v>0</v>
      </c>
      <c r="O376" t="n">
        <v>0</v>
      </c>
      <c r="P376" t="n">
        <v>0</v>
      </c>
      <c r="Q376" t="n">
        <v>0</v>
      </c>
      <c r="R376" s="2" t="inlineStr"/>
    </row>
    <row r="377" ht="15" customHeight="1">
      <c r="A377" t="inlineStr">
        <is>
          <t>A 50621-2020</t>
        </is>
      </c>
      <c r="B377" s="1" t="n">
        <v>44110</v>
      </c>
      <c r="C377" s="1" t="n">
        <v>45832</v>
      </c>
      <c r="D377" t="inlineStr">
        <is>
          <t>NORRBOTTENS LÄN</t>
        </is>
      </c>
      <c r="E377" t="inlineStr">
        <is>
          <t>BODEN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50618-2020</t>
        </is>
      </c>
      <c r="B378" s="1" t="n">
        <v>44110</v>
      </c>
      <c r="C378" s="1" t="n">
        <v>45832</v>
      </c>
      <c r="D378" t="inlineStr">
        <is>
          <t>NORRBOTTENS LÄN</t>
        </is>
      </c>
      <c r="E378" t="inlineStr">
        <is>
          <t>BODEN</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50623-2020</t>
        </is>
      </c>
      <c r="B379" s="1" t="n">
        <v>44110</v>
      </c>
      <c r="C379" s="1" t="n">
        <v>45832</v>
      </c>
      <c r="D379" t="inlineStr">
        <is>
          <t>NORRBOTTENS LÄN</t>
        </is>
      </c>
      <c r="E379" t="inlineStr">
        <is>
          <t>BODEN</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50617-2020</t>
        </is>
      </c>
      <c r="B380" s="1" t="n">
        <v>44110</v>
      </c>
      <c r="C380" s="1" t="n">
        <v>45832</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50736-2020</t>
        </is>
      </c>
      <c r="B381" s="1" t="n">
        <v>44111</v>
      </c>
      <c r="C381" s="1" t="n">
        <v>45832</v>
      </c>
      <c r="D381" t="inlineStr">
        <is>
          <t>NORRBOTTENS LÄN</t>
        </is>
      </c>
      <c r="E381" t="inlineStr">
        <is>
          <t>BODEN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52591-2020</t>
        </is>
      </c>
      <c r="B382" s="1" t="n">
        <v>44116</v>
      </c>
      <c r="C382" s="1" t="n">
        <v>45832</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52903-2020</t>
        </is>
      </c>
      <c r="B383" s="1" t="n">
        <v>44119</v>
      </c>
      <c r="C383" s="1" t="n">
        <v>45832</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53102-2020</t>
        </is>
      </c>
      <c r="B384" s="1" t="n">
        <v>44120</v>
      </c>
      <c r="C384" s="1" t="n">
        <v>45832</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53065-2020</t>
        </is>
      </c>
      <c r="B385" s="1" t="n">
        <v>44120</v>
      </c>
      <c r="C385" s="1" t="n">
        <v>45832</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53069-2020</t>
        </is>
      </c>
      <c r="B386" s="1" t="n">
        <v>44120</v>
      </c>
      <c r="C386" s="1" t="n">
        <v>45832</v>
      </c>
      <c r="D386" t="inlineStr">
        <is>
          <t>NORRBOTTENS LÄN</t>
        </is>
      </c>
      <c r="E386" t="inlineStr">
        <is>
          <t>BODEN</t>
        </is>
      </c>
      <c r="G386" t="n">
        <v>2.8</v>
      </c>
      <c r="H386" t="n">
        <v>0</v>
      </c>
      <c r="I386" t="n">
        <v>0</v>
      </c>
      <c r="J386" t="n">
        <v>0</v>
      </c>
      <c r="K386" t="n">
        <v>0</v>
      </c>
      <c r="L386" t="n">
        <v>0</v>
      </c>
      <c r="M386" t="n">
        <v>0</v>
      </c>
      <c r="N386" t="n">
        <v>0</v>
      </c>
      <c r="O386" t="n">
        <v>0</v>
      </c>
      <c r="P386" t="n">
        <v>0</v>
      </c>
      <c r="Q386" t="n">
        <v>0</v>
      </c>
      <c r="R386" s="2" t="inlineStr"/>
    </row>
    <row r="387" ht="15" customHeight="1">
      <c r="A387" t="inlineStr">
        <is>
          <t>A 53829-2020</t>
        </is>
      </c>
      <c r="B387" s="1" t="n">
        <v>44124</v>
      </c>
      <c r="C387" s="1" t="n">
        <v>45832</v>
      </c>
      <c r="D387" t="inlineStr">
        <is>
          <t>NORRBOTTENS LÄN</t>
        </is>
      </c>
      <c r="E387" t="inlineStr">
        <is>
          <t>BODEN</t>
        </is>
      </c>
      <c r="G387" t="n">
        <v>3.2</v>
      </c>
      <c r="H387" t="n">
        <v>0</v>
      </c>
      <c r="I387" t="n">
        <v>0</v>
      </c>
      <c r="J387" t="n">
        <v>0</v>
      </c>
      <c r="K387" t="n">
        <v>0</v>
      </c>
      <c r="L387" t="n">
        <v>0</v>
      </c>
      <c r="M387" t="n">
        <v>0</v>
      </c>
      <c r="N387" t="n">
        <v>0</v>
      </c>
      <c r="O387" t="n">
        <v>0</v>
      </c>
      <c r="P387" t="n">
        <v>0</v>
      </c>
      <c r="Q387" t="n">
        <v>0</v>
      </c>
      <c r="R387" s="2" t="inlineStr"/>
    </row>
    <row r="388" ht="15" customHeight="1">
      <c r="A388" t="inlineStr">
        <is>
          <t>A 53744-2020</t>
        </is>
      </c>
      <c r="B388" s="1" t="n">
        <v>44124</v>
      </c>
      <c r="C388" s="1" t="n">
        <v>45832</v>
      </c>
      <c r="D388" t="inlineStr">
        <is>
          <t>NORRBOTTENS LÄN</t>
        </is>
      </c>
      <c r="E388" t="inlineStr">
        <is>
          <t>BODEN</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53859-2020</t>
        </is>
      </c>
      <c r="B389" s="1" t="n">
        <v>44125</v>
      </c>
      <c r="C389" s="1" t="n">
        <v>45832</v>
      </c>
      <c r="D389" t="inlineStr">
        <is>
          <t>NORRBOTTENS LÄN</t>
        </is>
      </c>
      <c r="E389" t="inlineStr">
        <is>
          <t>BODEN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54451-2020</t>
        </is>
      </c>
      <c r="B390" s="1" t="n">
        <v>44126</v>
      </c>
      <c r="C390" s="1" t="n">
        <v>45832</v>
      </c>
      <c r="D390" t="inlineStr">
        <is>
          <t>NORRBOTTENS LÄN</t>
        </is>
      </c>
      <c r="E390" t="inlineStr">
        <is>
          <t>BODEN</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54614-2020</t>
        </is>
      </c>
      <c r="B391" s="1" t="n">
        <v>44127</v>
      </c>
      <c r="C391" s="1" t="n">
        <v>45832</v>
      </c>
      <c r="D391" t="inlineStr">
        <is>
          <t>NORRBOTTENS LÄN</t>
        </is>
      </c>
      <c r="E391" t="inlineStr">
        <is>
          <t>BODEN</t>
        </is>
      </c>
      <c r="G391" t="n">
        <v>49.1</v>
      </c>
      <c r="H391" t="n">
        <v>0</v>
      </c>
      <c r="I391" t="n">
        <v>0</v>
      </c>
      <c r="J391" t="n">
        <v>0</v>
      </c>
      <c r="K391" t="n">
        <v>0</v>
      </c>
      <c r="L391" t="n">
        <v>0</v>
      </c>
      <c r="M391" t="n">
        <v>0</v>
      </c>
      <c r="N391" t="n">
        <v>0</v>
      </c>
      <c r="O391" t="n">
        <v>0</v>
      </c>
      <c r="P391" t="n">
        <v>0</v>
      </c>
      <c r="Q391" t="n">
        <v>0</v>
      </c>
      <c r="R391" s="2" t="inlineStr"/>
    </row>
    <row r="392" ht="15" customHeight="1">
      <c r="A392" t="inlineStr">
        <is>
          <t>A 55059-2020</t>
        </is>
      </c>
      <c r="B392" s="1" t="n">
        <v>44130</v>
      </c>
      <c r="C392" s="1" t="n">
        <v>45832</v>
      </c>
      <c r="D392" t="inlineStr">
        <is>
          <t>NORRBOTTENS LÄN</t>
        </is>
      </c>
      <c r="E392" t="inlineStr">
        <is>
          <t>BODEN</t>
        </is>
      </c>
      <c r="G392" t="n">
        <v>1.1</v>
      </c>
      <c r="H392" t="n">
        <v>0</v>
      </c>
      <c r="I392" t="n">
        <v>0</v>
      </c>
      <c r="J392" t="n">
        <v>0</v>
      </c>
      <c r="K392" t="n">
        <v>0</v>
      </c>
      <c r="L392" t="n">
        <v>0</v>
      </c>
      <c r="M392" t="n">
        <v>0</v>
      </c>
      <c r="N392" t="n">
        <v>0</v>
      </c>
      <c r="O392" t="n">
        <v>0</v>
      </c>
      <c r="P392" t="n">
        <v>0</v>
      </c>
      <c r="Q392" t="n">
        <v>0</v>
      </c>
      <c r="R392" s="2" t="inlineStr"/>
    </row>
    <row r="393" ht="15" customHeight="1">
      <c r="A393" t="inlineStr">
        <is>
          <t>A 57089-2020</t>
        </is>
      </c>
      <c r="B393" s="1" t="n">
        <v>44138</v>
      </c>
      <c r="C393" s="1" t="n">
        <v>45832</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57988-2020</t>
        </is>
      </c>
      <c r="B394" s="1" t="n">
        <v>44143</v>
      </c>
      <c r="C394" s="1" t="n">
        <v>45832</v>
      </c>
      <c r="D394" t="inlineStr">
        <is>
          <t>NORRBOTTENS LÄN</t>
        </is>
      </c>
      <c r="E394" t="inlineStr">
        <is>
          <t>BODEN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59775-2020</t>
        </is>
      </c>
      <c r="B395" s="1" t="n">
        <v>44151</v>
      </c>
      <c r="C395" s="1" t="n">
        <v>45832</v>
      </c>
      <c r="D395" t="inlineStr">
        <is>
          <t>NORRBOTTENS LÄN</t>
        </is>
      </c>
      <c r="E395" t="inlineStr">
        <is>
          <t>BODEN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60047-2020</t>
        </is>
      </c>
      <c r="B396" s="1" t="n">
        <v>44151</v>
      </c>
      <c r="C396" s="1" t="n">
        <v>45832</v>
      </c>
      <c r="D396" t="inlineStr">
        <is>
          <t>NORRBOTTENS LÄN</t>
        </is>
      </c>
      <c r="E396" t="inlineStr">
        <is>
          <t>BODEN</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60984-2020</t>
        </is>
      </c>
      <c r="B397" s="1" t="n">
        <v>44153</v>
      </c>
      <c r="C397" s="1" t="n">
        <v>45832</v>
      </c>
      <c r="D397" t="inlineStr">
        <is>
          <t>NORRBOTTENS LÄN</t>
        </is>
      </c>
      <c r="E397" t="inlineStr">
        <is>
          <t>BODEN</t>
        </is>
      </c>
      <c r="F397" t="inlineStr">
        <is>
          <t>Kyrkan</t>
        </is>
      </c>
      <c r="G397" t="n">
        <v>3.6</v>
      </c>
      <c r="H397" t="n">
        <v>0</v>
      </c>
      <c r="I397" t="n">
        <v>0</v>
      </c>
      <c r="J397" t="n">
        <v>0</v>
      </c>
      <c r="K397" t="n">
        <v>0</v>
      </c>
      <c r="L397" t="n">
        <v>0</v>
      </c>
      <c r="M397" t="n">
        <v>0</v>
      </c>
      <c r="N397" t="n">
        <v>0</v>
      </c>
      <c r="O397" t="n">
        <v>0</v>
      </c>
      <c r="P397" t="n">
        <v>0</v>
      </c>
      <c r="Q397" t="n">
        <v>0</v>
      </c>
      <c r="R397" s="2" t="inlineStr"/>
    </row>
    <row r="398" ht="15" customHeight="1">
      <c r="A398" t="inlineStr">
        <is>
          <t>A 61328-2020</t>
        </is>
      </c>
      <c r="B398" s="1" t="n">
        <v>44154</v>
      </c>
      <c r="C398" s="1" t="n">
        <v>45832</v>
      </c>
      <c r="D398" t="inlineStr">
        <is>
          <t>NORRBOTTENS LÄN</t>
        </is>
      </c>
      <c r="E398" t="inlineStr">
        <is>
          <t>BODEN</t>
        </is>
      </c>
      <c r="G398" t="n">
        <v>4.7</v>
      </c>
      <c r="H398" t="n">
        <v>0</v>
      </c>
      <c r="I398" t="n">
        <v>0</v>
      </c>
      <c r="J398" t="n">
        <v>0</v>
      </c>
      <c r="K398" t="n">
        <v>0</v>
      </c>
      <c r="L398" t="n">
        <v>0</v>
      </c>
      <c r="M398" t="n">
        <v>0</v>
      </c>
      <c r="N398" t="n">
        <v>0</v>
      </c>
      <c r="O398" t="n">
        <v>0</v>
      </c>
      <c r="P398" t="n">
        <v>0</v>
      </c>
      <c r="Q398" t="n">
        <v>0</v>
      </c>
      <c r="R398" s="2" t="inlineStr"/>
    </row>
    <row r="399" ht="15" customHeight="1">
      <c r="A399" t="inlineStr">
        <is>
          <t>A 62066-2020</t>
        </is>
      </c>
      <c r="B399" s="1" t="n">
        <v>44158</v>
      </c>
      <c r="C399" s="1" t="n">
        <v>45832</v>
      </c>
      <c r="D399" t="inlineStr">
        <is>
          <t>NORRBOTTENS LÄN</t>
        </is>
      </c>
      <c r="E399" t="inlineStr">
        <is>
          <t>BODEN</t>
        </is>
      </c>
      <c r="G399" t="n">
        <v>2.5</v>
      </c>
      <c r="H399" t="n">
        <v>0</v>
      </c>
      <c r="I399" t="n">
        <v>0</v>
      </c>
      <c r="J399" t="n">
        <v>0</v>
      </c>
      <c r="K399" t="n">
        <v>0</v>
      </c>
      <c r="L399" t="n">
        <v>0</v>
      </c>
      <c r="M399" t="n">
        <v>0</v>
      </c>
      <c r="N399" t="n">
        <v>0</v>
      </c>
      <c r="O399" t="n">
        <v>0</v>
      </c>
      <c r="P399" t="n">
        <v>0</v>
      </c>
      <c r="Q399" t="n">
        <v>0</v>
      </c>
      <c r="R399" s="2" t="inlineStr"/>
    </row>
    <row r="400" ht="15" customHeight="1">
      <c r="A400" t="inlineStr">
        <is>
          <t>A 62079-2020</t>
        </is>
      </c>
      <c r="B400" s="1" t="n">
        <v>44158</v>
      </c>
      <c r="C400" s="1" t="n">
        <v>45832</v>
      </c>
      <c r="D400" t="inlineStr">
        <is>
          <t>NORRBOTTENS LÄN</t>
        </is>
      </c>
      <c r="E400" t="inlineStr">
        <is>
          <t>BODEN</t>
        </is>
      </c>
      <c r="G400" t="n">
        <v>5.5</v>
      </c>
      <c r="H400" t="n">
        <v>0</v>
      </c>
      <c r="I400" t="n">
        <v>0</v>
      </c>
      <c r="J400" t="n">
        <v>0</v>
      </c>
      <c r="K400" t="n">
        <v>0</v>
      </c>
      <c r="L400" t="n">
        <v>0</v>
      </c>
      <c r="M400" t="n">
        <v>0</v>
      </c>
      <c r="N400" t="n">
        <v>0</v>
      </c>
      <c r="O400" t="n">
        <v>0</v>
      </c>
      <c r="P400" t="n">
        <v>0</v>
      </c>
      <c r="Q400" t="n">
        <v>0</v>
      </c>
      <c r="R400" s="2" t="inlineStr"/>
    </row>
    <row r="401" ht="15" customHeight="1">
      <c r="A401" t="inlineStr">
        <is>
          <t>A 62321-2020</t>
        </is>
      </c>
      <c r="B401" s="1" t="n">
        <v>44158</v>
      </c>
      <c r="C401" s="1" t="n">
        <v>45832</v>
      </c>
      <c r="D401" t="inlineStr">
        <is>
          <t>NORRBOTTENS LÄN</t>
        </is>
      </c>
      <c r="E401" t="inlineStr">
        <is>
          <t>BODEN</t>
        </is>
      </c>
      <c r="G401" t="n">
        <v>3.2</v>
      </c>
      <c r="H401" t="n">
        <v>0</v>
      </c>
      <c r="I401" t="n">
        <v>0</v>
      </c>
      <c r="J401" t="n">
        <v>0</v>
      </c>
      <c r="K401" t="n">
        <v>0</v>
      </c>
      <c r="L401" t="n">
        <v>0</v>
      </c>
      <c r="M401" t="n">
        <v>0</v>
      </c>
      <c r="N401" t="n">
        <v>0</v>
      </c>
      <c r="O401" t="n">
        <v>0</v>
      </c>
      <c r="P401" t="n">
        <v>0</v>
      </c>
      <c r="Q401" t="n">
        <v>0</v>
      </c>
      <c r="R401" s="2" t="inlineStr"/>
    </row>
    <row r="402" ht="15" customHeight="1">
      <c r="A402" t="inlineStr">
        <is>
          <t>A 62068-2020</t>
        </is>
      </c>
      <c r="B402" s="1" t="n">
        <v>44158</v>
      </c>
      <c r="C402" s="1" t="n">
        <v>45832</v>
      </c>
      <c r="D402" t="inlineStr">
        <is>
          <t>NORRBOTTENS LÄN</t>
        </is>
      </c>
      <c r="E402" t="inlineStr">
        <is>
          <t>BODEN</t>
        </is>
      </c>
      <c r="G402" t="n">
        <v>7.5</v>
      </c>
      <c r="H402" t="n">
        <v>0</v>
      </c>
      <c r="I402" t="n">
        <v>0</v>
      </c>
      <c r="J402" t="n">
        <v>0</v>
      </c>
      <c r="K402" t="n">
        <v>0</v>
      </c>
      <c r="L402" t="n">
        <v>0</v>
      </c>
      <c r="M402" t="n">
        <v>0</v>
      </c>
      <c r="N402" t="n">
        <v>0</v>
      </c>
      <c r="O402" t="n">
        <v>0</v>
      </c>
      <c r="P402" t="n">
        <v>0</v>
      </c>
      <c r="Q402" t="n">
        <v>0</v>
      </c>
      <c r="R402" s="2" t="inlineStr"/>
    </row>
    <row r="403" ht="15" customHeight="1">
      <c r="A403" t="inlineStr">
        <is>
          <t>A 63264-2020</t>
        </is>
      </c>
      <c r="B403" s="1" t="n">
        <v>44164</v>
      </c>
      <c r="C403" s="1" t="n">
        <v>45832</v>
      </c>
      <c r="D403" t="inlineStr">
        <is>
          <t>NORRBOTTENS LÄN</t>
        </is>
      </c>
      <c r="E403" t="inlineStr">
        <is>
          <t>BODEN</t>
        </is>
      </c>
      <c r="F403" t="inlineStr">
        <is>
          <t>Kommuner</t>
        </is>
      </c>
      <c r="G403" t="n">
        <v>6.8</v>
      </c>
      <c r="H403" t="n">
        <v>0</v>
      </c>
      <c r="I403" t="n">
        <v>0</v>
      </c>
      <c r="J403" t="n">
        <v>0</v>
      </c>
      <c r="K403" t="n">
        <v>0</v>
      </c>
      <c r="L403" t="n">
        <v>0</v>
      </c>
      <c r="M403" t="n">
        <v>0</v>
      </c>
      <c r="N403" t="n">
        <v>0</v>
      </c>
      <c r="O403" t="n">
        <v>0</v>
      </c>
      <c r="P403" t="n">
        <v>0</v>
      </c>
      <c r="Q403" t="n">
        <v>0</v>
      </c>
      <c r="R403" s="2" t="inlineStr"/>
    </row>
    <row r="404" ht="15" customHeight="1">
      <c r="A404" t="inlineStr">
        <is>
          <t>A 63286-2020</t>
        </is>
      </c>
      <c r="B404" s="1" t="n">
        <v>44165</v>
      </c>
      <c r="C404" s="1" t="n">
        <v>45832</v>
      </c>
      <c r="D404" t="inlineStr">
        <is>
          <t>NORRBOTTENS LÄN</t>
        </is>
      </c>
      <c r="E404" t="inlineStr">
        <is>
          <t>BODEN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63772-2020</t>
        </is>
      </c>
      <c r="B405" s="1" t="n">
        <v>44165</v>
      </c>
      <c r="C405" s="1" t="n">
        <v>45832</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64354-2020</t>
        </is>
      </c>
      <c r="B406" s="1" t="n">
        <v>44168</v>
      </c>
      <c r="C406" s="1" t="n">
        <v>45832</v>
      </c>
      <c r="D406" t="inlineStr">
        <is>
          <t>NORRBOTTENS LÄN</t>
        </is>
      </c>
      <c r="E406" t="inlineStr">
        <is>
          <t>BODEN</t>
        </is>
      </c>
      <c r="F406" t="inlineStr">
        <is>
          <t>Sveaskog</t>
        </is>
      </c>
      <c r="G406" t="n">
        <v>58.6</v>
      </c>
      <c r="H406" t="n">
        <v>0</v>
      </c>
      <c r="I406" t="n">
        <v>0</v>
      </c>
      <c r="J406" t="n">
        <v>0</v>
      </c>
      <c r="K406" t="n">
        <v>0</v>
      </c>
      <c r="L406" t="n">
        <v>0</v>
      </c>
      <c r="M406" t="n">
        <v>0</v>
      </c>
      <c r="N406" t="n">
        <v>0</v>
      </c>
      <c r="O406" t="n">
        <v>0</v>
      </c>
      <c r="P406" t="n">
        <v>0</v>
      </c>
      <c r="Q406" t="n">
        <v>0</v>
      </c>
      <c r="R406" s="2" t="inlineStr"/>
    </row>
    <row r="407" ht="15" customHeight="1">
      <c r="A407" t="inlineStr">
        <is>
          <t>A 65378-2020</t>
        </is>
      </c>
      <c r="B407" s="1" t="n">
        <v>44168</v>
      </c>
      <c r="C407" s="1" t="n">
        <v>45832</v>
      </c>
      <c r="D407" t="inlineStr">
        <is>
          <t>NORRBOTTENS LÄN</t>
        </is>
      </c>
      <c r="E407" t="inlineStr">
        <is>
          <t>BODEN</t>
        </is>
      </c>
      <c r="G407" t="n">
        <v>10.8</v>
      </c>
      <c r="H407" t="n">
        <v>0</v>
      </c>
      <c r="I407" t="n">
        <v>0</v>
      </c>
      <c r="J407" t="n">
        <v>0</v>
      </c>
      <c r="K407" t="n">
        <v>0</v>
      </c>
      <c r="L407" t="n">
        <v>0</v>
      </c>
      <c r="M407" t="n">
        <v>0</v>
      </c>
      <c r="N407" t="n">
        <v>0</v>
      </c>
      <c r="O407" t="n">
        <v>0</v>
      </c>
      <c r="P407" t="n">
        <v>0</v>
      </c>
      <c r="Q407" t="n">
        <v>0</v>
      </c>
      <c r="R407" s="2" t="inlineStr"/>
    </row>
    <row r="408" ht="15" customHeight="1">
      <c r="A408" t="inlineStr">
        <is>
          <t>A 65634-2020</t>
        </is>
      </c>
      <c r="B408" s="1" t="n">
        <v>44173</v>
      </c>
      <c r="C408" s="1" t="n">
        <v>45832</v>
      </c>
      <c r="D408" t="inlineStr">
        <is>
          <t>NORRBOTTENS LÄN</t>
        </is>
      </c>
      <c r="E408" t="inlineStr">
        <is>
          <t>BODEN</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65635-2020</t>
        </is>
      </c>
      <c r="B409" s="1" t="n">
        <v>44173</v>
      </c>
      <c r="C409" s="1" t="n">
        <v>45832</v>
      </c>
      <c r="D409" t="inlineStr">
        <is>
          <t>NORRBOTTENS LÄN</t>
        </is>
      </c>
      <c r="E409" t="inlineStr">
        <is>
          <t>BODEN</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65717-2020</t>
        </is>
      </c>
      <c r="B410" s="1" t="n">
        <v>44174</v>
      </c>
      <c r="C410" s="1" t="n">
        <v>45832</v>
      </c>
      <c r="D410" t="inlineStr">
        <is>
          <t>NORRBOTTENS LÄN</t>
        </is>
      </c>
      <c r="E410" t="inlineStr">
        <is>
          <t>BODEN</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66696-2020</t>
        </is>
      </c>
      <c r="B411" s="1" t="n">
        <v>44174</v>
      </c>
      <c r="C411" s="1" t="n">
        <v>45832</v>
      </c>
      <c r="D411" t="inlineStr">
        <is>
          <t>NORRBOTTENS LÄN</t>
        </is>
      </c>
      <c r="E411" t="inlineStr">
        <is>
          <t>BODEN</t>
        </is>
      </c>
      <c r="G411" t="n">
        <v>1.6</v>
      </c>
      <c r="H411" t="n">
        <v>0</v>
      </c>
      <c r="I411" t="n">
        <v>0</v>
      </c>
      <c r="J411" t="n">
        <v>0</v>
      </c>
      <c r="K411" t="n">
        <v>0</v>
      </c>
      <c r="L411" t="n">
        <v>0</v>
      </c>
      <c r="M411" t="n">
        <v>0</v>
      </c>
      <c r="N411" t="n">
        <v>0</v>
      </c>
      <c r="O411" t="n">
        <v>0</v>
      </c>
      <c r="P411" t="n">
        <v>0</v>
      </c>
      <c r="Q411" t="n">
        <v>0</v>
      </c>
      <c r="R411" s="2" t="inlineStr"/>
      <c r="U411">
        <f>HYPERLINK("https://klasma.github.io/Logging_2582/knärot/A 66696-2020 karta knärot.png", "A 66696-2020")</f>
        <v/>
      </c>
      <c r="V411">
        <f>HYPERLINK("https://klasma.github.io/Logging_2582/klagomål/A 66696-2020 FSC-klagomål.docx", "A 66696-2020")</f>
        <v/>
      </c>
      <c r="W411">
        <f>HYPERLINK("https://klasma.github.io/Logging_2582/klagomålsmail/A 66696-2020 FSC-klagomål mail.docx", "A 66696-2020")</f>
        <v/>
      </c>
      <c r="X411">
        <f>HYPERLINK("https://klasma.github.io/Logging_2582/tillsyn/A 66696-2020 tillsynsbegäran.docx", "A 66696-2020")</f>
        <v/>
      </c>
      <c r="Y411">
        <f>HYPERLINK("https://klasma.github.io/Logging_2582/tillsynsmail/A 66696-2020 tillsynsbegäran mail.docx", "A 66696-2020")</f>
        <v/>
      </c>
    </row>
    <row r="412" ht="15" customHeight="1">
      <c r="A412" t="inlineStr">
        <is>
          <t>A 68205-2020</t>
        </is>
      </c>
      <c r="B412" s="1" t="n">
        <v>44182</v>
      </c>
      <c r="C412" s="1" t="n">
        <v>45832</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68210-2020</t>
        </is>
      </c>
      <c r="B413" s="1" t="n">
        <v>44182</v>
      </c>
      <c r="C413" s="1" t="n">
        <v>45832</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68098-2020</t>
        </is>
      </c>
      <c r="B414" s="1" t="n">
        <v>44182</v>
      </c>
      <c r="C414" s="1" t="n">
        <v>45832</v>
      </c>
      <c r="D414" t="inlineStr">
        <is>
          <t>NORRBOTTENS LÄN</t>
        </is>
      </c>
      <c r="E414" t="inlineStr">
        <is>
          <t>BODEN</t>
        </is>
      </c>
      <c r="G414" t="n">
        <v>8.4</v>
      </c>
      <c r="H414" t="n">
        <v>0</v>
      </c>
      <c r="I414" t="n">
        <v>0</v>
      </c>
      <c r="J414" t="n">
        <v>0</v>
      </c>
      <c r="K414" t="n">
        <v>0</v>
      </c>
      <c r="L414" t="n">
        <v>0</v>
      </c>
      <c r="M414" t="n">
        <v>0</v>
      </c>
      <c r="N414" t="n">
        <v>0</v>
      </c>
      <c r="O414" t="n">
        <v>0</v>
      </c>
      <c r="P414" t="n">
        <v>0</v>
      </c>
      <c r="Q414" t="n">
        <v>0</v>
      </c>
      <c r="R414" s="2" t="inlineStr"/>
    </row>
    <row r="415" ht="15" customHeight="1">
      <c r="A415" t="inlineStr">
        <is>
          <t>A 68267-2020</t>
        </is>
      </c>
      <c r="B415" s="1" t="n">
        <v>44182</v>
      </c>
      <c r="C415" s="1" t="n">
        <v>45832</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68109-2020</t>
        </is>
      </c>
      <c r="B416" s="1" t="n">
        <v>44182</v>
      </c>
      <c r="C416" s="1" t="n">
        <v>45832</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69039-2020</t>
        </is>
      </c>
      <c r="B417" s="1" t="n">
        <v>44187</v>
      </c>
      <c r="C417" s="1" t="n">
        <v>45832</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920-2021</t>
        </is>
      </c>
      <c r="B418" s="1" t="n">
        <v>44204</v>
      </c>
      <c r="C418" s="1" t="n">
        <v>45832</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1087-2021</t>
        </is>
      </c>
      <c r="B419" s="1" t="n">
        <v>44207</v>
      </c>
      <c r="C419" s="1" t="n">
        <v>45832</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2444-2021</t>
        </is>
      </c>
      <c r="B420" s="1" t="n">
        <v>44211</v>
      </c>
      <c r="C420" s="1" t="n">
        <v>45832</v>
      </c>
      <c r="D420" t="inlineStr">
        <is>
          <t>NORRBOTTENS LÄN</t>
        </is>
      </c>
      <c r="E420" t="inlineStr">
        <is>
          <t>BODEN</t>
        </is>
      </c>
      <c r="G420" t="n">
        <v>16.4</v>
      </c>
      <c r="H420" t="n">
        <v>0</v>
      </c>
      <c r="I420" t="n">
        <v>0</v>
      </c>
      <c r="J420" t="n">
        <v>0</v>
      </c>
      <c r="K420" t="n">
        <v>0</v>
      </c>
      <c r="L420" t="n">
        <v>0</v>
      </c>
      <c r="M420" t="n">
        <v>0</v>
      </c>
      <c r="N420" t="n">
        <v>0</v>
      </c>
      <c r="O420" t="n">
        <v>0</v>
      </c>
      <c r="P420" t="n">
        <v>0</v>
      </c>
      <c r="Q420" t="n">
        <v>0</v>
      </c>
      <c r="R420" s="2" t="inlineStr"/>
    </row>
    <row r="421" ht="15" customHeight="1">
      <c r="A421" t="inlineStr">
        <is>
          <t>A 3248-2021</t>
        </is>
      </c>
      <c r="B421" s="1" t="n">
        <v>44215</v>
      </c>
      <c r="C421" s="1" t="n">
        <v>45832</v>
      </c>
      <c r="D421" t="inlineStr">
        <is>
          <t>NORRBOTTENS LÄN</t>
        </is>
      </c>
      <c r="E421" t="inlineStr">
        <is>
          <t>BODEN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3535-2021</t>
        </is>
      </c>
      <c r="B422" s="1" t="n">
        <v>44216</v>
      </c>
      <c r="C422" s="1" t="n">
        <v>45832</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3537-2021</t>
        </is>
      </c>
      <c r="B423" s="1" t="n">
        <v>44216</v>
      </c>
      <c r="C423" s="1" t="n">
        <v>45832</v>
      </c>
      <c r="D423" t="inlineStr">
        <is>
          <t>NORRBOTTENS LÄN</t>
        </is>
      </c>
      <c r="E423" t="inlineStr">
        <is>
          <t>BODEN</t>
        </is>
      </c>
      <c r="G423" t="n">
        <v>8.6</v>
      </c>
      <c r="H423" t="n">
        <v>0</v>
      </c>
      <c r="I423" t="n">
        <v>0</v>
      </c>
      <c r="J423" t="n">
        <v>0</v>
      </c>
      <c r="K423" t="n">
        <v>0</v>
      </c>
      <c r="L423" t="n">
        <v>0</v>
      </c>
      <c r="M423" t="n">
        <v>0</v>
      </c>
      <c r="N423" t="n">
        <v>0</v>
      </c>
      <c r="O423" t="n">
        <v>0</v>
      </c>
      <c r="P423" t="n">
        <v>0</v>
      </c>
      <c r="Q423" t="n">
        <v>0</v>
      </c>
      <c r="R423" s="2" t="inlineStr"/>
    </row>
    <row r="424" ht="15" customHeight="1">
      <c r="A424" t="inlineStr">
        <is>
          <t>A 3777-2021</t>
        </is>
      </c>
      <c r="B424" s="1" t="n">
        <v>44217</v>
      </c>
      <c r="C424" s="1" t="n">
        <v>45832</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3779-2021</t>
        </is>
      </c>
      <c r="B425" s="1" t="n">
        <v>44217</v>
      </c>
      <c r="C425" s="1" t="n">
        <v>45832</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3778-2021</t>
        </is>
      </c>
      <c r="B426" s="1" t="n">
        <v>44217</v>
      </c>
      <c r="C426" s="1" t="n">
        <v>45832</v>
      </c>
      <c r="D426" t="inlineStr">
        <is>
          <t>NORRBOTTENS LÄN</t>
        </is>
      </c>
      <c r="E426" t="inlineStr">
        <is>
          <t>BODEN</t>
        </is>
      </c>
      <c r="G426" t="n">
        <v>4.4</v>
      </c>
      <c r="H426" t="n">
        <v>0</v>
      </c>
      <c r="I426" t="n">
        <v>0</v>
      </c>
      <c r="J426" t="n">
        <v>0</v>
      </c>
      <c r="K426" t="n">
        <v>0</v>
      </c>
      <c r="L426" t="n">
        <v>0</v>
      </c>
      <c r="M426" t="n">
        <v>0</v>
      </c>
      <c r="N426" t="n">
        <v>0</v>
      </c>
      <c r="O426" t="n">
        <v>0</v>
      </c>
      <c r="P426" t="n">
        <v>0</v>
      </c>
      <c r="Q426" t="n">
        <v>0</v>
      </c>
      <c r="R426" s="2" t="inlineStr"/>
    </row>
    <row r="427" ht="15" customHeight="1">
      <c r="A427" t="inlineStr">
        <is>
          <t>A 4274-2021</t>
        </is>
      </c>
      <c r="B427" s="1" t="n">
        <v>44223</v>
      </c>
      <c r="C427" s="1" t="n">
        <v>45832</v>
      </c>
      <c r="D427" t="inlineStr">
        <is>
          <t>NORRBOTTENS LÄN</t>
        </is>
      </c>
      <c r="E427" t="inlineStr">
        <is>
          <t>BODEN</t>
        </is>
      </c>
      <c r="G427" t="n">
        <v>2.7</v>
      </c>
      <c r="H427" t="n">
        <v>0</v>
      </c>
      <c r="I427" t="n">
        <v>0</v>
      </c>
      <c r="J427" t="n">
        <v>0</v>
      </c>
      <c r="K427" t="n">
        <v>0</v>
      </c>
      <c r="L427" t="n">
        <v>0</v>
      </c>
      <c r="M427" t="n">
        <v>0</v>
      </c>
      <c r="N427" t="n">
        <v>0</v>
      </c>
      <c r="O427" t="n">
        <v>0</v>
      </c>
      <c r="P427" t="n">
        <v>0</v>
      </c>
      <c r="Q427" t="n">
        <v>0</v>
      </c>
      <c r="R427" s="2" t="inlineStr"/>
    </row>
    <row r="428" ht="15" customHeight="1">
      <c r="A428" t="inlineStr">
        <is>
          <t>A 4247-2021</t>
        </is>
      </c>
      <c r="B428" s="1" t="n">
        <v>44223</v>
      </c>
      <c r="C428" s="1" t="n">
        <v>45832</v>
      </c>
      <c r="D428" t="inlineStr">
        <is>
          <t>NORRBOTTENS LÄN</t>
        </is>
      </c>
      <c r="E428" t="inlineStr">
        <is>
          <t>BODEN</t>
        </is>
      </c>
      <c r="G428" t="n">
        <v>12.4</v>
      </c>
      <c r="H428" t="n">
        <v>0</v>
      </c>
      <c r="I428" t="n">
        <v>0</v>
      </c>
      <c r="J428" t="n">
        <v>0</v>
      </c>
      <c r="K428" t="n">
        <v>0</v>
      </c>
      <c r="L428" t="n">
        <v>0</v>
      </c>
      <c r="M428" t="n">
        <v>0</v>
      </c>
      <c r="N428" t="n">
        <v>0</v>
      </c>
      <c r="O428" t="n">
        <v>0</v>
      </c>
      <c r="P428" t="n">
        <v>0</v>
      </c>
      <c r="Q428" t="n">
        <v>0</v>
      </c>
      <c r="R428" s="2" t="inlineStr"/>
    </row>
    <row r="429" ht="15" customHeight="1">
      <c r="A429" t="inlineStr">
        <is>
          <t>A 7108-2021</t>
        </is>
      </c>
      <c r="B429" s="1" t="n">
        <v>44238</v>
      </c>
      <c r="C429" s="1" t="n">
        <v>45832</v>
      </c>
      <c r="D429" t="inlineStr">
        <is>
          <t>NORRBOTTENS LÄN</t>
        </is>
      </c>
      <c r="E429" t="inlineStr">
        <is>
          <t>BODEN</t>
        </is>
      </c>
      <c r="G429" t="n">
        <v>18.1</v>
      </c>
      <c r="H429" t="n">
        <v>0</v>
      </c>
      <c r="I429" t="n">
        <v>0</v>
      </c>
      <c r="J429" t="n">
        <v>0</v>
      </c>
      <c r="K429" t="n">
        <v>0</v>
      </c>
      <c r="L429" t="n">
        <v>0</v>
      </c>
      <c r="M429" t="n">
        <v>0</v>
      </c>
      <c r="N429" t="n">
        <v>0</v>
      </c>
      <c r="O429" t="n">
        <v>0</v>
      </c>
      <c r="P429" t="n">
        <v>0</v>
      </c>
      <c r="Q429" t="n">
        <v>0</v>
      </c>
      <c r="R429" s="2" t="inlineStr"/>
    </row>
    <row r="430" ht="15" customHeight="1">
      <c r="A430" t="inlineStr">
        <is>
          <t>A 8891-2021</t>
        </is>
      </c>
      <c r="B430" s="1" t="n">
        <v>44248</v>
      </c>
      <c r="C430" s="1" t="n">
        <v>45832</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8889-2021</t>
        </is>
      </c>
      <c r="B431" s="1" t="n">
        <v>44248</v>
      </c>
      <c r="C431" s="1" t="n">
        <v>45832</v>
      </c>
      <c r="D431" t="inlineStr">
        <is>
          <t>NORRBOTTENS LÄN</t>
        </is>
      </c>
      <c r="E431" t="inlineStr">
        <is>
          <t>BODEN</t>
        </is>
      </c>
      <c r="G431" t="n">
        <v>3.5</v>
      </c>
      <c r="H431" t="n">
        <v>0</v>
      </c>
      <c r="I431" t="n">
        <v>0</v>
      </c>
      <c r="J431" t="n">
        <v>0</v>
      </c>
      <c r="K431" t="n">
        <v>0</v>
      </c>
      <c r="L431" t="n">
        <v>0</v>
      </c>
      <c r="M431" t="n">
        <v>0</v>
      </c>
      <c r="N431" t="n">
        <v>0</v>
      </c>
      <c r="O431" t="n">
        <v>0</v>
      </c>
      <c r="P431" t="n">
        <v>0</v>
      </c>
      <c r="Q431" t="n">
        <v>0</v>
      </c>
      <c r="R431" s="2" t="inlineStr"/>
    </row>
    <row r="432" ht="15" customHeight="1">
      <c r="A432" t="inlineStr">
        <is>
          <t>A 8886-2021</t>
        </is>
      </c>
      <c r="B432" s="1" t="n">
        <v>44248</v>
      </c>
      <c r="C432" s="1" t="n">
        <v>45832</v>
      </c>
      <c r="D432" t="inlineStr">
        <is>
          <t>NORRBOTTENS LÄN</t>
        </is>
      </c>
      <c r="E432" t="inlineStr">
        <is>
          <t>BODEN</t>
        </is>
      </c>
      <c r="G432" t="n">
        <v>2.2</v>
      </c>
      <c r="H432" t="n">
        <v>0</v>
      </c>
      <c r="I432" t="n">
        <v>0</v>
      </c>
      <c r="J432" t="n">
        <v>0</v>
      </c>
      <c r="K432" t="n">
        <v>0</v>
      </c>
      <c r="L432" t="n">
        <v>0</v>
      </c>
      <c r="M432" t="n">
        <v>0</v>
      </c>
      <c r="N432" t="n">
        <v>0</v>
      </c>
      <c r="O432" t="n">
        <v>0</v>
      </c>
      <c r="P432" t="n">
        <v>0</v>
      </c>
      <c r="Q432" t="n">
        <v>0</v>
      </c>
      <c r="R432" s="2" t="inlineStr"/>
    </row>
    <row r="433" ht="15" customHeight="1">
      <c r="A433" t="inlineStr">
        <is>
          <t>A 13728-2021</t>
        </is>
      </c>
      <c r="B433" s="1" t="n">
        <v>44274</v>
      </c>
      <c r="C433" s="1" t="n">
        <v>45832</v>
      </c>
      <c r="D433" t="inlineStr">
        <is>
          <t>NORRBOTTENS LÄN</t>
        </is>
      </c>
      <c r="E433" t="inlineStr">
        <is>
          <t>BODEN</t>
        </is>
      </c>
      <c r="G433" t="n">
        <v>10</v>
      </c>
      <c r="H433" t="n">
        <v>0</v>
      </c>
      <c r="I433" t="n">
        <v>0</v>
      </c>
      <c r="J433" t="n">
        <v>0</v>
      </c>
      <c r="K433" t="n">
        <v>0</v>
      </c>
      <c r="L433" t="n">
        <v>0</v>
      </c>
      <c r="M433" t="n">
        <v>0</v>
      </c>
      <c r="N433" t="n">
        <v>0</v>
      </c>
      <c r="O433" t="n">
        <v>0</v>
      </c>
      <c r="P433" t="n">
        <v>0</v>
      </c>
      <c r="Q433" t="n">
        <v>0</v>
      </c>
      <c r="R433" s="2" t="inlineStr"/>
    </row>
    <row r="434" ht="15" customHeight="1">
      <c r="A434" t="inlineStr">
        <is>
          <t>A 13734-2021</t>
        </is>
      </c>
      <c r="B434" s="1" t="n">
        <v>44274</v>
      </c>
      <c r="C434" s="1" t="n">
        <v>45832</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13744-2021</t>
        </is>
      </c>
      <c r="B435" s="1" t="n">
        <v>44274</v>
      </c>
      <c r="C435" s="1" t="n">
        <v>45832</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15491-2021</t>
        </is>
      </c>
      <c r="B436" s="1" t="n">
        <v>44274</v>
      </c>
      <c r="C436" s="1" t="n">
        <v>45832</v>
      </c>
      <c r="D436" t="inlineStr">
        <is>
          <t>NORRBOTTENS LÄN</t>
        </is>
      </c>
      <c r="E436" t="inlineStr">
        <is>
          <t>BODEN</t>
        </is>
      </c>
      <c r="G436" t="n">
        <v>1</v>
      </c>
      <c r="H436" t="n">
        <v>0</v>
      </c>
      <c r="I436" t="n">
        <v>0</v>
      </c>
      <c r="J436" t="n">
        <v>0</v>
      </c>
      <c r="K436" t="n">
        <v>0</v>
      </c>
      <c r="L436" t="n">
        <v>0</v>
      </c>
      <c r="M436" t="n">
        <v>0</v>
      </c>
      <c r="N436" t="n">
        <v>0</v>
      </c>
      <c r="O436" t="n">
        <v>0</v>
      </c>
      <c r="P436" t="n">
        <v>0</v>
      </c>
      <c r="Q436" t="n">
        <v>0</v>
      </c>
      <c r="R436" s="2" t="inlineStr"/>
    </row>
    <row r="437" ht="15" customHeight="1">
      <c r="A437" t="inlineStr">
        <is>
          <t>A 13657-2021</t>
        </is>
      </c>
      <c r="B437" s="1" t="n">
        <v>44274</v>
      </c>
      <c r="C437" s="1" t="n">
        <v>45832</v>
      </c>
      <c r="D437" t="inlineStr">
        <is>
          <t>NORRBOTTENS LÄN</t>
        </is>
      </c>
      <c r="E437" t="inlineStr">
        <is>
          <t>BODEN</t>
        </is>
      </c>
      <c r="G437" t="n">
        <v>17.7</v>
      </c>
      <c r="H437" t="n">
        <v>0</v>
      </c>
      <c r="I437" t="n">
        <v>0</v>
      </c>
      <c r="J437" t="n">
        <v>0</v>
      </c>
      <c r="K437" t="n">
        <v>0</v>
      </c>
      <c r="L437" t="n">
        <v>0</v>
      </c>
      <c r="M437" t="n">
        <v>0</v>
      </c>
      <c r="N437" t="n">
        <v>0</v>
      </c>
      <c r="O437" t="n">
        <v>0</v>
      </c>
      <c r="P437" t="n">
        <v>0</v>
      </c>
      <c r="Q437" t="n">
        <v>0</v>
      </c>
      <c r="R437" s="2" t="inlineStr"/>
    </row>
    <row r="438" ht="15" customHeight="1">
      <c r="A438" t="inlineStr">
        <is>
          <t>A 13740-2021</t>
        </is>
      </c>
      <c r="B438" s="1" t="n">
        <v>44274</v>
      </c>
      <c r="C438" s="1" t="n">
        <v>45832</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14340-2021</t>
        </is>
      </c>
      <c r="B439" s="1" t="n">
        <v>44279</v>
      </c>
      <c r="C439" s="1" t="n">
        <v>45832</v>
      </c>
      <c r="D439" t="inlineStr">
        <is>
          <t>NORRBOTTENS LÄN</t>
        </is>
      </c>
      <c r="E439" t="inlineStr">
        <is>
          <t>BODEN</t>
        </is>
      </c>
      <c r="G439" t="n">
        <v>3.2</v>
      </c>
      <c r="H439" t="n">
        <v>0</v>
      </c>
      <c r="I439" t="n">
        <v>0</v>
      </c>
      <c r="J439" t="n">
        <v>0</v>
      </c>
      <c r="K439" t="n">
        <v>0</v>
      </c>
      <c r="L439" t="n">
        <v>0</v>
      </c>
      <c r="M439" t="n">
        <v>0</v>
      </c>
      <c r="N439" t="n">
        <v>0</v>
      </c>
      <c r="O439" t="n">
        <v>0</v>
      </c>
      <c r="P439" t="n">
        <v>0</v>
      </c>
      <c r="Q439" t="n">
        <v>0</v>
      </c>
      <c r="R439" s="2" t="inlineStr"/>
    </row>
    <row r="440" ht="15" customHeight="1">
      <c r="A440" t="inlineStr">
        <is>
          <t>A 14380-2021</t>
        </is>
      </c>
      <c r="B440" s="1" t="n">
        <v>44279</v>
      </c>
      <c r="C440" s="1" t="n">
        <v>45832</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15159-2021</t>
        </is>
      </c>
      <c r="B441" s="1" t="n">
        <v>44284</v>
      </c>
      <c r="C441" s="1" t="n">
        <v>45832</v>
      </c>
      <c r="D441" t="inlineStr">
        <is>
          <t>NORRBOTTENS LÄN</t>
        </is>
      </c>
      <c r="E441" t="inlineStr">
        <is>
          <t>BODEN</t>
        </is>
      </c>
      <c r="F441" t="inlineStr">
        <is>
          <t>Övriga statliga verk och myndigheter</t>
        </is>
      </c>
      <c r="G441" t="n">
        <v>12.5</v>
      </c>
      <c r="H441" t="n">
        <v>0</v>
      </c>
      <c r="I441" t="n">
        <v>0</v>
      </c>
      <c r="J441" t="n">
        <v>0</v>
      </c>
      <c r="K441" t="n">
        <v>0</v>
      </c>
      <c r="L441" t="n">
        <v>0</v>
      </c>
      <c r="M441" t="n">
        <v>0</v>
      </c>
      <c r="N441" t="n">
        <v>0</v>
      </c>
      <c r="O441" t="n">
        <v>0</v>
      </c>
      <c r="P441" t="n">
        <v>0</v>
      </c>
      <c r="Q441" t="n">
        <v>0</v>
      </c>
      <c r="R441" s="2" t="inlineStr"/>
    </row>
    <row r="442" ht="15" customHeight="1">
      <c r="A442" t="inlineStr">
        <is>
          <t>A 15880-2021</t>
        </is>
      </c>
      <c r="B442" s="1" t="n">
        <v>44286</v>
      </c>
      <c r="C442" s="1" t="n">
        <v>45832</v>
      </c>
      <c r="D442" t="inlineStr">
        <is>
          <t>NORRBOTTENS LÄN</t>
        </is>
      </c>
      <c r="E442" t="inlineStr">
        <is>
          <t>BODEN</t>
        </is>
      </c>
      <c r="G442" t="n">
        <v>7.9</v>
      </c>
      <c r="H442" t="n">
        <v>0</v>
      </c>
      <c r="I442" t="n">
        <v>0</v>
      </c>
      <c r="J442" t="n">
        <v>0</v>
      </c>
      <c r="K442" t="n">
        <v>0</v>
      </c>
      <c r="L442" t="n">
        <v>0</v>
      </c>
      <c r="M442" t="n">
        <v>0</v>
      </c>
      <c r="N442" t="n">
        <v>0</v>
      </c>
      <c r="O442" t="n">
        <v>0</v>
      </c>
      <c r="P442" t="n">
        <v>0</v>
      </c>
      <c r="Q442" t="n">
        <v>0</v>
      </c>
      <c r="R442" s="2" t="inlineStr"/>
    </row>
    <row r="443" ht="15" customHeight="1">
      <c r="A443" t="inlineStr">
        <is>
          <t>A 15885-2021</t>
        </is>
      </c>
      <c r="B443" s="1" t="n">
        <v>44286</v>
      </c>
      <c r="C443" s="1" t="n">
        <v>45832</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15884-2021</t>
        </is>
      </c>
      <c r="B444" s="1" t="n">
        <v>44286</v>
      </c>
      <c r="C444" s="1" t="n">
        <v>45832</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16213-2021</t>
        </is>
      </c>
      <c r="B445" s="1" t="n">
        <v>44292</v>
      </c>
      <c r="C445" s="1" t="n">
        <v>45832</v>
      </c>
      <c r="D445" t="inlineStr">
        <is>
          <t>NORRBOTTENS LÄN</t>
        </is>
      </c>
      <c r="E445" t="inlineStr">
        <is>
          <t>BODEN</t>
        </is>
      </c>
      <c r="G445" t="n">
        <v>21.2</v>
      </c>
      <c r="H445" t="n">
        <v>0</v>
      </c>
      <c r="I445" t="n">
        <v>0</v>
      </c>
      <c r="J445" t="n">
        <v>0</v>
      </c>
      <c r="K445" t="n">
        <v>0</v>
      </c>
      <c r="L445" t="n">
        <v>0</v>
      </c>
      <c r="M445" t="n">
        <v>0</v>
      </c>
      <c r="N445" t="n">
        <v>0</v>
      </c>
      <c r="O445" t="n">
        <v>0</v>
      </c>
      <c r="P445" t="n">
        <v>0</v>
      </c>
      <c r="Q445" t="n">
        <v>0</v>
      </c>
      <c r="R445" s="2" t="inlineStr"/>
    </row>
    <row r="446" ht="15" customHeight="1">
      <c r="A446" t="inlineStr">
        <is>
          <t>A 16554-2021</t>
        </is>
      </c>
      <c r="B446" s="1" t="n">
        <v>44293</v>
      </c>
      <c r="C446" s="1" t="n">
        <v>45832</v>
      </c>
      <c r="D446" t="inlineStr">
        <is>
          <t>NORRBOTTENS LÄN</t>
        </is>
      </c>
      <c r="E446" t="inlineStr">
        <is>
          <t>BODEN</t>
        </is>
      </c>
      <c r="F446" t="inlineStr">
        <is>
          <t>Övriga statliga verk och myndigheter</t>
        </is>
      </c>
      <c r="G446" t="n">
        <v>2.5</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45832</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17597-2021</t>
        </is>
      </c>
      <c r="B448" s="1" t="n">
        <v>44299</v>
      </c>
      <c r="C448" s="1" t="n">
        <v>45832</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17980-2021</t>
        </is>
      </c>
      <c r="B449" s="1" t="n">
        <v>44301</v>
      </c>
      <c r="C449" s="1" t="n">
        <v>45832</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20738-2021</t>
        </is>
      </c>
      <c r="B450" s="1" t="n">
        <v>44313</v>
      </c>
      <c r="C450" s="1" t="n">
        <v>45832</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20756-2021</t>
        </is>
      </c>
      <c r="B451" s="1" t="n">
        <v>44313</v>
      </c>
      <c r="C451" s="1" t="n">
        <v>45832</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20753-2021</t>
        </is>
      </c>
      <c r="B452" s="1" t="n">
        <v>44313</v>
      </c>
      <c r="C452" s="1" t="n">
        <v>45832</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20754-2021</t>
        </is>
      </c>
      <c r="B453" s="1" t="n">
        <v>44313</v>
      </c>
      <c r="C453" s="1" t="n">
        <v>45832</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20752-2021</t>
        </is>
      </c>
      <c r="B454" s="1" t="n">
        <v>44313</v>
      </c>
      <c r="C454" s="1" t="n">
        <v>45832</v>
      </c>
      <c r="D454" t="inlineStr">
        <is>
          <t>NORRBOTTENS LÄN</t>
        </is>
      </c>
      <c r="E454" t="inlineStr">
        <is>
          <t>BODEN</t>
        </is>
      </c>
      <c r="G454" t="n">
        <v>9</v>
      </c>
      <c r="H454" t="n">
        <v>0</v>
      </c>
      <c r="I454" t="n">
        <v>0</v>
      </c>
      <c r="J454" t="n">
        <v>0</v>
      </c>
      <c r="K454" t="n">
        <v>0</v>
      </c>
      <c r="L454" t="n">
        <v>0</v>
      </c>
      <c r="M454" t="n">
        <v>0</v>
      </c>
      <c r="N454" t="n">
        <v>0</v>
      </c>
      <c r="O454" t="n">
        <v>0</v>
      </c>
      <c r="P454" t="n">
        <v>0</v>
      </c>
      <c r="Q454" t="n">
        <v>0</v>
      </c>
      <c r="R454" s="2" t="inlineStr"/>
    </row>
    <row r="455" ht="15" customHeight="1">
      <c r="A455" t="inlineStr">
        <is>
          <t>A 21861-2021</t>
        </is>
      </c>
      <c r="B455" s="1" t="n">
        <v>44322</v>
      </c>
      <c r="C455" s="1" t="n">
        <v>45832</v>
      </c>
      <c r="D455" t="inlineStr">
        <is>
          <t>NORRBOTTENS LÄN</t>
        </is>
      </c>
      <c r="E455" t="inlineStr">
        <is>
          <t>BODEN</t>
        </is>
      </c>
      <c r="G455" t="n">
        <v>34.6</v>
      </c>
      <c r="H455" t="n">
        <v>0</v>
      </c>
      <c r="I455" t="n">
        <v>0</v>
      </c>
      <c r="J455" t="n">
        <v>0</v>
      </c>
      <c r="K455" t="n">
        <v>0</v>
      </c>
      <c r="L455" t="n">
        <v>0</v>
      </c>
      <c r="M455" t="n">
        <v>0</v>
      </c>
      <c r="N455" t="n">
        <v>0</v>
      </c>
      <c r="O455" t="n">
        <v>0</v>
      </c>
      <c r="P455" t="n">
        <v>0</v>
      </c>
      <c r="Q455" t="n">
        <v>0</v>
      </c>
      <c r="R455" s="2" t="inlineStr"/>
    </row>
    <row r="456" ht="15" customHeight="1">
      <c r="A456" t="inlineStr">
        <is>
          <t>A 23131-2021</t>
        </is>
      </c>
      <c r="B456" s="1" t="n">
        <v>44330</v>
      </c>
      <c r="C456" s="1" t="n">
        <v>45832</v>
      </c>
      <c r="D456" t="inlineStr">
        <is>
          <t>NORRBOTTENS LÄN</t>
        </is>
      </c>
      <c r="E456" t="inlineStr">
        <is>
          <t>BODEN</t>
        </is>
      </c>
      <c r="G456" t="n">
        <v>15.8</v>
      </c>
      <c r="H456" t="n">
        <v>0</v>
      </c>
      <c r="I456" t="n">
        <v>0</v>
      </c>
      <c r="J456" t="n">
        <v>0</v>
      </c>
      <c r="K456" t="n">
        <v>0</v>
      </c>
      <c r="L456" t="n">
        <v>0</v>
      </c>
      <c r="M456" t="n">
        <v>0</v>
      </c>
      <c r="N456" t="n">
        <v>0</v>
      </c>
      <c r="O456" t="n">
        <v>0</v>
      </c>
      <c r="P456" t="n">
        <v>0</v>
      </c>
      <c r="Q456" t="n">
        <v>0</v>
      </c>
      <c r="R456" s="2" t="inlineStr"/>
    </row>
    <row r="457" ht="15" customHeight="1">
      <c r="A457" t="inlineStr">
        <is>
          <t>A 23454-2021</t>
        </is>
      </c>
      <c r="B457" s="1" t="n">
        <v>44333</v>
      </c>
      <c r="C457" s="1" t="n">
        <v>45832</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26199-2021</t>
        </is>
      </c>
      <c r="B458" s="1" t="n">
        <v>44347</v>
      </c>
      <c r="C458" s="1" t="n">
        <v>45832</v>
      </c>
      <c r="D458" t="inlineStr">
        <is>
          <t>NORRBOTTENS LÄN</t>
        </is>
      </c>
      <c r="E458" t="inlineStr">
        <is>
          <t>BODEN</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26331-2021</t>
        </is>
      </c>
      <c r="B459" s="1" t="n">
        <v>44347</v>
      </c>
      <c r="C459" s="1" t="n">
        <v>45832</v>
      </c>
      <c r="D459" t="inlineStr">
        <is>
          <t>NORRBOTTENS LÄN</t>
        </is>
      </c>
      <c r="E459" t="inlineStr">
        <is>
          <t>BODEN</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27136-2021</t>
        </is>
      </c>
      <c r="B460" s="1" t="n">
        <v>44350</v>
      </c>
      <c r="C460" s="1" t="n">
        <v>45832</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27241-2021</t>
        </is>
      </c>
      <c r="B461" s="1" t="n">
        <v>44350</v>
      </c>
      <c r="C461" s="1" t="n">
        <v>45832</v>
      </c>
      <c r="D461" t="inlineStr">
        <is>
          <t>NORRBOTTENS LÄN</t>
        </is>
      </c>
      <c r="E461" t="inlineStr">
        <is>
          <t>BODEN</t>
        </is>
      </c>
      <c r="G461" t="n">
        <v>7.6</v>
      </c>
      <c r="H461" t="n">
        <v>0</v>
      </c>
      <c r="I461" t="n">
        <v>0</v>
      </c>
      <c r="J461" t="n">
        <v>0</v>
      </c>
      <c r="K461" t="n">
        <v>0</v>
      </c>
      <c r="L461" t="n">
        <v>0</v>
      </c>
      <c r="M461" t="n">
        <v>0</v>
      </c>
      <c r="N461" t="n">
        <v>0</v>
      </c>
      <c r="O461" t="n">
        <v>0</v>
      </c>
      <c r="P461" t="n">
        <v>0</v>
      </c>
      <c r="Q461" t="n">
        <v>0</v>
      </c>
      <c r="R461" s="2" t="inlineStr"/>
    </row>
    <row r="462" ht="15" customHeight="1">
      <c r="A462" t="inlineStr">
        <is>
          <t>A 27248-2021</t>
        </is>
      </c>
      <c r="B462" s="1" t="n">
        <v>44350</v>
      </c>
      <c r="C462" s="1" t="n">
        <v>45832</v>
      </c>
      <c r="D462" t="inlineStr">
        <is>
          <t>NORRBOTTENS LÄN</t>
        </is>
      </c>
      <c r="E462" t="inlineStr">
        <is>
          <t>BODEN</t>
        </is>
      </c>
      <c r="G462" t="n">
        <v>10.9</v>
      </c>
      <c r="H462" t="n">
        <v>0</v>
      </c>
      <c r="I462" t="n">
        <v>0</v>
      </c>
      <c r="J462" t="n">
        <v>0</v>
      </c>
      <c r="K462" t="n">
        <v>0</v>
      </c>
      <c r="L462" t="n">
        <v>0</v>
      </c>
      <c r="M462" t="n">
        <v>0</v>
      </c>
      <c r="N462" t="n">
        <v>0</v>
      </c>
      <c r="O462" t="n">
        <v>0</v>
      </c>
      <c r="P462" t="n">
        <v>0</v>
      </c>
      <c r="Q462" t="n">
        <v>0</v>
      </c>
      <c r="R462" s="2" t="inlineStr"/>
    </row>
    <row r="463" ht="15" customHeight="1">
      <c r="A463" t="inlineStr">
        <is>
          <t>A 27596-2021</t>
        </is>
      </c>
      <c r="B463" s="1" t="n">
        <v>44354</v>
      </c>
      <c r="C463" s="1" t="n">
        <v>45832</v>
      </c>
      <c r="D463" t="inlineStr">
        <is>
          <t>NORRBOTTENS LÄN</t>
        </is>
      </c>
      <c r="E463" t="inlineStr">
        <is>
          <t>BODEN</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28370-2021</t>
        </is>
      </c>
      <c r="B464" s="1" t="n">
        <v>44356</v>
      </c>
      <c r="C464" s="1" t="n">
        <v>45832</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28367-2021</t>
        </is>
      </c>
      <c r="B465" s="1" t="n">
        <v>44356</v>
      </c>
      <c r="C465" s="1" t="n">
        <v>45832</v>
      </c>
      <c r="D465" t="inlineStr">
        <is>
          <t>NORRBOTTENS LÄN</t>
        </is>
      </c>
      <c r="E465" t="inlineStr">
        <is>
          <t>BODEN</t>
        </is>
      </c>
      <c r="G465" t="n">
        <v>1.1</v>
      </c>
      <c r="H465" t="n">
        <v>0</v>
      </c>
      <c r="I465" t="n">
        <v>0</v>
      </c>
      <c r="J465" t="n">
        <v>0</v>
      </c>
      <c r="K465" t="n">
        <v>0</v>
      </c>
      <c r="L465" t="n">
        <v>0</v>
      </c>
      <c r="M465" t="n">
        <v>0</v>
      </c>
      <c r="N465" t="n">
        <v>0</v>
      </c>
      <c r="O465" t="n">
        <v>0</v>
      </c>
      <c r="P465" t="n">
        <v>0</v>
      </c>
      <c r="Q465" t="n">
        <v>0</v>
      </c>
      <c r="R465" s="2" t="inlineStr"/>
    </row>
    <row r="466" ht="15" customHeight="1">
      <c r="A466" t="inlineStr">
        <is>
          <t>A 28378-2021</t>
        </is>
      </c>
      <c r="B466" s="1" t="n">
        <v>44356</v>
      </c>
      <c r="C466" s="1" t="n">
        <v>45832</v>
      </c>
      <c r="D466" t="inlineStr">
        <is>
          <t>NORRBOTTENS LÄN</t>
        </is>
      </c>
      <c r="E466" t="inlineStr">
        <is>
          <t>BODEN</t>
        </is>
      </c>
      <c r="G466" t="n">
        <v>0.2</v>
      </c>
      <c r="H466" t="n">
        <v>0</v>
      </c>
      <c r="I466" t="n">
        <v>0</v>
      </c>
      <c r="J466" t="n">
        <v>0</v>
      </c>
      <c r="K466" t="n">
        <v>0</v>
      </c>
      <c r="L466" t="n">
        <v>0</v>
      </c>
      <c r="M466" t="n">
        <v>0</v>
      </c>
      <c r="N466" t="n">
        <v>0</v>
      </c>
      <c r="O466" t="n">
        <v>0</v>
      </c>
      <c r="P466" t="n">
        <v>0</v>
      </c>
      <c r="Q466" t="n">
        <v>0</v>
      </c>
      <c r="R466" s="2" t="inlineStr"/>
    </row>
    <row r="467" ht="15" customHeight="1">
      <c r="A467" t="inlineStr">
        <is>
          <t>A 28933-2021</t>
        </is>
      </c>
      <c r="B467" s="1" t="n">
        <v>44358</v>
      </c>
      <c r="C467" s="1" t="n">
        <v>45832</v>
      </c>
      <c r="D467" t="inlineStr">
        <is>
          <t>NORRBOTTENS LÄN</t>
        </is>
      </c>
      <c r="E467" t="inlineStr">
        <is>
          <t>BODEN</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29107-2021</t>
        </is>
      </c>
      <c r="B468" s="1" t="n">
        <v>44358</v>
      </c>
      <c r="C468" s="1" t="n">
        <v>45832</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29751-2021</t>
        </is>
      </c>
      <c r="B469" s="1" t="n">
        <v>44362</v>
      </c>
      <c r="C469" s="1" t="n">
        <v>45832</v>
      </c>
      <c r="D469" t="inlineStr">
        <is>
          <t>NORRBOTTENS LÄN</t>
        </is>
      </c>
      <c r="E469" t="inlineStr">
        <is>
          <t>BODEN</t>
        </is>
      </c>
      <c r="G469" t="n">
        <v>5</v>
      </c>
      <c r="H469" t="n">
        <v>0</v>
      </c>
      <c r="I469" t="n">
        <v>0</v>
      </c>
      <c r="J469" t="n">
        <v>0</v>
      </c>
      <c r="K469" t="n">
        <v>0</v>
      </c>
      <c r="L469" t="n">
        <v>0</v>
      </c>
      <c r="M469" t="n">
        <v>0</v>
      </c>
      <c r="N469" t="n">
        <v>0</v>
      </c>
      <c r="O469" t="n">
        <v>0</v>
      </c>
      <c r="P469" t="n">
        <v>0</v>
      </c>
      <c r="Q469" t="n">
        <v>0</v>
      </c>
      <c r="R469" s="2" t="inlineStr"/>
    </row>
    <row r="470" ht="15" customHeight="1">
      <c r="A470" t="inlineStr">
        <is>
          <t>A 31513-2021</t>
        </is>
      </c>
      <c r="B470" s="1" t="n">
        <v>44369</v>
      </c>
      <c r="C470" s="1" t="n">
        <v>45832</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31720-2021</t>
        </is>
      </c>
      <c r="B471" s="1" t="n">
        <v>44369</v>
      </c>
      <c r="C471" s="1" t="n">
        <v>45832</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31719-2021</t>
        </is>
      </c>
      <c r="B472" s="1" t="n">
        <v>44369</v>
      </c>
      <c r="C472" s="1" t="n">
        <v>45832</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32373-2021</t>
        </is>
      </c>
      <c r="B473" s="1" t="n">
        <v>44371</v>
      </c>
      <c r="C473" s="1" t="n">
        <v>45832</v>
      </c>
      <c r="D473" t="inlineStr">
        <is>
          <t>NORRBOTTENS LÄN</t>
        </is>
      </c>
      <c r="E473" t="inlineStr">
        <is>
          <t>BODEN</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32511-2021</t>
        </is>
      </c>
      <c r="B474" s="1" t="n">
        <v>44374</v>
      </c>
      <c r="C474" s="1" t="n">
        <v>45832</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33353-2021</t>
        </is>
      </c>
      <c r="B475" s="1" t="n">
        <v>44377</v>
      </c>
      <c r="C475" s="1" t="n">
        <v>45832</v>
      </c>
      <c r="D475" t="inlineStr">
        <is>
          <t>NORRBOTTENS LÄN</t>
        </is>
      </c>
      <c r="E475" t="inlineStr">
        <is>
          <t>BODEN</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33908-2021</t>
        </is>
      </c>
      <c r="B476" s="1" t="n">
        <v>44378</v>
      </c>
      <c r="C476" s="1" t="n">
        <v>45832</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33903-2021</t>
        </is>
      </c>
      <c r="B477" s="1" t="n">
        <v>44378</v>
      </c>
      <c r="C477" s="1" t="n">
        <v>45832</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34021-2021</t>
        </is>
      </c>
      <c r="B478" s="1" t="n">
        <v>44378</v>
      </c>
      <c r="C478" s="1" t="n">
        <v>45832</v>
      </c>
      <c r="D478" t="inlineStr">
        <is>
          <t>NORRBOTTENS LÄN</t>
        </is>
      </c>
      <c r="E478" t="inlineStr">
        <is>
          <t>BODEN</t>
        </is>
      </c>
      <c r="G478" t="n">
        <v>2</v>
      </c>
      <c r="H478" t="n">
        <v>0</v>
      </c>
      <c r="I478" t="n">
        <v>0</v>
      </c>
      <c r="J478" t="n">
        <v>0</v>
      </c>
      <c r="K478" t="n">
        <v>0</v>
      </c>
      <c r="L478" t="n">
        <v>0</v>
      </c>
      <c r="M478" t="n">
        <v>0</v>
      </c>
      <c r="N478" t="n">
        <v>0</v>
      </c>
      <c r="O478" t="n">
        <v>0</v>
      </c>
      <c r="P478" t="n">
        <v>0</v>
      </c>
      <c r="Q478" t="n">
        <v>0</v>
      </c>
      <c r="R478" s="2" t="inlineStr"/>
    </row>
    <row r="479" ht="15" customHeight="1">
      <c r="A479" t="inlineStr">
        <is>
          <t>A 35843-2021</t>
        </is>
      </c>
      <c r="B479" s="1" t="n">
        <v>44386</v>
      </c>
      <c r="C479" s="1" t="n">
        <v>45832</v>
      </c>
      <c r="D479" t="inlineStr">
        <is>
          <t>NORRBOTTENS LÄN</t>
        </is>
      </c>
      <c r="E479" t="inlineStr">
        <is>
          <t>BODEN</t>
        </is>
      </c>
      <c r="G479" t="n">
        <v>1.5</v>
      </c>
      <c r="H479" t="n">
        <v>0</v>
      </c>
      <c r="I479" t="n">
        <v>0</v>
      </c>
      <c r="J479" t="n">
        <v>0</v>
      </c>
      <c r="K479" t="n">
        <v>0</v>
      </c>
      <c r="L479" t="n">
        <v>0</v>
      </c>
      <c r="M479" t="n">
        <v>0</v>
      </c>
      <c r="N479" t="n">
        <v>0</v>
      </c>
      <c r="O479" t="n">
        <v>0</v>
      </c>
      <c r="P479" t="n">
        <v>0</v>
      </c>
      <c r="Q479" t="n">
        <v>0</v>
      </c>
      <c r="R479" s="2" t="inlineStr"/>
    </row>
    <row r="480" ht="15" customHeight="1">
      <c r="A480" t="inlineStr">
        <is>
          <t>A 36017-2021</t>
        </is>
      </c>
      <c r="B480" s="1" t="n">
        <v>44389</v>
      </c>
      <c r="C480" s="1" t="n">
        <v>45832</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36517-2021</t>
        </is>
      </c>
      <c r="B481" s="1" t="n">
        <v>44391</v>
      </c>
      <c r="C481" s="1" t="n">
        <v>45832</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36463-2021</t>
        </is>
      </c>
      <c r="B482" s="1" t="n">
        <v>44391</v>
      </c>
      <c r="C482" s="1" t="n">
        <v>45832</v>
      </c>
      <c r="D482" t="inlineStr">
        <is>
          <t>NORRBOTTENS LÄN</t>
        </is>
      </c>
      <c r="E482" t="inlineStr">
        <is>
          <t>BODEN</t>
        </is>
      </c>
      <c r="G482" t="n">
        <v>7.4</v>
      </c>
      <c r="H482" t="n">
        <v>0</v>
      </c>
      <c r="I482" t="n">
        <v>0</v>
      </c>
      <c r="J482" t="n">
        <v>0</v>
      </c>
      <c r="K482" t="n">
        <v>0</v>
      </c>
      <c r="L482" t="n">
        <v>0</v>
      </c>
      <c r="M482" t="n">
        <v>0</v>
      </c>
      <c r="N482" t="n">
        <v>0</v>
      </c>
      <c r="O482" t="n">
        <v>0</v>
      </c>
      <c r="P482" t="n">
        <v>0</v>
      </c>
      <c r="Q482" t="n">
        <v>0</v>
      </c>
      <c r="R482" s="2" t="inlineStr"/>
    </row>
    <row r="483" ht="15" customHeight="1">
      <c r="A483" t="inlineStr">
        <is>
          <t>A 36138-2021</t>
        </is>
      </c>
      <c r="B483" s="1" t="n">
        <v>44392</v>
      </c>
      <c r="C483" s="1" t="n">
        <v>45832</v>
      </c>
      <c r="D483" t="inlineStr">
        <is>
          <t>NORRBOTTENS LÄN</t>
        </is>
      </c>
      <c r="E483" t="inlineStr">
        <is>
          <t>BODEN</t>
        </is>
      </c>
      <c r="G483" t="n">
        <v>18.5</v>
      </c>
      <c r="H483" t="n">
        <v>0</v>
      </c>
      <c r="I483" t="n">
        <v>0</v>
      </c>
      <c r="J483" t="n">
        <v>0</v>
      </c>
      <c r="K483" t="n">
        <v>0</v>
      </c>
      <c r="L483" t="n">
        <v>0</v>
      </c>
      <c r="M483" t="n">
        <v>0</v>
      </c>
      <c r="N483" t="n">
        <v>0</v>
      </c>
      <c r="O483" t="n">
        <v>0</v>
      </c>
      <c r="P483" t="n">
        <v>0</v>
      </c>
      <c r="Q483" t="n">
        <v>0</v>
      </c>
      <c r="R483" s="2" t="inlineStr"/>
    </row>
    <row r="484" ht="15" customHeight="1">
      <c r="A484" t="inlineStr">
        <is>
          <t>A 36999-2021</t>
        </is>
      </c>
      <c r="B484" s="1" t="n">
        <v>44393</v>
      </c>
      <c r="C484" s="1" t="n">
        <v>45832</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39291-2021</t>
        </is>
      </c>
      <c r="B485" s="1" t="n">
        <v>44413</v>
      </c>
      <c r="C485" s="1" t="n">
        <v>45832</v>
      </c>
      <c r="D485" t="inlineStr">
        <is>
          <t>NORRBOTTENS LÄN</t>
        </is>
      </c>
      <c r="E485" t="inlineStr">
        <is>
          <t>BODEN</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39673-2021</t>
        </is>
      </c>
      <c r="B486" s="1" t="n">
        <v>44414</v>
      </c>
      <c r="C486" s="1" t="n">
        <v>45832</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39701-2021</t>
        </is>
      </c>
      <c r="B487" s="1" t="n">
        <v>44414</v>
      </c>
      <c r="C487" s="1" t="n">
        <v>45832</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39689-2021</t>
        </is>
      </c>
      <c r="B488" s="1" t="n">
        <v>44414</v>
      </c>
      <c r="C488" s="1" t="n">
        <v>45832</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39833-2021</t>
        </is>
      </c>
      <c r="B489" s="1" t="n">
        <v>44414</v>
      </c>
      <c r="C489" s="1" t="n">
        <v>45832</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39711-2021</t>
        </is>
      </c>
      <c r="B490" s="1" t="n">
        <v>44414</v>
      </c>
      <c r="C490" s="1" t="n">
        <v>45832</v>
      </c>
      <c r="D490" t="inlineStr">
        <is>
          <t>NORRBOTTENS LÄN</t>
        </is>
      </c>
      <c r="E490" t="inlineStr">
        <is>
          <t>BODEN</t>
        </is>
      </c>
      <c r="G490" t="n">
        <v>7</v>
      </c>
      <c r="H490" t="n">
        <v>0</v>
      </c>
      <c r="I490" t="n">
        <v>0</v>
      </c>
      <c r="J490" t="n">
        <v>0</v>
      </c>
      <c r="K490" t="n">
        <v>0</v>
      </c>
      <c r="L490" t="n">
        <v>0</v>
      </c>
      <c r="M490" t="n">
        <v>0</v>
      </c>
      <c r="N490" t="n">
        <v>0</v>
      </c>
      <c r="O490" t="n">
        <v>0</v>
      </c>
      <c r="P490" t="n">
        <v>0</v>
      </c>
      <c r="Q490" t="n">
        <v>0</v>
      </c>
      <c r="R490" s="2" t="inlineStr"/>
    </row>
    <row r="491" ht="15" customHeight="1">
      <c r="A491" t="inlineStr">
        <is>
          <t>A 39740-2021</t>
        </is>
      </c>
      <c r="B491" s="1" t="n">
        <v>44414</v>
      </c>
      <c r="C491" s="1" t="n">
        <v>45832</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39695-2021</t>
        </is>
      </c>
      <c r="B492" s="1" t="n">
        <v>44414</v>
      </c>
      <c r="C492" s="1" t="n">
        <v>45832</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39750-2021</t>
        </is>
      </c>
      <c r="B493" s="1" t="n">
        <v>44417</v>
      </c>
      <c r="C493" s="1" t="n">
        <v>45832</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39884-2021</t>
        </is>
      </c>
      <c r="B494" s="1" t="n">
        <v>44417</v>
      </c>
      <c r="C494" s="1" t="n">
        <v>45832</v>
      </c>
      <c r="D494" t="inlineStr">
        <is>
          <t>NORRBOTTENS LÄN</t>
        </is>
      </c>
      <c r="E494" t="inlineStr">
        <is>
          <t>BODEN</t>
        </is>
      </c>
      <c r="G494" t="n">
        <v>5.1</v>
      </c>
      <c r="H494" t="n">
        <v>0</v>
      </c>
      <c r="I494" t="n">
        <v>0</v>
      </c>
      <c r="J494" t="n">
        <v>0</v>
      </c>
      <c r="K494" t="n">
        <v>0</v>
      </c>
      <c r="L494" t="n">
        <v>0</v>
      </c>
      <c r="M494" t="n">
        <v>0</v>
      </c>
      <c r="N494" t="n">
        <v>0</v>
      </c>
      <c r="O494" t="n">
        <v>0</v>
      </c>
      <c r="P494" t="n">
        <v>0</v>
      </c>
      <c r="Q494" t="n">
        <v>0</v>
      </c>
      <c r="R494" s="2" t="inlineStr"/>
    </row>
    <row r="495" ht="15" customHeight="1">
      <c r="A495" t="inlineStr">
        <is>
          <t>A 40781-2021</t>
        </is>
      </c>
      <c r="B495" s="1" t="n">
        <v>44421</v>
      </c>
      <c r="C495" s="1" t="n">
        <v>45832</v>
      </c>
      <c r="D495" t="inlineStr">
        <is>
          <t>NORRBOTTENS LÄN</t>
        </is>
      </c>
      <c r="E495" t="inlineStr">
        <is>
          <t>BODEN</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41180-2021</t>
        </is>
      </c>
      <c r="B496" s="1" t="n">
        <v>44423</v>
      </c>
      <c r="C496" s="1" t="n">
        <v>45832</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41943-2021</t>
        </is>
      </c>
      <c r="B497" s="1" t="n">
        <v>44426</v>
      </c>
      <c r="C497" s="1" t="n">
        <v>45832</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42711-2021</t>
        </is>
      </c>
      <c r="B498" s="1" t="n">
        <v>44428</v>
      </c>
      <c r="C498" s="1" t="n">
        <v>45832</v>
      </c>
      <c r="D498" t="inlineStr">
        <is>
          <t>NORRBOTTENS LÄN</t>
        </is>
      </c>
      <c r="E498" t="inlineStr">
        <is>
          <t>BODEN</t>
        </is>
      </c>
      <c r="G498" t="n">
        <v>2.7</v>
      </c>
      <c r="H498" t="n">
        <v>0</v>
      </c>
      <c r="I498" t="n">
        <v>0</v>
      </c>
      <c r="J498" t="n">
        <v>0</v>
      </c>
      <c r="K498" t="n">
        <v>0</v>
      </c>
      <c r="L498" t="n">
        <v>0</v>
      </c>
      <c r="M498" t="n">
        <v>0</v>
      </c>
      <c r="N498" t="n">
        <v>0</v>
      </c>
      <c r="O498" t="n">
        <v>0</v>
      </c>
      <c r="P498" t="n">
        <v>0</v>
      </c>
      <c r="Q498" t="n">
        <v>0</v>
      </c>
      <c r="R498" s="2" t="inlineStr"/>
    </row>
    <row r="499" ht="15" customHeight="1">
      <c r="A499" t="inlineStr">
        <is>
          <t>A 45002-2021</t>
        </is>
      </c>
      <c r="B499" s="1" t="n">
        <v>44438</v>
      </c>
      <c r="C499" s="1" t="n">
        <v>45832</v>
      </c>
      <c r="D499" t="inlineStr">
        <is>
          <t>NORRBOTTENS LÄN</t>
        </is>
      </c>
      <c r="E499" t="inlineStr">
        <is>
          <t>BODEN</t>
        </is>
      </c>
      <c r="G499" t="n">
        <v>0.8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45832</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45189-2021</t>
        </is>
      </c>
      <c r="B501" s="1" t="n">
        <v>44439</v>
      </c>
      <c r="C501" s="1" t="n">
        <v>45832</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45185-2021</t>
        </is>
      </c>
      <c r="B502" s="1" t="n">
        <v>44439</v>
      </c>
      <c r="C502" s="1" t="n">
        <v>45832</v>
      </c>
      <c r="D502" t="inlineStr">
        <is>
          <t>NORRBOTTENS LÄN</t>
        </is>
      </c>
      <c r="E502" t="inlineStr">
        <is>
          <t>BODEN</t>
        </is>
      </c>
      <c r="G502" t="n">
        <v>6.1</v>
      </c>
      <c r="H502" t="n">
        <v>0</v>
      </c>
      <c r="I502" t="n">
        <v>0</v>
      </c>
      <c r="J502" t="n">
        <v>0</v>
      </c>
      <c r="K502" t="n">
        <v>0</v>
      </c>
      <c r="L502" t="n">
        <v>0</v>
      </c>
      <c r="M502" t="n">
        <v>0</v>
      </c>
      <c r="N502" t="n">
        <v>0</v>
      </c>
      <c r="O502" t="n">
        <v>0</v>
      </c>
      <c r="P502" t="n">
        <v>0</v>
      </c>
      <c r="Q502" t="n">
        <v>0</v>
      </c>
      <c r="R502" s="2" t="inlineStr"/>
    </row>
    <row r="503" ht="15" customHeight="1">
      <c r="A503" t="inlineStr">
        <is>
          <t>A 45677-2021</t>
        </is>
      </c>
      <c r="B503" s="1" t="n">
        <v>44441</v>
      </c>
      <c r="C503" s="1" t="n">
        <v>45832</v>
      </c>
      <c r="D503" t="inlineStr">
        <is>
          <t>NORRBOTTENS LÄN</t>
        </is>
      </c>
      <c r="E503" t="inlineStr">
        <is>
          <t>BODEN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46183-2021</t>
        </is>
      </c>
      <c r="B504" s="1" t="n">
        <v>44441</v>
      </c>
      <c r="C504" s="1" t="n">
        <v>45832</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46541-2021</t>
        </is>
      </c>
      <c r="B505" s="1" t="n">
        <v>44445</v>
      </c>
      <c r="C505" s="1" t="n">
        <v>45832</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46512-2021</t>
        </is>
      </c>
      <c r="B506" s="1" t="n">
        <v>44445</v>
      </c>
      <c r="C506" s="1" t="n">
        <v>45832</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49823-2021</t>
        </is>
      </c>
      <c r="B507" s="1" t="n">
        <v>44455</v>
      </c>
      <c r="C507" s="1" t="n">
        <v>45832</v>
      </c>
      <c r="D507" t="inlineStr">
        <is>
          <t>NORRBOTTENS LÄN</t>
        </is>
      </c>
      <c r="E507" t="inlineStr">
        <is>
          <t>BODEN</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51328-2021</t>
        </is>
      </c>
      <c r="B508" s="1" t="n">
        <v>44461</v>
      </c>
      <c r="C508" s="1" t="n">
        <v>45832</v>
      </c>
      <c r="D508" t="inlineStr">
        <is>
          <t>NORRBOTTENS LÄN</t>
        </is>
      </c>
      <c r="E508" t="inlineStr">
        <is>
          <t>BODEN</t>
        </is>
      </c>
      <c r="G508" t="n">
        <v>5.6</v>
      </c>
      <c r="H508" t="n">
        <v>0</v>
      </c>
      <c r="I508" t="n">
        <v>0</v>
      </c>
      <c r="J508" t="n">
        <v>0</v>
      </c>
      <c r="K508" t="n">
        <v>0</v>
      </c>
      <c r="L508" t="n">
        <v>0</v>
      </c>
      <c r="M508" t="n">
        <v>0</v>
      </c>
      <c r="N508" t="n">
        <v>0</v>
      </c>
      <c r="O508" t="n">
        <v>0</v>
      </c>
      <c r="P508" t="n">
        <v>0</v>
      </c>
      <c r="Q508" t="n">
        <v>0</v>
      </c>
      <c r="R508" s="2" t="inlineStr"/>
    </row>
    <row r="509" ht="15" customHeight="1">
      <c r="A509" t="inlineStr">
        <is>
          <t>A 51902-2021</t>
        </is>
      </c>
      <c r="B509" s="1" t="n">
        <v>44463</v>
      </c>
      <c r="C509" s="1" t="n">
        <v>45832</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51963-2021</t>
        </is>
      </c>
      <c r="B510" s="1" t="n">
        <v>44463</v>
      </c>
      <c r="C510" s="1" t="n">
        <v>45832</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52075-2021</t>
        </is>
      </c>
      <c r="B511" s="1" t="n">
        <v>44463</v>
      </c>
      <c r="C511" s="1" t="n">
        <v>45832</v>
      </c>
      <c r="D511" t="inlineStr">
        <is>
          <t>NORRBOTTENS LÄN</t>
        </is>
      </c>
      <c r="E511" t="inlineStr">
        <is>
          <t>BODEN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51973-2021</t>
        </is>
      </c>
      <c r="B512" s="1" t="n">
        <v>44463</v>
      </c>
      <c r="C512" s="1" t="n">
        <v>45832</v>
      </c>
      <c r="D512" t="inlineStr">
        <is>
          <t>NORRBOTTENS LÄN</t>
        </is>
      </c>
      <c r="E512" t="inlineStr">
        <is>
          <t>BODEN</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52345-2021</t>
        </is>
      </c>
      <c r="B513" s="1" t="n">
        <v>44464</v>
      </c>
      <c r="C513" s="1" t="n">
        <v>45832</v>
      </c>
      <c r="D513" t="inlineStr">
        <is>
          <t>NORRBOTTENS LÄN</t>
        </is>
      </c>
      <c r="E513" t="inlineStr">
        <is>
          <t>BODEN</t>
        </is>
      </c>
      <c r="G513" t="n">
        <v>11.7</v>
      </c>
      <c r="H513" t="n">
        <v>0</v>
      </c>
      <c r="I513" t="n">
        <v>0</v>
      </c>
      <c r="J513" t="n">
        <v>0</v>
      </c>
      <c r="K513" t="n">
        <v>0</v>
      </c>
      <c r="L513" t="n">
        <v>0</v>
      </c>
      <c r="M513" t="n">
        <v>0</v>
      </c>
      <c r="N513" t="n">
        <v>0</v>
      </c>
      <c r="O513" t="n">
        <v>0</v>
      </c>
      <c r="P513" t="n">
        <v>0</v>
      </c>
      <c r="Q513" t="n">
        <v>0</v>
      </c>
      <c r="R513" s="2" t="inlineStr"/>
    </row>
    <row r="514" ht="15" customHeight="1">
      <c r="A514" t="inlineStr">
        <is>
          <t>A 53005-2021</t>
        </is>
      </c>
      <c r="B514" s="1" t="n">
        <v>44467</v>
      </c>
      <c r="C514" s="1" t="n">
        <v>45832</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53628-2021</t>
        </is>
      </c>
      <c r="B515" s="1" t="n">
        <v>44469</v>
      </c>
      <c r="C515" s="1" t="n">
        <v>45832</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53630-2021</t>
        </is>
      </c>
      <c r="B516" s="1" t="n">
        <v>44469</v>
      </c>
      <c r="C516" s="1" t="n">
        <v>45832</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53633-2021</t>
        </is>
      </c>
      <c r="B517" s="1" t="n">
        <v>44469</v>
      </c>
      <c r="C517" s="1" t="n">
        <v>45832</v>
      </c>
      <c r="D517" t="inlineStr">
        <is>
          <t>NORRBOTTENS LÄN</t>
        </is>
      </c>
      <c r="E517" t="inlineStr">
        <is>
          <t>BODEN</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54818-2021</t>
        </is>
      </c>
      <c r="B518" s="1" t="n">
        <v>44473</v>
      </c>
      <c r="C518" s="1" t="n">
        <v>45832</v>
      </c>
      <c r="D518" t="inlineStr">
        <is>
          <t>NORRBOTTENS LÄN</t>
        </is>
      </c>
      <c r="E518" t="inlineStr">
        <is>
          <t>BODEN</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55024-2021</t>
        </is>
      </c>
      <c r="B519" s="1" t="n">
        <v>44474</v>
      </c>
      <c r="C519" s="1" t="n">
        <v>45832</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55080-2021</t>
        </is>
      </c>
      <c r="B520" s="1" t="n">
        <v>44474</v>
      </c>
      <c r="C520" s="1" t="n">
        <v>45832</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45832</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54881-2021</t>
        </is>
      </c>
      <c r="B522" s="1" t="n">
        <v>44474</v>
      </c>
      <c r="C522" s="1" t="n">
        <v>45832</v>
      </c>
      <c r="D522" t="inlineStr">
        <is>
          <t>NORRBOTTENS LÄN</t>
        </is>
      </c>
      <c r="E522" t="inlineStr">
        <is>
          <t>BODEN</t>
        </is>
      </c>
      <c r="G522" t="n">
        <v>2.8</v>
      </c>
      <c r="H522" t="n">
        <v>0</v>
      </c>
      <c r="I522" t="n">
        <v>0</v>
      </c>
      <c r="J522" t="n">
        <v>0</v>
      </c>
      <c r="K522" t="n">
        <v>0</v>
      </c>
      <c r="L522" t="n">
        <v>0</v>
      </c>
      <c r="M522" t="n">
        <v>0</v>
      </c>
      <c r="N522" t="n">
        <v>0</v>
      </c>
      <c r="O522" t="n">
        <v>0</v>
      </c>
      <c r="P522" t="n">
        <v>0</v>
      </c>
      <c r="Q522" t="n">
        <v>0</v>
      </c>
      <c r="R522" s="2" t="inlineStr"/>
    </row>
    <row r="523" ht="15" customHeight="1">
      <c r="A523" t="inlineStr">
        <is>
          <t>A 56111-2021</t>
        </is>
      </c>
      <c r="B523" s="1" t="n">
        <v>44477</v>
      </c>
      <c r="C523" s="1" t="n">
        <v>45832</v>
      </c>
      <c r="D523" t="inlineStr">
        <is>
          <t>NORRBOTTENS LÄN</t>
        </is>
      </c>
      <c r="E523" t="inlineStr">
        <is>
          <t>BODEN</t>
        </is>
      </c>
      <c r="G523" t="n">
        <v>2.3</v>
      </c>
      <c r="H523" t="n">
        <v>0</v>
      </c>
      <c r="I523" t="n">
        <v>0</v>
      </c>
      <c r="J523" t="n">
        <v>0</v>
      </c>
      <c r="K523" t="n">
        <v>0</v>
      </c>
      <c r="L523" t="n">
        <v>0</v>
      </c>
      <c r="M523" t="n">
        <v>0</v>
      </c>
      <c r="N523" t="n">
        <v>0</v>
      </c>
      <c r="O523" t="n">
        <v>0</v>
      </c>
      <c r="P523" t="n">
        <v>0</v>
      </c>
      <c r="Q523" t="n">
        <v>0</v>
      </c>
      <c r="R523" s="2" t="inlineStr"/>
    </row>
    <row r="524" ht="15" customHeight="1">
      <c r="A524" t="inlineStr">
        <is>
          <t>A 56467-2021</t>
        </is>
      </c>
      <c r="B524" s="1" t="n">
        <v>44480</v>
      </c>
      <c r="C524" s="1" t="n">
        <v>45832</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56485-2021</t>
        </is>
      </c>
      <c r="B525" s="1" t="n">
        <v>44480</v>
      </c>
      <c r="C525" s="1" t="n">
        <v>45832</v>
      </c>
      <c r="D525" t="inlineStr">
        <is>
          <t>NORRBOTTENS LÄN</t>
        </is>
      </c>
      <c r="E525" t="inlineStr">
        <is>
          <t>BODEN</t>
        </is>
      </c>
      <c r="G525" t="n">
        <v>6.1</v>
      </c>
      <c r="H525" t="n">
        <v>0</v>
      </c>
      <c r="I525" t="n">
        <v>0</v>
      </c>
      <c r="J525" t="n">
        <v>0</v>
      </c>
      <c r="K525" t="n">
        <v>0</v>
      </c>
      <c r="L525" t="n">
        <v>0</v>
      </c>
      <c r="M525" t="n">
        <v>0</v>
      </c>
      <c r="N525" t="n">
        <v>0</v>
      </c>
      <c r="O525" t="n">
        <v>0</v>
      </c>
      <c r="P525" t="n">
        <v>0</v>
      </c>
      <c r="Q525" t="n">
        <v>0</v>
      </c>
      <c r="R525" s="2" t="inlineStr"/>
    </row>
    <row r="526" ht="15" customHeight="1">
      <c r="A526" t="inlineStr">
        <is>
          <t>A 57583-2021</t>
        </is>
      </c>
      <c r="B526" s="1" t="n">
        <v>44484</v>
      </c>
      <c r="C526" s="1" t="n">
        <v>45832</v>
      </c>
      <c r="D526" t="inlineStr">
        <is>
          <t>NORRBOTTENS LÄN</t>
        </is>
      </c>
      <c r="E526" t="inlineStr">
        <is>
          <t>BODEN</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57578-2021</t>
        </is>
      </c>
      <c r="B527" s="1" t="n">
        <v>44484</v>
      </c>
      <c r="C527" s="1" t="n">
        <v>45832</v>
      </c>
      <c r="D527" t="inlineStr">
        <is>
          <t>NORRBOTTENS LÄN</t>
        </is>
      </c>
      <c r="E527" t="inlineStr">
        <is>
          <t>BODEN</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v>
      </c>
      <c r="C528" s="1" t="n">
        <v>45832</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57604-2021</t>
        </is>
      </c>
      <c r="B529" s="1" t="n">
        <v>44484</v>
      </c>
      <c r="C529" s="1" t="n">
        <v>45832</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57873-2021</t>
        </is>
      </c>
      <c r="B530" s="1" t="n">
        <v>44484</v>
      </c>
      <c r="C530" s="1" t="n">
        <v>45832</v>
      </c>
      <c r="D530" t="inlineStr">
        <is>
          <t>NORRBOTTENS LÄN</t>
        </is>
      </c>
      <c r="E530" t="inlineStr">
        <is>
          <t>BODEN</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57895-2021</t>
        </is>
      </c>
      <c r="B531" s="1" t="n">
        <v>44486</v>
      </c>
      <c r="C531" s="1" t="n">
        <v>45832</v>
      </c>
      <c r="D531" t="inlineStr">
        <is>
          <t>NORRBOTTENS LÄN</t>
        </is>
      </c>
      <c r="E531" t="inlineStr">
        <is>
          <t>BODEN</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58036-2021</t>
        </is>
      </c>
      <c r="B532" s="1" t="n">
        <v>44487</v>
      </c>
      <c r="C532" s="1" t="n">
        <v>45832</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58101-2021</t>
        </is>
      </c>
      <c r="B533" s="1" t="n">
        <v>44487</v>
      </c>
      <c r="C533" s="1" t="n">
        <v>45832</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58877-2021</t>
        </is>
      </c>
      <c r="B534" s="1" t="n">
        <v>44489</v>
      </c>
      <c r="C534" s="1" t="n">
        <v>45832</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58898-2021</t>
        </is>
      </c>
      <c r="B535" s="1" t="n">
        <v>44489</v>
      </c>
      <c r="C535" s="1" t="n">
        <v>45832</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58977-2021</t>
        </is>
      </c>
      <c r="B536" s="1" t="n">
        <v>44489</v>
      </c>
      <c r="C536" s="1" t="n">
        <v>45832</v>
      </c>
      <c r="D536" t="inlineStr">
        <is>
          <t>NORRBOTTENS LÄN</t>
        </is>
      </c>
      <c r="E536" t="inlineStr">
        <is>
          <t>BODEN</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59331-2021</t>
        </is>
      </c>
      <c r="B537" s="1" t="n">
        <v>44490</v>
      </c>
      <c r="C537" s="1" t="n">
        <v>45832</v>
      </c>
      <c r="D537" t="inlineStr">
        <is>
          <t>NORRBOTTENS LÄN</t>
        </is>
      </c>
      <c r="E537" t="inlineStr">
        <is>
          <t>BODEN</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59540-2021</t>
        </is>
      </c>
      <c r="B538" s="1" t="n">
        <v>44491</v>
      </c>
      <c r="C538" s="1" t="n">
        <v>45832</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61412-2021</t>
        </is>
      </c>
      <c r="B539" s="1" t="n">
        <v>44500</v>
      </c>
      <c r="C539" s="1" t="n">
        <v>45832</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63790-2021</t>
        </is>
      </c>
      <c r="B540" s="1" t="n">
        <v>44509</v>
      </c>
      <c r="C540" s="1" t="n">
        <v>45832</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65218-2021</t>
        </is>
      </c>
      <c r="B541" s="1" t="n">
        <v>44515</v>
      </c>
      <c r="C541" s="1" t="n">
        <v>45832</v>
      </c>
      <c r="D541" t="inlineStr">
        <is>
          <t>NORRBOTTENS LÄN</t>
        </is>
      </c>
      <c r="E541" t="inlineStr">
        <is>
          <t>BODEN</t>
        </is>
      </c>
      <c r="G541" t="n">
        <v>5.8</v>
      </c>
      <c r="H541" t="n">
        <v>0</v>
      </c>
      <c r="I541" t="n">
        <v>0</v>
      </c>
      <c r="J541" t="n">
        <v>0</v>
      </c>
      <c r="K541" t="n">
        <v>0</v>
      </c>
      <c r="L541" t="n">
        <v>0</v>
      </c>
      <c r="M541" t="n">
        <v>0</v>
      </c>
      <c r="N541" t="n">
        <v>0</v>
      </c>
      <c r="O541" t="n">
        <v>0</v>
      </c>
      <c r="P541" t="n">
        <v>0</v>
      </c>
      <c r="Q541" t="n">
        <v>0</v>
      </c>
      <c r="R541" s="2" t="inlineStr"/>
    </row>
    <row r="542" ht="15" customHeight="1">
      <c r="A542" t="inlineStr">
        <is>
          <t>A 65225-2021</t>
        </is>
      </c>
      <c r="B542" s="1" t="n">
        <v>44515</v>
      </c>
      <c r="C542" s="1" t="n">
        <v>45832</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66464-2021</t>
        </is>
      </c>
      <c r="B543" s="1" t="n">
        <v>44518</v>
      </c>
      <c r="C543" s="1" t="n">
        <v>45832</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v>
      </c>
      <c r="C544" s="1" t="n">
        <v>45832</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67430-2021</t>
        </is>
      </c>
      <c r="B545" s="1" t="n">
        <v>44524</v>
      </c>
      <c r="C545" s="1" t="n">
        <v>45832</v>
      </c>
      <c r="D545" t="inlineStr">
        <is>
          <t>NORRBOTTENS LÄN</t>
        </is>
      </c>
      <c r="E545" t="inlineStr">
        <is>
          <t>BODEN</t>
        </is>
      </c>
      <c r="G545" t="n">
        <v>10.6</v>
      </c>
      <c r="H545" t="n">
        <v>0</v>
      </c>
      <c r="I545" t="n">
        <v>0</v>
      </c>
      <c r="J545" t="n">
        <v>0</v>
      </c>
      <c r="K545" t="n">
        <v>0</v>
      </c>
      <c r="L545" t="n">
        <v>0</v>
      </c>
      <c r="M545" t="n">
        <v>0</v>
      </c>
      <c r="N545" t="n">
        <v>0</v>
      </c>
      <c r="O545" t="n">
        <v>0</v>
      </c>
      <c r="P545" t="n">
        <v>0</v>
      </c>
      <c r="Q545" t="n">
        <v>0</v>
      </c>
      <c r="R545" s="2" t="inlineStr"/>
    </row>
    <row r="546" ht="15" customHeight="1">
      <c r="A546" t="inlineStr">
        <is>
          <t>A 67438-2021</t>
        </is>
      </c>
      <c r="B546" s="1" t="n">
        <v>44524</v>
      </c>
      <c r="C546" s="1" t="n">
        <v>45832</v>
      </c>
      <c r="D546" t="inlineStr">
        <is>
          <t>NORRBOTTENS LÄN</t>
        </is>
      </c>
      <c r="E546" t="inlineStr">
        <is>
          <t>BODEN</t>
        </is>
      </c>
      <c r="G546" t="n">
        <v>3.2</v>
      </c>
      <c r="H546" t="n">
        <v>0</v>
      </c>
      <c r="I546" t="n">
        <v>0</v>
      </c>
      <c r="J546" t="n">
        <v>0</v>
      </c>
      <c r="K546" t="n">
        <v>0</v>
      </c>
      <c r="L546" t="n">
        <v>0</v>
      </c>
      <c r="M546" t="n">
        <v>0</v>
      </c>
      <c r="N546" t="n">
        <v>0</v>
      </c>
      <c r="O546" t="n">
        <v>0</v>
      </c>
      <c r="P546" t="n">
        <v>0</v>
      </c>
      <c r="Q546" t="n">
        <v>0</v>
      </c>
      <c r="R546" s="2" t="inlineStr"/>
    </row>
    <row r="547" ht="15" customHeight="1">
      <c r="A547" t="inlineStr">
        <is>
          <t>A 68569-2021</t>
        </is>
      </c>
      <c r="B547" s="1" t="n">
        <v>44529</v>
      </c>
      <c r="C547" s="1" t="n">
        <v>45832</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68591-2021</t>
        </is>
      </c>
      <c r="B548" s="1" t="n">
        <v>44529</v>
      </c>
      <c r="C548" s="1" t="n">
        <v>45832</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68560-2021</t>
        </is>
      </c>
      <c r="B549" s="1" t="n">
        <v>44529</v>
      </c>
      <c r="C549" s="1" t="n">
        <v>45832</v>
      </c>
      <c r="D549" t="inlineStr">
        <is>
          <t>NORRBOTTENS LÄN</t>
        </is>
      </c>
      <c r="E549" t="inlineStr">
        <is>
          <t>BODEN</t>
        </is>
      </c>
      <c r="G549" t="n">
        <v>3.5</v>
      </c>
      <c r="H549" t="n">
        <v>0</v>
      </c>
      <c r="I549" t="n">
        <v>0</v>
      </c>
      <c r="J549" t="n">
        <v>0</v>
      </c>
      <c r="K549" t="n">
        <v>0</v>
      </c>
      <c r="L549" t="n">
        <v>0</v>
      </c>
      <c r="M549" t="n">
        <v>0</v>
      </c>
      <c r="N549" t="n">
        <v>0</v>
      </c>
      <c r="O549" t="n">
        <v>0</v>
      </c>
      <c r="P549" t="n">
        <v>0</v>
      </c>
      <c r="Q549" t="n">
        <v>0</v>
      </c>
      <c r="R549" s="2" t="inlineStr"/>
    </row>
    <row r="550" ht="15" customHeight="1">
      <c r="A550" t="inlineStr">
        <is>
          <t>A 68514-2021</t>
        </is>
      </c>
      <c r="B550" s="1" t="n">
        <v>44529</v>
      </c>
      <c r="C550" s="1" t="n">
        <v>45832</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68565-2021</t>
        </is>
      </c>
      <c r="B551" s="1" t="n">
        <v>44529</v>
      </c>
      <c r="C551" s="1" t="n">
        <v>45832</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68589-2021</t>
        </is>
      </c>
      <c r="B552" s="1" t="n">
        <v>44529</v>
      </c>
      <c r="C552" s="1" t="n">
        <v>45832</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68611-2021</t>
        </is>
      </c>
      <c r="B553" s="1" t="n">
        <v>44529</v>
      </c>
      <c r="C553" s="1" t="n">
        <v>45832</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68914-2021</t>
        </is>
      </c>
      <c r="B554" s="1" t="n">
        <v>44530</v>
      </c>
      <c r="C554" s="1" t="n">
        <v>45832</v>
      </c>
      <c r="D554" t="inlineStr">
        <is>
          <t>NORRBOTTENS LÄN</t>
        </is>
      </c>
      <c r="E554" t="inlineStr">
        <is>
          <t>BODEN</t>
        </is>
      </c>
      <c r="G554" t="n">
        <v>1.2</v>
      </c>
      <c r="H554" t="n">
        <v>0</v>
      </c>
      <c r="I554" t="n">
        <v>0</v>
      </c>
      <c r="J554" t="n">
        <v>0</v>
      </c>
      <c r="K554" t="n">
        <v>0</v>
      </c>
      <c r="L554" t="n">
        <v>0</v>
      </c>
      <c r="M554" t="n">
        <v>0</v>
      </c>
      <c r="N554" t="n">
        <v>0</v>
      </c>
      <c r="O554" t="n">
        <v>0</v>
      </c>
      <c r="P554" t="n">
        <v>0</v>
      </c>
      <c r="Q554" t="n">
        <v>0</v>
      </c>
      <c r="R554" s="2" t="inlineStr"/>
    </row>
    <row r="555" ht="15" customHeight="1">
      <c r="A555" t="inlineStr">
        <is>
          <t>A 69124-2021</t>
        </is>
      </c>
      <c r="B555" s="1" t="n">
        <v>44530</v>
      </c>
      <c r="C555" s="1" t="n">
        <v>45832</v>
      </c>
      <c r="D555" t="inlineStr">
        <is>
          <t>NORRBOTTENS LÄN</t>
        </is>
      </c>
      <c r="E555" t="inlineStr">
        <is>
          <t>BODEN</t>
        </is>
      </c>
      <c r="G555" t="n">
        <v>3.7</v>
      </c>
      <c r="H555" t="n">
        <v>0</v>
      </c>
      <c r="I555" t="n">
        <v>0</v>
      </c>
      <c r="J555" t="n">
        <v>0</v>
      </c>
      <c r="K555" t="n">
        <v>0</v>
      </c>
      <c r="L555" t="n">
        <v>0</v>
      </c>
      <c r="M555" t="n">
        <v>0</v>
      </c>
      <c r="N555" t="n">
        <v>0</v>
      </c>
      <c r="O555" t="n">
        <v>0</v>
      </c>
      <c r="P555" t="n">
        <v>0</v>
      </c>
      <c r="Q555" t="n">
        <v>0</v>
      </c>
      <c r="R555" s="2" t="inlineStr"/>
    </row>
    <row r="556" ht="15" customHeight="1">
      <c r="A556" t="inlineStr">
        <is>
          <t>A 69808-2021</t>
        </is>
      </c>
      <c r="B556" s="1" t="n">
        <v>44532</v>
      </c>
      <c r="C556" s="1" t="n">
        <v>45832</v>
      </c>
      <c r="D556" t="inlineStr">
        <is>
          <t>NORRBOTTENS LÄN</t>
        </is>
      </c>
      <c r="E556" t="inlineStr">
        <is>
          <t>BODEN</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70956-2021</t>
        </is>
      </c>
      <c r="B557" s="1" t="n">
        <v>44538</v>
      </c>
      <c r="C557" s="1" t="n">
        <v>45832</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71833-2021</t>
        </is>
      </c>
      <c r="B558" s="1" t="n">
        <v>44543</v>
      </c>
      <c r="C558" s="1" t="n">
        <v>45832</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73910-2021</t>
        </is>
      </c>
      <c r="B559" s="1" t="n">
        <v>44552</v>
      </c>
      <c r="C559" s="1" t="n">
        <v>45832</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74264-2021</t>
        </is>
      </c>
      <c r="B560" s="1" t="n">
        <v>44558</v>
      </c>
      <c r="C560" s="1" t="n">
        <v>45832</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452-2022</t>
        </is>
      </c>
      <c r="B561" s="1" t="n">
        <v>44565</v>
      </c>
      <c r="C561" s="1" t="n">
        <v>45832</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467-2022</t>
        </is>
      </c>
      <c r="B562" s="1" t="n">
        <v>44565</v>
      </c>
      <c r="C562" s="1" t="n">
        <v>45832</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446-2022</t>
        </is>
      </c>
      <c r="B563" s="1" t="n">
        <v>44565</v>
      </c>
      <c r="C563" s="1" t="n">
        <v>45832</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706-2022</t>
        </is>
      </c>
      <c r="B564" s="1" t="n">
        <v>44566</v>
      </c>
      <c r="C564" s="1" t="n">
        <v>45832</v>
      </c>
      <c r="D564" t="inlineStr">
        <is>
          <t>NORRBOTTENS LÄN</t>
        </is>
      </c>
      <c r="E564" t="inlineStr">
        <is>
          <t>BODEN</t>
        </is>
      </c>
      <c r="G564" t="n">
        <v>12.4</v>
      </c>
      <c r="H564" t="n">
        <v>0</v>
      </c>
      <c r="I564" t="n">
        <v>0</v>
      </c>
      <c r="J564" t="n">
        <v>0</v>
      </c>
      <c r="K564" t="n">
        <v>0</v>
      </c>
      <c r="L564" t="n">
        <v>0</v>
      </c>
      <c r="M564" t="n">
        <v>0</v>
      </c>
      <c r="N564" t="n">
        <v>0</v>
      </c>
      <c r="O564" t="n">
        <v>0</v>
      </c>
      <c r="P564" t="n">
        <v>0</v>
      </c>
      <c r="Q564" t="n">
        <v>0</v>
      </c>
      <c r="R564" s="2" t="inlineStr"/>
    </row>
    <row r="565" ht="15" customHeight="1">
      <c r="A565" t="inlineStr">
        <is>
          <t>A 710-2022</t>
        </is>
      </c>
      <c r="B565" s="1" t="n">
        <v>44566</v>
      </c>
      <c r="C565" s="1" t="n">
        <v>45832</v>
      </c>
      <c r="D565" t="inlineStr">
        <is>
          <t>NORRBOTTENS LÄN</t>
        </is>
      </c>
      <c r="E565" t="inlineStr">
        <is>
          <t>BODEN</t>
        </is>
      </c>
      <c r="G565" t="n">
        <v>4.6</v>
      </c>
      <c r="H565" t="n">
        <v>0</v>
      </c>
      <c r="I565" t="n">
        <v>0</v>
      </c>
      <c r="J565" t="n">
        <v>0</v>
      </c>
      <c r="K565" t="n">
        <v>0</v>
      </c>
      <c r="L565" t="n">
        <v>0</v>
      </c>
      <c r="M565" t="n">
        <v>0</v>
      </c>
      <c r="N565" t="n">
        <v>0</v>
      </c>
      <c r="O565" t="n">
        <v>0</v>
      </c>
      <c r="P565" t="n">
        <v>0</v>
      </c>
      <c r="Q565" t="n">
        <v>0</v>
      </c>
      <c r="R565" s="2" t="inlineStr"/>
    </row>
    <row r="566" ht="15" customHeight="1">
      <c r="A566" t="inlineStr">
        <is>
          <t>A 711-2022</t>
        </is>
      </c>
      <c r="B566" s="1" t="n">
        <v>44566</v>
      </c>
      <c r="C566" s="1" t="n">
        <v>45832</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714-2022</t>
        </is>
      </c>
      <c r="B567" s="1" t="n">
        <v>44566</v>
      </c>
      <c r="C567" s="1" t="n">
        <v>45832</v>
      </c>
      <c r="D567" t="inlineStr">
        <is>
          <t>NORRBOTTENS LÄN</t>
        </is>
      </c>
      <c r="E567" t="inlineStr">
        <is>
          <t>BODEN</t>
        </is>
      </c>
      <c r="G567" t="n">
        <v>5.6</v>
      </c>
      <c r="H567" t="n">
        <v>0</v>
      </c>
      <c r="I567" t="n">
        <v>0</v>
      </c>
      <c r="J567" t="n">
        <v>0</v>
      </c>
      <c r="K567" t="n">
        <v>0</v>
      </c>
      <c r="L567" t="n">
        <v>0</v>
      </c>
      <c r="M567" t="n">
        <v>0</v>
      </c>
      <c r="N567" t="n">
        <v>0</v>
      </c>
      <c r="O567" t="n">
        <v>0</v>
      </c>
      <c r="P567" t="n">
        <v>0</v>
      </c>
      <c r="Q567" t="n">
        <v>0</v>
      </c>
      <c r="R567" s="2" t="inlineStr"/>
    </row>
    <row r="568" ht="15" customHeight="1">
      <c r="A568" t="inlineStr">
        <is>
          <t>A 708-2022</t>
        </is>
      </c>
      <c r="B568" s="1" t="n">
        <v>44566</v>
      </c>
      <c r="C568" s="1" t="n">
        <v>45832</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718-2022</t>
        </is>
      </c>
      <c r="B569" s="1" t="n">
        <v>44568</v>
      </c>
      <c r="C569" s="1" t="n">
        <v>45832</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1454-2022</t>
        </is>
      </c>
      <c r="B570" s="1" t="n">
        <v>44573</v>
      </c>
      <c r="C570" s="1" t="n">
        <v>45832</v>
      </c>
      <c r="D570" t="inlineStr">
        <is>
          <t>NORRBOTTENS LÄN</t>
        </is>
      </c>
      <c r="E570" t="inlineStr">
        <is>
          <t>BODEN</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45832</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1447-2022</t>
        </is>
      </c>
      <c r="B572" s="1" t="n">
        <v>44573</v>
      </c>
      <c r="C572" s="1" t="n">
        <v>45832</v>
      </c>
      <c r="D572" t="inlineStr">
        <is>
          <t>NORRBOTTENS LÄN</t>
        </is>
      </c>
      <c r="E572" t="inlineStr">
        <is>
          <t>BODEN</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45832</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2100-2022</t>
        </is>
      </c>
      <c r="B574" s="1" t="n">
        <v>44577</v>
      </c>
      <c r="C574" s="1" t="n">
        <v>45832</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3462-2022</t>
        </is>
      </c>
      <c r="B575" s="1" t="n">
        <v>44585</v>
      </c>
      <c r="C575" s="1" t="n">
        <v>45832</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4975-2022</t>
        </is>
      </c>
      <c r="B576" s="1" t="n">
        <v>44593</v>
      </c>
      <c r="C576" s="1" t="n">
        <v>45832</v>
      </c>
      <c r="D576" t="inlineStr">
        <is>
          <t>NORRBOTTENS LÄN</t>
        </is>
      </c>
      <c r="E576" t="inlineStr">
        <is>
          <t>BODEN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5733-2022</t>
        </is>
      </c>
      <c r="B577" s="1" t="n">
        <v>44596</v>
      </c>
      <c r="C577" s="1" t="n">
        <v>45832</v>
      </c>
      <c r="D577" t="inlineStr">
        <is>
          <t>NORRBOTTENS LÄN</t>
        </is>
      </c>
      <c r="E577" t="inlineStr">
        <is>
          <t>BODEN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6181-2022</t>
        </is>
      </c>
      <c r="B578" s="1" t="n">
        <v>44600</v>
      </c>
      <c r="C578" s="1" t="n">
        <v>45832</v>
      </c>
      <c r="D578" t="inlineStr">
        <is>
          <t>NORRBOTTENS LÄN</t>
        </is>
      </c>
      <c r="E578" t="inlineStr">
        <is>
          <t>BODEN</t>
        </is>
      </c>
      <c r="F578" t="inlineStr">
        <is>
          <t>Sveaskog</t>
        </is>
      </c>
      <c r="G578" t="n">
        <v>7.7</v>
      </c>
      <c r="H578" t="n">
        <v>0</v>
      </c>
      <c r="I578" t="n">
        <v>0</v>
      </c>
      <c r="J578" t="n">
        <v>0</v>
      </c>
      <c r="K578" t="n">
        <v>0</v>
      </c>
      <c r="L578" t="n">
        <v>0</v>
      </c>
      <c r="M578" t="n">
        <v>0</v>
      </c>
      <c r="N578" t="n">
        <v>0</v>
      </c>
      <c r="O578" t="n">
        <v>0</v>
      </c>
      <c r="P578" t="n">
        <v>0</v>
      </c>
      <c r="Q578" t="n">
        <v>0</v>
      </c>
      <c r="R578" s="2" t="inlineStr"/>
    </row>
    <row r="579" ht="15" customHeight="1">
      <c r="A579" t="inlineStr">
        <is>
          <t>A 6738-2022</t>
        </is>
      </c>
      <c r="B579" s="1" t="n">
        <v>44602</v>
      </c>
      <c r="C579" s="1" t="n">
        <v>45832</v>
      </c>
      <c r="D579" t="inlineStr">
        <is>
          <t>NORRBOTTENS LÄN</t>
        </is>
      </c>
      <c r="E579" t="inlineStr">
        <is>
          <t>BODEN</t>
        </is>
      </c>
      <c r="G579" t="n">
        <v>6.5</v>
      </c>
      <c r="H579" t="n">
        <v>0</v>
      </c>
      <c r="I579" t="n">
        <v>0</v>
      </c>
      <c r="J579" t="n">
        <v>0</v>
      </c>
      <c r="K579" t="n">
        <v>0</v>
      </c>
      <c r="L579" t="n">
        <v>0</v>
      </c>
      <c r="M579" t="n">
        <v>0</v>
      </c>
      <c r="N579" t="n">
        <v>0</v>
      </c>
      <c r="O579" t="n">
        <v>0</v>
      </c>
      <c r="P579" t="n">
        <v>0</v>
      </c>
      <c r="Q579" t="n">
        <v>0</v>
      </c>
      <c r="R579" s="2" t="inlineStr"/>
    </row>
    <row r="580" ht="15" customHeight="1">
      <c r="A580" t="inlineStr">
        <is>
          <t>A 8112-2022</t>
        </is>
      </c>
      <c r="B580" s="1" t="n">
        <v>44609</v>
      </c>
      <c r="C580" s="1" t="n">
        <v>45832</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8120-2022</t>
        </is>
      </c>
      <c r="B581" s="1" t="n">
        <v>44609</v>
      </c>
      <c r="C581" s="1" t="n">
        <v>45832</v>
      </c>
      <c r="D581" t="inlineStr">
        <is>
          <t>NORRBOTTENS LÄN</t>
        </is>
      </c>
      <c r="E581" t="inlineStr">
        <is>
          <t>BODEN</t>
        </is>
      </c>
      <c r="G581" t="n">
        <v>1.7</v>
      </c>
      <c r="H581" t="n">
        <v>0</v>
      </c>
      <c r="I581" t="n">
        <v>0</v>
      </c>
      <c r="J581" t="n">
        <v>0</v>
      </c>
      <c r="K581" t="n">
        <v>0</v>
      </c>
      <c r="L581" t="n">
        <v>0</v>
      </c>
      <c r="M581" t="n">
        <v>0</v>
      </c>
      <c r="N581" t="n">
        <v>0</v>
      </c>
      <c r="O581" t="n">
        <v>0</v>
      </c>
      <c r="P581" t="n">
        <v>0</v>
      </c>
      <c r="Q581" t="n">
        <v>0</v>
      </c>
      <c r="R581" s="2" t="inlineStr"/>
    </row>
    <row r="582" ht="15" customHeight="1">
      <c r="A582" t="inlineStr">
        <is>
          <t>A 8078-2022</t>
        </is>
      </c>
      <c r="B582" s="1" t="n">
        <v>44609</v>
      </c>
      <c r="C582" s="1" t="n">
        <v>45832</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8125-2022</t>
        </is>
      </c>
      <c r="B583" s="1" t="n">
        <v>44609</v>
      </c>
      <c r="C583" s="1" t="n">
        <v>45832</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8118-2022</t>
        </is>
      </c>
      <c r="B584" s="1" t="n">
        <v>44609</v>
      </c>
      <c r="C584" s="1" t="n">
        <v>45832</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8123-2022</t>
        </is>
      </c>
      <c r="B585" s="1" t="n">
        <v>44609</v>
      </c>
      <c r="C585" s="1" t="n">
        <v>45832</v>
      </c>
      <c r="D585" t="inlineStr">
        <is>
          <t>NORRBOTTENS LÄN</t>
        </is>
      </c>
      <c r="E585" t="inlineStr">
        <is>
          <t>BODEN</t>
        </is>
      </c>
      <c r="G585" t="n">
        <v>1.8</v>
      </c>
      <c r="H585" t="n">
        <v>0</v>
      </c>
      <c r="I585" t="n">
        <v>0</v>
      </c>
      <c r="J585" t="n">
        <v>0</v>
      </c>
      <c r="K585" t="n">
        <v>0</v>
      </c>
      <c r="L585" t="n">
        <v>0</v>
      </c>
      <c r="M585" t="n">
        <v>0</v>
      </c>
      <c r="N585" t="n">
        <v>0</v>
      </c>
      <c r="O585" t="n">
        <v>0</v>
      </c>
      <c r="P585" t="n">
        <v>0</v>
      </c>
      <c r="Q585" t="n">
        <v>0</v>
      </c>
      <c r="R585" s="2" t="inlineStr"/>
    </row>
    <row r="586" ht="15" customHeight="1">
      <c r="A586" t="inlineStr">
        <is>
          <t>A 8121-2022</t>
        </is>
      </c>
      <c r="B586" s="1" t="n">
        <v>44609</v>
      </c>
      <c r="C586" s="1" t="n">
        <v>45832</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8776-2022</t>
        </is>
      </c>
      <c r="B587" s="1" t="n">
        <v>44614</v>
      </c>
      <c r="C587" s="1" t="n">
        <v>45832</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9494-2022</t>
        </is>
      </c>
      <c r="B588" s="1" t="n">
        <v>44616</v>
      </c>
      <c r="C588" s="1" t="n">
        <v>45832</v>
      </c>
      <c r="D588" t="inlineStr">
        <is>
          <t>NORRBOTTENS LÄN</t>
        </is>
      </c>
      <c r="E588" t="inlineStr">
        <is>
          <t>BODEN</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9495-2022</t>
        </is>
      </c>
      <c r="B589" s="1" t="n">
        <v>44616</v>
      </c>
      <c r="C589" s="1" t="n">
        <v>45832</v>
      </c>
      <c r="D589" t="inlineStr">
        <is>
          <t>NORRBOTTENS LÄN</t>
        </is>
      </c>
      <c r="E589" t="inlineStr">
        <is>
          <t>BODEN</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9530-2022</t>
        </is>
      </c>
      <c r="B590" s="1" t="n">
        <v>44617</v>
      </c>
      <c r="C590" s="1" t="n">
        <v>45832</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9527-2022</t>
        </is>
      </c>
      <c r="B591" s="1" t="n">
        <v>44617</v>
      </c>
      <c r="C591" s="1" t="n">
        <v>45832</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10216-2022</t>
        </is>
      </c>
      <c r="B592" s="1" t="n">
        <v>44622</v>
      </c>
      <c r="C592" s="1" t="n">
        <v>45832</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10709-2022</t>
        </is>
      </c>
      <c r="B593" s="1" t="n">
        <v>44625</v>
      </c>
      <c r="C593" s="1" t="n">
        <v>45832</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11092-2022</t>
        </is>
      </c>
      <c r="B594" s="1" t="n">
        <v>44628</v>
      </c>
      <c r="C594" s="1" t="n">
        <v>45832</v>
      </c>
      <c r="D594" t="inlineStr">
        <is>
          <t>NORRBOTTENS LÄN</t>
        </is>
      </c>
      <c r="E594" t="inlineStr">
        <is>
          <t>BODEN</t>
        </is>
      </c>
      <c r="G594" t="n">
        <v>4.8</v>
      </c>
      <c r="H594" t="n">
        <v>0</v>
      </c>
      <c r="I594" t="n">
        <v>0</v>
      </c>
      <c r="J594" t="n">
        <v>0</v>
      </c>
      <c r="K594" t="n">
        <v>0</v>
      </c>
      <c r="L594" t="n">
        <v>0</v>
      </c>
      <c r="M594" t="n">
        <v>0</v>
      </c>
      <c r="N594" t="n">
        <v>0</v>
      </c>
      <c r="O594" t="n">
        <v>0</v>
      </c>
      <c r="P594" t="n">
        <v>0</v>
      </c>
      <c r="Q594" t="n">
        <v>0</v>
      </c>
      <c r="R594" s="2" t="inlineStr"/>
    </row>
    <row r="595" ht="15" customHeight="1">
      <c r="A595" t="inlineStr">
        <is>
          <t>A 11935-2022</t>
        </is>
      </c>
      <c r="B595" s="1" t="n">
        <v>44635</v>
      </c>
      <c r="C595" s="1" t="n">
        <v>45832</v>
      </c>
      <c r="D595" t="inlineStr">
        <is>
          <t>NORRBOTTENS LÄN</t>
        </is>
      </c>
      <c r="E595" t="inlineStr">
        <is>
          <t>BODEN</t>
        </is>
      </c>
      <c r="F595" t="inlineStr">
        <is>
          <t>Kyrkan</t>
        </is>
      </c>
      <c r="G595" t="n">
        <v>16.5</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45832</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12902-2022</t>
        </is>
      </c>
      <c r="B597" s="1" t="n">
        <v>44642</v>
      </c>
      <c r="C597" s="1" t="n">
        <v>45832</v>
      </c>
      <c r="D597" t="inlineStr">
        <is>
          <t>NORRBOTTENS LÄN</t>
        </is>
      </c>
      <c r="E597" t="inlineStr">
        <is>
          <t>BODEN</t>
        </is>
      </c>
      <c r="F597" t="inlineStr">
        <is>
          <t>Övriga statliga verk och myndigheter</t>
        </is>
      </c>
      <c r="G597" t="n">
        <v>5.4</v>
      </c>
      <c r="H597" t="n">
        <v>0</v>
      </c>
      <c r="I597" t="n">
        <v>0</v>
      </c>
      <c r="J597" t="n">
        <v>0</v>
      </c>
      <c r="K597" t="n">
        <v>0</v>
      </c>
      <c r="L597" t="n">
        <v>0</v>
      </c>
      <c r="M597" t="n">
        <v>0</v>
      </c>
      <c r="N597" t="n">
        <v>0</v>
      </c>
      <c r="O597" t="n">
        <v>0</v>
      </c>
      <c r="P597" t="n">
        <v>0</v>
      </c>
      <c r="Q597" t="n">
        <v>0</v>
      </c>
      <c r="R597" s="2" t="inlineStr"/>
    </row>
    <row r="598" ht="15" customHeight="1">
      <c r="A598" t="inlineStr">
        <is>
          <t>A 12893-2022</t>
        </is>
      </c>
      <c r="B598" s="1" t="n">
        <v>44642</v>
      </c>
      <c r="C598" s="1" t="n">
        <v>45832</v>
      </c>
      <c r="D598" t="inlineStr">
        <is>
          <t>NORRBOTTENS LÄN</t>
        </is>
      </c>
      <c r="E598" t="inlineStr">
        <is>
          <t>BODEN</t>
        </is>
      </c>
      <c r="F598" t="inlineStr">
        <is>
          <t>Övriga statliga verk och myndigheter</t>
        </is>
      </c>
      <c r="G598" t="n">
        <v>15.8</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45832</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13573-2022</t>
        </is>
      </c>
      <c r="B600" s="1" t="n">
        <v>44648</v>
      </c>
      <c r="C600" s="1" t="n">
        <v>45832</v>
      </c>
      <c r="D600" t="inlineStr">
        <is>
          <t>NORRBOTTENS LÄN</t>
        </is>
      </c>
      <c r="E600" t="inlineStr">
        <is>
          <t>BODEN</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13592-2022</t>
        </is>
      </c>
      <c r="B601" s="1" t="n">
        <v>44648</v>
      </c>
      <c r="C601" s="1" t="n">
        <v>45832</v>
      </c>
      <c r="D601" t="inlineStr">
        <is>
          <t>NORRBOTTENS LÄN</t>
        </is>
      </c>
      <c r="E601" t="inlineStr">
        <is>
          <t>BODEN</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13552-2022</t>
        </is>
      </c>
      <c r="B602" s="1" t="n">
        <v>44648</v>
      </c>
      <c r="C602" s="1" t="n">
        <v>45832</v>
      </c>
      <c r="D602" t="inlineStr">
        <is>
          <t>NORRBOTTENS LÄN</t>
        </is>
      </c>
      <c r="E602" t="inlineStr">
        <is>
          <t>BODEN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13577-2022</t>
        </is>
      </c>
      <c r="B603" s="1" t="n">
        <v>44648</v>
      </c>
      <c r="C603" s="1" t="n">
        <v>45832</v>
      </c>
      <c r="D603" t="inlineStr">
        <is>
          <t>NORRBOTTENS LÄN</t>
        </is>
      </c>
      <c r="E603" t="inlineStr">
        <is>
          <t>BODEN</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13535-2022</t>
        </is>
      </c>
      <c r="B604" s="1" t="n">
        <v>44648</v>
      </c>
      <c r="C604" s="1" t="n">
        <v>45832</v>
      </c>
      <c r="D604" t="inlineStr">
        <is>
          <t>NORRBOTTENS LÄN</t>
        </is>
      </c>
      <c r="E604" t="inlineStr">
        <is>
          <t>BODEN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13568-2022</t>
        </is>
      </c>
      <c r="B605" s="1" t="n">
        <v>44648</v>
      </c>
      <c r="C605" s="1" t="n">
        <v>45832</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13663-2022</t>
        </is>
      </c>
      <c r="B606" s="1" t="n">
        <v>44648</v>
      </c>
      <c r="C606" s="1" t="n">
        <v>45832</v>
      </c>
      <c r="D606" t="inlineStr">
        <is>
          <t>NORRBOTTENS LÄN</t>
        </is>
      </c>
      <c r="E606" t="inlineStr">
        <is>
          <t>BODEN</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13715-2022</t>
        </is>
      </c>
      <c r="B607" s="1" t="n">
        <v>44648</v>
      </c>
      <c r="C607" s="1" t="n">
        <v>45832</v>
      </c>
      <c r="D607" t="inlineStr">
        <is>
          <t>NORRBOTTENS LÄN</t>
        </is>
      </c>
      <c r="E607" t="inlineStr">
        <is>
          <t>BODEN</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13659-2022</t>
        </is>
      </c>
      <c r="B608" s="1" t="n">
        <v>44648</v>
      </c>
      <c r="C608" s="1" t="n">
        <v>45832</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13714-2022</t>
        </is>
      </c>
      <c r="B609" s="1" t="n">
        <v>44648</v>
      </c>
      <c r="C609" s="1" t="n">
        <v>45832</v>
      </c>
      <c r="D609" t="inlineStr">
        <is>
          <t>NORRBOTTENS LÄN</t>
        </is>
      </c>
      <c r="E609" t="inlineStr">
        <is>
          <t>BODEN</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14307-2022</t>
        </is>
      </c>
      <c r="B610" s="1" t="n">
        <v>44651</v>
      </c>
      <c r="C610" s="1" t="n">
        <v>45832</v>
      </c>
      <c r="D610" t="inlineStr">
        <is>
          <t>NORRBOTTENS LÄN</t>
        </is>
      </c>
      <c r="E610" t="inlineStr">
        <is>
          <t>BODEN</t>
        </is>
      </c>
      <c r="F610" t="inlineStr">
        <is>
          <t>SCA</t>
        </is>
      </c>
      <c r="G610" t="n">
        <v>17.2</v>
      </c>
      <c r="H610" t="n">
        <v>0</v>
      </c>
      <c r="I610" t="n">
        <v>0</v>
      </c>
      <c r="J610" t="n">
        <v>0</v>
      </c>
      <c r="K610" t="n">
        <v>0</v>
      </c>
      <c r="L610" t="n">
        <v>0</v>
      </c>
      <c r="M610" t="n">
        <v>0</v>
      </c>
      <c r="N610" t="n">
        <v>0</v>
      </c>
      <c r="O610" t="n">
        <v>0</v>
      </c>
      <c r="P610" t="n">
        <v>0</v>
      </c>
      <c r="Q610" t="n">
        <v>0</v>
      </c>
      <c r="R610" s="2" t="inlineStr"/>
    </row>
    <row r="611" ht="15" customHeight="1">
      <c r="A611" t="inlineStr">
        <is>
          <t>A 14545-2022</t>
        </is>
      </c>
      <c r="B611" s="1" t="n">
        <v>44657</v>
      </c>
      <c r="C611" s="1" t="n">
        <v>45832</v>
      </c>
      <c r="D611" t="inlineStr">
        <is>
          <t>NORRBOTTENS LÄN</t>
        </is>
      </c>
      <c r="E611" t="inlineStr">
        <is>
          <t>BODEN</t>
        </is>
      </c>
      <c r="G611" t="n">
        <v>4.1</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45832</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15017-2022</t>
        </is>
      </c>
      <c r="B613" s="1" t="n">
        <v>44657</v>
      </c>
      <c r="C613" s="1" t="n">
        <v>45832</v>
      </c>
      <c r="D613" t="inlineStr">
        <is>
          <t>NORRBOTTENS LÄN</t>
        </is>
      </c>
      <c r="E613" t="inlineStr">
        <is>
          <t>BODEN</t>
        </is>
      </c>
      <c r="G613" t="n">
        <v>3.7</v>
      </c>
      <c r="H613" t="n">
        <v>0</v>
      </c>
      <c r="I613" t="n">
        <v>0</v>
      </c>
      <c r="J613" t="n">
        <v>0</v>
      </c>
      <c r="K613" t="n">
        <v>0</v>
      </c>
      <c r="L613" t="n">
        <v>0</v>
      </c>
      <c r="M613" t="n">
        <v>0</v>
      </c>
      <c r="N613" t="n">
        <v>0</v>
      </c>
      <c r="O613" t="n">
        <v>0</v>
      </c>
      <c r="P613" t="n">
        <v>0</v>
      </c>
      <c r="Q613" t="n">
        <v>0</v>
      </c>
      <c r="R613" s="2" t="inlineStr"/>
    </row>
    <row r="614" ht="15" customHeight="1">
      <c r="A614" t="inlineStr">
        <is>
          <t>A 15000-2022</t>
        </is>
      </c>
      <c r="B614" s="1" t="n">
        <v>44657</v>
      </c>
      <c r="C614" s="1" t="n">
        <v>45832</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15406-2022</t>
        </is>
      </c>
      <c r="B615" s="1" t="n">
        <v>44659</v>
      </c>
      <c r="C615" s="1" t="n">
        <v>45832</v>
      </c>
      <c r="D615" t="inlineStr">
        <is>
          <t>NORRBOTTENS LÄN</t>
        </is>
      </c>
      <c r="E615" t="inlineStr">
        <is>
          <t>BODEN</t>
        </is>
      </c>
      <c r="G615" t="n">
        <v>11.2</v>
      </c>
      <c r="H615" t="n">
        <v>0</v>
      </c>
      <c r="I615" t="n">
        <v>0</v>
      </c>
      <c r="J615" t="n">
        <v>0</v>
      </c>
      <c r="K615" t="n">
        <v>0</v>
      </c>
      <c r="L615" t="n">
        <v>0</v>
      </c>
      <c r="M615" t="n">
        <v>0</v>
      </c>
      <c r="N615" t="n">
        <v>0</v>
      </c>
      <c r="O615" t="n">
        <v>0</v>
      </c>
      <c r="P615" t="n">
        <v>0</v>
      </c>
      <c r="Q615" t="n">
        <v>0</v>
      </c>
      <c r="R615" s="2" t="inlineStr"/>
    </row>
    <row r="616" ht="15" customHeight="1">
      <c r="A616" t="inlineStr">
        <is>
          <t>A 15807-2022</t>
        </is>
      </c>
      <c r="B616" s="1" t="n">
        <v>44663</v>
      </c>
      <c r="C616" s="1" t="n">
        <v>45832</v>
      </c>
      <c r="D616" t="inlineStr">
        <is>
          <t>NORRBOTTENS LÄN</t>
        </is>
      </c>
      <c r="E616" t="inlineStr">
        <is>
          <t>BODEN</t>
        </is>
      </c>
      <c r="F616" t="inlineStr">
        <is>
          <t>SCA</t>
        </is>
      </c>
      <c r="G616" t="n">
        <v>32.9</v>
      </c>
      <c r="H616" t="n">
        <v>0</v>
      </c>
      <c r="I616" t="n">
        <v>0</v>
      </c>
      <c r="J616" t="n">
        <v>0</v>
      </c>
      <c r="K616" t="n">
        <v>0</v>
      </c>
      <c r="L616" t="n">
        <v>0</v>
      </c>
      <c r="M616" t="n">
        <v>0</v>
      </c>
      <c r="N616" t="n">
        <v>0</v>
      </c>
      <c r="O616" t="n">
        <v>0</v>
      </c>
      <c r="P616" t="n">
        <v>0</v>
      </c>
      <c r="Q616" t="n">
        <v>0</v>
      </c>
      <c r="R616" s="2" t="inlineStr"/>
    </row>
    <row r="617" ht="15" customHeight="1">
      <c r="A617" t="inlineStr">
        <is>
          <t>A 16478-2022</t>
        </is>
      </c>
      <c r="B617" s="1" t="n">
        <v>44671</v>
      </c>
      <c r="C617" s="1" t="n">
        <v>45832</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16531-2022</t>
        </is>
      </c>
      <c r="B618" s="1" t="n">
        <v>44671</v>
      </c>
      <c r="C618" s="1" t="n">
        <v>45832</v>
      </c>
      <c r="D618" t="inlineStr">
        <is>
          <t>NORRBOTTENS LÄN</t>
        </is>
      </c>
      <c r="E618" t="inlineStr">
        <is>
          <t>BODEN</t>
        </is>
      </c>
      <c r="G618" t="n">
        <v>2</v>
      </c>
      <c r="H618" t="n">
        <v>0</v>
      </c>
      <c r="I618" t="n">
        <v>0</v>
      </c>
      <c r="J618" t="n">
        <v>0</v>
      </c>
      <c r="K618" t="n">
        <v>0</v>
      </c>
      <c r="L618" t="n">
        <v>0</v>
      </c>
      <c r="M618" t="n">
        <v>0</v>
      </c>
      <c r="N618" t="n">
        <v>0</v>
      </c>
      <c r="O618" t="n">
        <v>0</v>
      </c>
      <c r="P618" t="n">
        <v>0</v>
      </c>
      <c r="Q618" t="n">
        <v>0</v>
      </c>
      <c r="R618" s="2" t="inlineStr"/>
    </row>
    <row r="619" ht="15" customHeight="1">
      <c r="A619" t="inlineStr">
        <is>
          <t>A 16530-2022</t>
        </is>
      </c>
      <c r="B619" s="1" t="n">
        <v>44671</v>
      </c>
      <c r="C619" s="1" t="n">
        <v>45832</v>
      </c>
      <c r="D619" t="inlineStr">
        <is>
          <t>NORRBOTTENS LÄN</t>
        </is>
      </c>
      <c r="E619" t="inlineStr">
        <is>
          <t>BODEN</t>
        </is>
      </c>
      <c r="G619" t="n">
        <v>8.9</v>
      </c>
      <c r="H619" t="n">
        <v>0</v>
      </c>
      <c r="I619" t="n">
        <v>0</v>
      </c>
      <c r="J619" t="n">
        <v>0</v>
      </c>
      <c r="K619" t="n">
        <v>0</v>
      </c>
      <c r="L619" t="n">
        <v>0</v>
      </c>
      <c r="M619" t="n">
        <v>0</v>
      </c>
      <c r="N619" t="n">
        <v>0</v>
      </c>
      <c r="O619" t="n">
        <v>0</v>
      </c>
      <c r="P619" t="n">
        <v>0</v>
      </c>
      <c r="Q619" t="n">
        <v>0</v>
      </c>
      <c r="R619" s="2" t="inlineStr"/>
    </row>
    <row r="620" ht="15" customHeight="1">
      <c r="A620" t="inlineStr">
        <is>
          <t>A 16741-2022</t>
        </is>
      </c>
      <c r="B620" s="1" t="n">
        <v>44673</v>
      </c>
      <c r="C620" s="1" t="n">
        <v>45832</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17121-2022</t>
        </is>
      </c>
      <c r="B621" s="1" t="n">
        <v>44677</v>
      </c>
      <c r="C621" s="1" t="n">
        <v>45832</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17289-2022</t>
        </is>
      </c>
      <c r="B622" s="1" t="n">
        <v>44678</v>
      </c>
      <c r="C622" s="1" t="n">
        <v>45832</v>
      </c>
      <c r="D622" t="inlineStr">
        <is>
          <t>NORRBOTTENS LÄN</t>
        </is>
      </c>
      <c r="E622" t="inlineStr">
        <is>
          <t>BODEN</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19403-2022</t>
        </is>
      </c>
      <c r="B623" s="1" t="n">
        <v>44693</v>
      </c>
      <c r="C623" s="1" t="n">
        <v>45832</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19404-2022</t>
        </is>
      </c>
      <c r="B624" s="1" t="n">
        <v>44693</v>
      </c>
      <c r="C624" s="1" t="n">
        <v>45832</v>
      </c>
      <c r="D624" t="inlineStr">
        <is>
          <t>NORRBOTTENS LÄN</t>
        </is>
      </c>
      <c r="E624" t="inlineStr">
        <is>
          <t>BODEN</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21216-2022</t>
        </is>
      </c>
      <c r="B625" s="1" t="n">
        <v>44705</v>
      </c>
      <c r="C625" s="1" t="n">
        <v>45832</v>
      </c>
      <c r="D625" t="inlineStr">
        <is>
          <t>NORRBOTTENS LÄN</t>
        </is>
      </c>
      <c r="E625" t="inlineStr">
        <is>
          <t>BODEN</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45832</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21420-2022</t>
        </is>
      </c>
      <c r="B627" s="1" t="n">
        <v>44706</v>
      </c>
      <c r="C627" s="1" t="n">
        <v>45832</v>
      </c>
      <c r="D627" t="inlineStr">
        <is>
          <t>NORRBOTTENS LÄN</t>
        </is>
      </c>
      <c r="E627" t="inlineStr">
        <is>
          <t>BODEN</t>
        </is>
      </c>
      <c r="G627" t="n">
        <v>4</v>
      </c>
      <c r="H627" t="n">
        <v>0</v>
      </c>
      <c r="I627" t="n">
        <v>0</v>
      </c>
      <c r="J627" t="n">
        <v>0</v>
      </c>
      <c r="K627" t="n">
        <v>0</v>
      </c>
      <c r="L627" t="n">
        <v>0</v>
      </c>
      <c r="M627" t="n">
        <v>0</v>
      </c>
      <c r="N627" t="n">
        <v>0</v>
      </c>
      <c r="O627" t="n">
        <v>0</v>
      </c>
      <c r="P627" t="n">
        <v>0</v>
      </c>
      <c r="Q627" t="n">
        <v>0</v>
      </c>
      <c r="R627" s="2" t="inlineStr"/>
    </row>
    <row r="628" ht="15" customHeight="1">
      <c r="A628" t="inlineStr">
        <is>
          <t>A 22959-2022</t>
        </is>
      </c>
      <c r="B628" s="1" t="n">
        <v>44715</v>
      </c>
      <c r="C628" s="1" t="n">
        <v>45832</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23546-2022</t>
        </is>
      </c>
      <c r="B629" s="1" t="n">
        <v>44721</v>
      </c>
      <c r="C629" s="1" t="n">
        <v>45832</v>
      </c>
      <c r="D629" t="inlineStr">
        <is>
          <t>NORRBOTTENS LÄN</t>
        </is>
      </c>
      <c r="E629" t="inlineStr">
        <is>
          <t>BODEN</t>
        </is>
      </c>
      <c r="G629" t="n">
        <v>6.7</v>
      </c>
      <c r="H629" t="n">
        <v>0</v>
      </c>
      <c r="I629" t="n">
        <v>0</v>
      </c>
      <c r="J629" t="n">
        <v>0</v>
      </c>
      <c r="K629" t="n">
        <v>0</v>
      </c>
      <c r="L629" t="n">
        <v>0</v>
      </c>
      <c r="M629" t="n">
        <v>0</v>
      </c>
      <c r="N629" t="n">
        <v>0</v>
      </c>
      <c r="O629" t="n">
        <v>0</v>
      </c>
      <c r="P629" t="n">
        <v>0</v>
      </c>
      <c r="Q629" t="n">
        <v>0</v>
      </c>
      <c r="R629" s="2" t="inlineStr"/>
    </row>
    <row r="630" ht="15" customHeight="1">
      <c r="A630" t="inlineStr">
        <is>
          <t>A 23871-2022</t>
        </is>
      </c>
      <c r="B630" s="1" t="n">
        <v>44722</v>
      </c>
      <c r="C630" s="1" t="n">
        <v>45832</v>
      </c>
      <c r="D630" t="inlineStr">
        <is>
          <t>NORRBOTTENS LÄN</t>
        </is>
      </c>
      <c r="E630" t="inlineStr">
        <is>
          <t>BODEN</t>
        </is>
      </c>
      <c r="G630" t="n">
        <v>4.8</v>
      </c>
      <c r="H630" t="n">
        <v>0</v>
      </c>
      <c r="I630" t="n">
        <v>0</v>
      </c>
      <c r="J630" t="n">
        <v>0</v>
      </c>
      <c r="K630" t="n">
        <v>0</v>
      </c>
      <c r="L630" t="n">
        <v>0</v>
      </c>
      <c r="M630" t="n">
        <v>0</v>
      </c>
      <c r="N630" t="n">
        <v>0</v>
      </c>
      <c r="O630" t="n">
        <v>0</v>
      </c>
      <c r="P630" t="n">
        <v>0</v>
      </c>
      <c r="Q630" t="n">
        <v>0</v>
      </c>
      <c r="R630" s="2" t="inlineStr"/>
    </row>
    <row r="631" ht="15" customHeight="1">
      <c r="A631" t="inlineStr">
        <is>
          <t>A 24400-2022</t>
        </is>
      </c>
      <c r="B631" s="1" t="n">
        <v>44726</v>
      </c>
      <c r="C631" s="1" t="n">
        <v>45832</v>
      </c>
      <c r="D631" t="inlineStr">
        <is>
          <t>NORRBOTTENS LÄN</t>
        </is>
      </c>
      <c r="E631" t="inlineStr">
        <is>
          <t>BODEN</t>
        </is>
      </c>
      <c r="G631" t="n">
        <v>2</v>
      </c>
      <c r="H631" t="n">
        <v>0</v>
      </c>
      <c r="I631" t="n">
        <v>0</v>
      </c>
      <c r="J631" t="n">
        <v>0</v>
      </c>
      <c r="K631" t="n">
        <v>0</v>
      </c>
      <c r="L631" t="n">
        <v>0</v>
      </c>
      <c r="M631" t="n">
        <v>0</v>
      </c>
      <c r="N631" t="n">
        <v>0</v>
      </c>
      <c r="O631" t="n">
        <v>0</v>
      </c>
      <c r="P631" t="n">
        <v>0</v>
      </c>
      <c r="Q631" t="n">
        <v>0</v>
      </c>
      <c r="R631" s="2" t="inlineStr"/>
    </row>
    <row r="632" ht="15" customHeight="1">
      <c r="A632" t="inlineStr">
        <is>
          <t>A 24691-2022</t>
        </is>
      </c>
      <c r="B632" s="1" t="n">
        <v>44727</v>
      </c>
      <c r="C632" s="1" t="n">
        <v>45832</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25070-2022</t>
        </is>
      </c>
      <c r="B633" s="1" t="n">
        <v>44729</v>
      </c>
      <c r="C633" s="1" t="n">
        <v>45832</v>
      </c>
      <c r="D633" t="inlineStr">
        <is>
          <t>NORRBOTTENS LÄN</t>
        </is>
      </c>
      <c r="E633" t="inlineStr">
        <is>
          <t>BODEN</t>
        </is>
      </c>
      <c r="G633" t="n">
        <v>19.5</v>
      </c>
      <c r="H633" t="n">
        <v>0</v>
      </c>
      <c r="I633" t="n">
        <v>0</v>
      </c>
      <c r="J633" t="n">
        <v>0</v>
      </c>
      <c r="K633" t="n">
        <v>0</v>
      </c>
      <c r="L633" t="n">
        <v>0</v>
      </c>
      <c r="M633" t="n">
        <v>0</v>
      </c>
      <c r="N633" t="n">
        <v>0</v>
      </c>
      <c r="O633" t="n">
        <v>0</v>
      </c>
      <c r="P633" t="n">
        <v>0</v>
      </c>
      <c r="Q633" t="n">
        <v>0</v>
      </c>
      <c r="R633" s="2" t="inlineStr"/>
    </row>
    <row r="634" ht="15" customHeight="1">
      <c r="A634" t="inlineStr">
        <is>
          <t>A 25627-2022</t>
        </is>
      </c>
      <c r="B634" s="1" t="n">
        <v>44733</v>
      </c>
      <c r="C634" s="1" t="n">
        <v>45832</v>
      </c>
      <c r="D634" t="inlineStr">
        <is>
          <t>NORRBOTTENS LÄN</t>
        </is>
      </c>
      <c r="E634" t="inlineStr">
        <is>
          <t>BODEN</t>
        </is>
      </c>
      <c r="G634" t="n">
        <v>4.4</v>
      </c>
      <c r="H634" t="n">
        <v>0</v>
      </c>
      <c r="I634" t="n">
        <v>0</v>
      </c>
      <c r="J634" t="n">
        <v>0</v>
      </c>
      <c r="K634" t="n">
        <v>0</v>
      </c>
      <c r="L634" t="n">
        <v>0</v>
      </c>
      <c r="M634" t="n">
        <v>0</v>
      </c>
      <c r="N634" t="n">
        <v>0</v>
      </c>
      <c r="O634" t="n">
        <v>0</v>
      </c>
      <c r="P634" t="n">
        <v>0</v>
      </c>
      <c r="Q634" t="n">
        <v>0</v>
      </c>
      <c r="R634" s="2" t="inlineStr"/>
    </row>
    <row r="635" ht="15" customHeight="1">
      <c r="A635" t="inlineStr">
        <is>
          <t>A 26022-2022</t>
        </is>
      </c>
      <c r="B635" s="1" t="n">
        <v>44734</v>
      </c>
      <c r="C635" s="1" t="n">
        <v>45832</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26014-2022</t>
        </is>
      </c>
      <c r="B636" s="1" t="n">
        <v>44734</v>
      </c>
      <c r="C636" s="1" t="n">
        <v>45832</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26013-2022</t>
        </is>
      </c>
      <c r="B637" s="1" t="n">
        <v>44734</v>
      </c>
      <c r="C637" s="1" t="n">
        <v>45832</v>
      </c>
      <c r="D637" t="inlineStr">
        <is>
          <t>NORRBOTTENS LÄN</t>
        </is>
      </c>
      <c r="E637" t="inlineStr">
        <is>
          <t>BODEN</t>
        </is>
      </c>
      <c r="G637" t="n">
        <v>9.1</v>
      </c>
      <c r="H637" t="n">
        <v>0</v>
      </c>
      <c r="I637" t="n">
        <v>0</v>
      </c>
      <c r="J637" t="n">
        <v>0</v>
      </c>
      <c r="K637" t="n">
        <v>0</v>
      </c>
      <c r="L637" t="n">
        <v>0</v>
      </c>
      <c r="M637" t="n">
        <v>0</v>
      </c>
      <c r="N637" t="n">
        <v>0</v>
      </c>
      <c r="O637" t="n">
        <v>0</v>
      </c>
      <c r="P637" t="n">
        <v>0</v>
      </c>
      <c r="Q637" t="n">
        <v>0</v>
      </c>
      <c r="R637" s="2" t="inlineStr"/>
    </row>
    <row r="638" ht="15" customHeight="1">
      <c r="A638" t="inlineStr">
        <is>
          <t>A 26359-2022</t>
        </is>
      </c>
      <c r="B638" s="1" t="n">
        <v>44735</v>
      </c>
      <c r="C638" s="1" t="n">
        <v>45832</v>
      </c>
      <c r="D638" t="inlineStr">
        <is>
          <t>NORRBOTTENS LÄN</t>
        </is>
      </c>
      <c r="E638" t="inlineStr">
        <is>
          <t>BODEN</t>
        </is>
      </c>
      <c r="F638" t="inlineStr">
        <is>
          <t>Sveaskog</t>
        </is>
      </c>
      <c r="G638" t="n">
        <v>11.4</v>
      </c>
      <c r="H638" t="n">
        <v>0</v>
      </c>
      <c r="I638" t="n">
        <v>0</v>
      </c>
      <c r="J638" t="n">
        <v>0</v>
      </c>
      <c r="K638" t="n">
        <v>0</v>
      </c>
      <c r="L638" t="n">
        <v>0</v>
      </c>
      <c r="M638" t="n">
        <v>0</v>
      </c>
      <c r="N638" t="n">
        <v>0</v>
      </c>
      <c r="O638" t="n">
        <v>0</v>
      </c>
      <c r="P638" t="n">
        <v>0</v>
      </c>
      <c r="Q638" t="n">
        <v>0</v>
      </c>
      <c r="R638" s="2" t="inlineStr"/>
    </row>
    <row r="639" ht="15" customHeight="1">
      <c r="A639" t="inlineStr">
        <is>
          <t>A 27688-2022</t>
        </is>
      </c>
      <c r="B639" s="1" t="n">
        <v>44743</v>
      </c>
      <c r="C639" s="1" t="n">
        <v>45832</v>
      </c>
      <c r="D639" t="inlineStr">
        <is>
          <t>NORRBOTTENS LÄN</t>
        </is>
      </c>
      <c r="E639" t="inlineStr">
        <is>
          <t>BODEN</t>
        </is>
      </c>
      <c r="G639" t="n">
        <v>13.5</v>
      </c>
      <c r="H639" t="n">
        <v>0</v>
      </c>
      <c r="I639" t="n">
        <v>0</v>
      </c>
      <c r="J639" t="n">
        <v>0</v>
      </c>
      <c r="K639" t="n">
        <v>0</v>
      </c>
      <c r="L639" t="n">
        <v>0</v>
      </c>
      <c r="M639" t="n">
        <v>0</v>
      </c>
      <c r="N639" t="n">
        <v>0</v>
      </c>
      <c r="O639" t="n">
        <v>0</v>
      </c>
      <c r="P639" t="n">
        <v>0</v>
      </c>
      <c r="Q639" t="n">
        <v>0</v>
      </c>
      <c r="R639" s="2" t="inlineStr"/>
    </row>
    <row r="640" ht="15" customHeight="1">
      <c r="A640" t="inlineStr">
        <is>
          <t>A 27716-2022</t>
        </is>
      </c>
      <c r="B640" s="1" t="n">
        <v>44743</v>
      </c>
      <c r="C640" s="1" t="n">
        <v>45832</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27894-2022</t>
        </is>
      </c>
      <c r="B641" s="1" t="n">
        <v>44743</v>
      </c>
      <c r="C641" s="1" t="n">
        <v>45832</v>
      </c>
      <c r="D641" t="inlineStr">
        <is>
          <t>NORRBOTTENS LÄN</t>
        </is>
      </c>
      <c r="E641" t="inlineStr">
        <is>
          <t>BODEN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28432-2022</t>
        </is>
      </c>
      <c r="B642" s="1" t="n">
        <v>44747</v>
      </c>
      <c r="C642" s="1" t="n">
        <v>45832</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29119-2022</t>
        </is>
      </c>
      <c r="B643" s="1" t="n">
        <v>44749</v>
      </c>
      <c r="C643" s="1" t="n">
        <v>45832</v>
      </c>
      <c r="D643" t="inlineStr">
        <is>
          <t>NORRBOTTENS LÄN</t>
        </is>
      </c>
      <c r="E643" t="inlineStr">
        <is>
          <t>BODEN</t>
        </is>
      </c>
      <c r="G643" t="n">
        <v>10.4</v>
      </c>
      <c r="H643" t="n">
        <v>0</v>
      </c>
      <c r="I643" t="n">
        <v>0</v>
      </c>
      <c r="J643" t="n">
        <v>0</v>
      </c>
      <c r="K643" t="n">
        <v>0</v>
      </c>
      <c r="L643" t="n">
        <v>0</v>
      </c>
      <c r="M643" t="n">
        <v>0</v>
      </c>
      <c r="N643" t="n">
        <v>0</v>
      </c>
      <c r="O643" t="n">
        <v>0</v>
      </c>
      <c r="P643" t="n">
        <v>0</v>
      </c>
      <c r="Q643" t="n">
        <v>0</v>
      </c>
      <c r="R643" s="2" t="inlineStr"/>
    </row>
    <row r="644" ht="15" customHeight="1">
      <c r="A644" t="inlineStr">
        <is>
          <t>A 29797-2022</t>
        </is>
      </c>
      <c r="B644" s="1" t="n">
        <v>44755</v>
      </c>
      <c r="C644" s="1" t="n">
        <v>45832</v>
      </c>
      <c r="D644" t="inlineStr">
        <is>
          <t>NORRBOTTENS LÄN</t>
        </is>
      </c>
      <c r="E644" t="inlineStr">
        <is>
          <t>BODEN</t>
        </is>
      </c>
      <c r="F644" t="inlineStr">
        <is>
          <t>Kyrkan</t>
        </is>
      </c>
      <c r="G644" t="n">
        <v>29.2</v>
      </c>
      <c r="H644" t="n">
        <v>0</v>
      </c>
      <c r="I644" t="n">
        <v>0</v>
      </c>
      <c r="J644" t="n">
        <v>0</v>
      </c>
      <c r="K644" t="n">
        <v>0</v>
      </c>
      <c r="L644" t="n">
        <v>0</v>
      </c>
      <c r="M644" t="n">
        <v>0</v>
      </c>
      <c r="N644" t="n">
        <v>0</v>
      </c>
      <c r="O644" t="n">
        <v>0</v>
      </c>
      <c r="P644" t="n">
        <v>0</v>
      </c>
      <c r="Q644" t="n">
        <v>0</v>
      </c>
      <c r="R644" s="2" t="inlineStr"/>
    </row>
    <row r="645" ht="15" customHeight="1">
      <c r="A645" t="inlineStr">
        <is>
          <t>A 30178-2022</t>
        </is>
      </c>
      <c r="B645" s="1" t="n">
        <v>44757</v>
      </c>
      <c r="C645" s="1" t="n">
        <v>45832</v>
      </c>
      <c r="D645" t="inlineStr">
        <is>
          <t>NORRBOTTENS LÄN</t>
        </is>
      </c>
      <c r="E645" t="inlineStr">
        <is>
          <t>BODEN</t>
        </is>
      </c>
      <c r="F645" t="inlineStr">
        <is>
          <t>Sveaskog</t>
        </is>
      </c>
      <c r="G645" t="n">
        <v>16.7</v>
      </c>
      <c r="H645" t="n">
        <v>0</v>
      </c>
      <c r="I645" t="n">
        <v>0</v>
      </c>
      <c r="J645" t="n">
        <v>0</v>
      </c>
      <c r="K645" t="n">
        <v>0</v>
      </c>
      <c r="L645" t="n">
        <v>0</v>
      </c>
      <c r="M645" t="n">
        <v>0</v>
      </c>
      <c r="N645" t="n">
        <v>0</v>
      </c>
      <c r="O645" t="n">
        <v>0</v>
      </c>
      <c r="P645" t="n">
        <v>0</v>
      </c>
      <c r="Q645" t="n">
        <v>0</v>
      </c>
      <c r="R645" s="2" t="inlineStr"/>
    </row>
    <row r="646" ht="15" customHeight="1">
      <c r="A646" t="inlineStr">
        <is>
          <t>A 31766-2022</t>
        </is>
      </c>
      <c r="B646" s="1" t="n">
        <v>44776</v>
      </c>
      <c r="C646" s="1" t="n">
        <v>45832</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32754-2022</t>
        </is>
      </c>
      <c r="B647" s="1" t="n">
        <v>44783</v>
      </c>
      <c r="C647" s="1" t="n">
        <v>45832</v>
      </c>
      <c r="D647" t="inlineStr">
        <is>
          <t>NORRBOTTENS LÄN</t>
        </is>
      </c>
      <c r="E647" t="inlineStr">
        <is>
          <t>BODEN</t>
        </is>
      </c>
      <c r="G647" t="n">
        <v>0.9</v>
      </c>
      <c r="H647" t="n">
        <v>0</v>
      </c>
      <c r="I647" t="n">
        <v>0</v>
      </c>
      <c r="J647" t="n">
        <v>0</v>
      </c>
      <c r="K647" t="n">
        <v>0</v>
      </c>
      <c r="L647" t="n">
        <v>0</v>
      </c>
      <c r="M647" t="n">
        <v>0</v>
      </c>
      <c r="N647" t="n">
        <v>0</v>
      </c>
      <c r="O647" t="n">
        <v>0</v>
      </c>
      <c r="P647" t="n">
        <v>0</v>
      </c>
      <c r="Q647" t="n">
        <v>0</v>
      </c>
      <c r="R647" s="2" t="inlineStr"/>
    </row>
    <row r="648" ht="15" customHeight="1">
      <c r="A648" t="inlineStr">
        <is>
          <t>A 33399-2022</t>
        </is>
      </c>
      <c r="B648" s="1" t="n">
        <v>44788</v>
      </c>
      <c r="C648" s="1" t="n">
        <v>45832</v>
      </c>
      <c r="D648" t="inlineStr">
        <is>
          <t>NORRBOTTENS LÄN</t>
        </is>
      </c>
      <c r="E648" t="inlineStr">
        <is>
          <t>BODEN</t>
        </is>
      </c>
      <c r="G648" t="n">
        <v>9.9</v>
      </c>
      <c r="H648" t="n">
        <v>0</v>
      </c>
      <c r="I648" t="n">
        <v>0</v>
      </c>
      <c r="J648" t="n">
        <v>0</v>
      </c>
      <c r="K648" t="n">
        <v>0</v>
      </c>
      <c r="L648" t="n">
        <v>0</v>
      </c>
      <c r="M648" t="n">
        <v>0</v>
      </c>
      <c r="N648" t="n">
        <v>0</v>
      </c>
      <c r="O648" t="n">
        <v>0</v>
      </c>
      <c r="P648" t="n">
        <v>0</v>
      </c>
      <c r="Q648" t="n">
        <v>0</v>
      </c>
      <c r="R648" s="2" t="inlineStr"/>
    </row>
    <row r="649" ht="15" customHeight="1">
      <c r="A649" t="inlineStr">
        <is>
          <t>A 33454-2022</t>
        </is>
      </c>
      <c r="B649" s="1" t="n">
        <v>44788</v>
      </c>
      <c r="C649" s="1" t="n">
        <v>45832</v>
      </c>
      <c r="D649" t="inlineStr">
        <is>
          <t>NORRBOTTENS LÄN</t>
        </is>
      </c>
      <c r="E649" t="inlineStr">
        <is>
          <t>BODEN</t>
        </is>
      </c>
      <c r="G649" t="n">
        <v>2.7</v>
      </c>
      <c r="H649" t="n">
        <v>0</v>
      </c>
      <c r="I649" t="n">
        <v>0</v>
      </c>
      <c r="J649" t="n">
        <v>0</v>
      </c>
      <c r="K649" t="n">
        <v>0</v>
      </c>
      <c r="L649" t="n">
        <v>0</v>
      </c>
      <c r="M649" t="n">
        <v>0</v>
      </c>
      <c r="N649" t="n">
        <v>0</v>
      </c>
      <c r="O649" t="n">
        <v>0</v>
      </c>
      <c r="P649" t="n">
        <v>0</v>
      </c>
      <c r="Q649" t="n">
        <v>0</v>
      </c>
      <c r="R649" s="2" t="inlineStr"/>
    </row>
    <row r="650" ht="15" customHeight="1">
      <c r="A650" t="inlineStr">
        <is>
          <t>A 33517-2022</t>
        </is>
      </c>
      <c r="B650" s="1" t="n">
        <v>44789</v>
      </c>
      <c r="C650" s="1" t="n">
        <v>45832</v>
      </c>
      <c r="D650" t="inlineStr">
        <is>
          <t>NORRBOTTENS LÄN</t>
        </is>
      </c>
      <c r="E650" t="inlineStr">
        <is>
          <t>BODEN</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33518-2022</t>
        </is>
      </c>
      <c r="B651" s="1" t="n">
        <v>44789</v>
      </c>
      <c r="C651" s="1" t="n">
        <v>45832</v>
      </c>
      <c r="D651" t="inlineStr">
        <is>
          <t>NORRBOTTENS LÄN</t>
        </is>
      </c>
      <c r="E651" t="inlineStr">
        <is>
          <t>BODEN</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33516-2022</t>
        </is>
      </c>
      <c r="B652" s="1" t="n">
        <v>44789</v>
      </c>
      <c r="C652" s="1" t="n">
        <v>45832</v>
      </c>
      <c r="D652" t="inlineStr">
        <is>
          <t>NORRBOTTENS LÄN</t>
        </is>
      </c>
      <c r="E652" t="inlineStr">
        <is>
          <t>BODEN</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33739-2022</t>
        </is>
      </c>
      <c r="B653" s="1" t="n">
        <v>44790</v>
      </c>
      <c r="C653" s="1" t="n">
        <v>45832</v>
      </c>
      <c r="D653" t="inlineStr">
        <is>
          <t>NORRBOTTENS LÄN</t>
        </is>
      </c>
      <c r="E653" t="inlineStr">
        <is>
          <t>BODEN</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34760-2022</t>
        </is>
      </c>
      <c r="B654" s="1" t="n">
        <v>44795</v>
      </c>
      <c r="C654" s="1" t="n">
        <v>45832</v>
      </c>
      <c r="D654" t="inlineStr">
        <is>
          <t>NORRBOTTENS LÄN</t>
        </is>
      </c>
      <c r="E654" t="inlineStr">
        <is>
          <t>BODEN</t>
        </is>
      </c>
      <c r="G654" t="n">
        <v>4.9</v>
      </c>
      <c r="H654" t="n">
        <v>0</v>
      </c>
      <c r="I654" t="n">
        <v>0</v>
      </c>
      <c r="J654" t="n">
        <v>0</v>
      </c>
      <c r="K654" t="n">
        <v>0</v>
      </c>
      <c r="L654" t="n">
        <v>0</v>
      </c>
      <c r="M654" t="n">
        <v>0</v>
      </c>
      <c r="N654" t="n">
        <v>0</v>
      </c>
      <c r="O654" t="n">
        <v>0</v>
      </c>
      <c r="P654" t="n">
        <v>0</v>
      </c>
      <c r="Q654" t="n">
        <v>0</v>
      </c>
      <c r="R654" s="2" t="inlineStr"/>
    </row>
    <row r="655" ht="15" customHeight="1">
      <c r="A655" t="inlineStr">
        <is>
          <t>A 34811-2022</t>
        </is>
      </c>
      <c r="B655" s="1" t="n">
        <v>44796</v>
      </c>
      <c r="C655" s="1" t="n">
        <v>45832</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34789-2022</t>
        </is>
      </c>
      <c r="B656" s="1" t="n">
        <v>44795</v>
      </c>
      <c r="C656" s="1" t="n">
        <v>45832</v>
      </c>
      <c r="D656" t="inlineStr">
        <is>
          <t>NORRBOTTENS LÄN</t>
        </is>
      </c>
      <c r="E656" t="inlineStr">
        <is>
          <t>BODEN</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34796-2022</t>
        </is>
      </c>
      <c r="B657" s="1" t="n">
        <v>44796</v>
      </c>
      <c r="C657" s="1" t="n">
        <v>45832</v>
      </c>
      <c r="D657" t="inlineStr">
        <is>
          <t>NORRBOTTENS LÄN</t>
        </is>
      </c>
      <c r="E657" t="inlineStr">
        <is>
          <t>BODEN</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35044-2022</t>
        </is>
      </c>
      <c r="B658" s="1" t="n">
        <v>44796</v>
      </c>
      <c r="C658" s="1" t="n">
        <v>45832</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35046-2022</t>
        </is>
      </c>
      <c r="B659" s="1" t="n">
        <v>44796</v>
      </c>
      <c r="C659" s="1" t="n">
        <v>45832</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35041-2022</t>
        </is>
      </c>
      <c r="B660" s="1" t="n">
        <v>44796</v>
      </c>
      <c r="C660" s="1" t="n">
        <v>45832</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35040-2022</t>
        </is>
      </c>
      <c r="B661" s="1" t="n">
        <v>44796</v>
      </c>
      <c r="C661" s="1" t="n">
        <v>45832</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35069-2022</t>
        </is>
      </c>
      <c r="B662" s="1" t="n">
        <v>44797</v>
      </c>
      <c r="C662" s="1" t="n">
        <v>45832</v>
      </c>
      <c r="D662" t="inlineStr">
        <is>
          <t>NORRBOTTENS LÄN</t>
        </is>
      </c>
      <c r="E662" t="inlineStr">
        <is>
          <t>BODEN</t>
        </is>
      </c>
      <c r="G662" t="n">
        <v>9.1</v>
      </c>
      <c r="H662" t="n">
        <v>0</v>
      </c>
      <c r="I662" t="n">
        <v>0</v>
      </c>
      <c r="J662" t="n">
        <v>0</v>
      </c>
      <c r="K662" t="n">
        <v>0</v>
      </c>
      <c r="L662" t="n">
        <v>0</v>
      </c>
      <c r="M662" t="n">
        <v>0</v>
      </c>
      <c r="N662" t="n">
        <v>0</v>
      </c>
      <c r="O662" t="n">
        <v>0</v>
      </c>
      <c r="P662" t="n">
        <v>0</v>
      </c>
      <c r="Q662" t="n">
        <v>0</v>
      </c>
      <c r="R662" s="2" t="inlineStr"/>
    </row>
    <row r="663" ht="15" customHeight="1">
      <c r="A663" t="inlineStr">
        <is>
          <t>A 35237-2022</t>
        </is>
      </c>
      <c r="B663" s="1" t="n">
        <v>44797</v>
      </c>
      <c r="C663" s="1" t="n">
        <v>45832</v>
      </c>
      <c r="D663" t="inlineStr">
        <is>
          <t>NORRBOTTENS LÄN</t>
        </is>
      </c>
      <c r="E663" t="inlineStr">
        <is>
          <t>BODEN</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35323-2022</t>
        </is>
      </c>
      <c r="B664" s="1" t="n">
        <v>44798</v>
      </c>
      <c r="C664" s="1" t="n">
        <v>45832</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35752-2022</t>
        </is>
      </c>
      <c r="B665" s="1" t="n">
        <v>44800</v>
      </c>
      <c r="C665" s="1" t="n">
        <v>45832</v>
      </c>
      <c r="D665" t="inlineStr">
        <is>
          <t>NORRBOTTENS LÄN</t>
        </is>
      </c>
      <c r="E665" t="inlineStr">
        <is>
          <t>BODEN</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35753-2022</t>
        </is>
      </c>
      <c r="B666" s="1" t="n">
        <v>44800</v>
      </c>
      <c r="C666" s="1" t="n">
        <v>45832</v>
      </c>
      <c r="D666" t="inlineStr">
        <is>
          <t>NORRBOTTENS LÄN</t>
        </is>
      </c>
      <c r="E666" t="inlineStr">
        <is>
          <t>BODEN</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35755-2022</t>
        </is>
      </c>
      <c r="B667" s="1" t="n">
        <v>44799</v>
      </c>
      <c r="C667" s="1" t="n">
        <v>45832</v>
      </c>
      <c r="D667" t="inlineStr">
        <is>
          <t>NORRBOTTENS LÄN</t>
        </is>
      </c>
      <c r="E667" t="inlineStr">
        <is>
          <t>BODEN</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37594-2022</t>
        </is>
      </c>
      <c r="B668" s="1" t="n">
        <v>44809</v>
      </c>
      <c r="C668" s="1" t="n">
        <v>45832</v>
      </c>
      <c r="D668" t="inlineStr">
        <is>
          <t>NORRBOTTENS LÄN</t>
        </is>
      </c>
      <c r="E668" t="inlineStr">
        <is>
          <t>BODEN</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38213-2022</t>
        </is>
      </c>
      <c r="B669" s="1" t="n">
        <v>44812</v>
      </c>
      <c r="C669" s="1" t="n">
        <v>45832</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38219-2022</t>
        </is>
      </c>
      <c r="B670" s="1" t="n">
        <v>44812</v>
      </c>
      <c r="C670" s="1" t="n">
        <v>45832</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38722-2022</t>
        </is>
      </c>
      <c r="B671" s="1" t="n">
        <v>44815</v>
      </c>
      <c r="C671" s="1" t="n">
        <v>45832</v>
      </c>
      <c r="D671" t="inlineStr">
        <is>
          <t>NORRBOTTENS LÄN</t>
        </is>
      </c>
      <c r="E671" t="inlineStr">
        <is>
          <t>BODEN</t>
        </is>
      </c>
      <c r="F671" t="inlineStr">
        <is>
          <t>Övriga statliga verk och myndigheter</t>
        </is>
      </c>
      <c r="G671" t="n">
        <v>8.5</v>
      </c>
      <c r="H671" t="n">
        <v>0</v>
      </c>
      <c r="I671" t="n">
        <v>0</v>
      </c>
      <c r="J671" t="n">
        <v>0</v>
      </c>
      <c r="K671" t="n">
        <v>0</v>
      </c>
      <c r="L671" t="n">
        <v>0</v>
      </c>
      <c r="M671" t="n">
        <v>0</v>
      </c>
      <c r="N671" t="n">
        <v>0</v>
      </c>
      <c r="O671" t="n">
        <v>0</v>
      </c>
      <c r="P671" t="n">
        <v>0</v>
      </c>
      <c r="Q671" t="n">
        <v>0</v>
      </c>
      <c r="R671" s="2" t="inlineStr"/>
    </row>
    <row r="672" ht="15" customHeight="1">
      <c r="A672" t="inlineStr">
        <is>
          <t>A 40418-2022</t>
        </is>
      </c>
      <c r="B672" s="1" t="n">
        <v>44818</v>
      </c>
      <c r="C672" s="1" t="n">
        <v>45832</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39838-2022</t>
        </is>
      </c>
      <c r="B673" s="1" t="n">
        <v>44819</v>
      </c>
      <c r="C673" s="1" t="n">
        <v>45832</v>
      </c>
      <c r="D673" t="inlineStr">
        <is>
          <t>NORRBOTTENS LÄN</t>
        </is>
      </c>
      <c r="E673" t="inlineStr">
        <is>
          <t>BODEN</t>
        </is>
      </c>
      <c r="F673" t="inlineStr">
        <is>
          <t>Sveaskog</t>
        </is>
      </c>
      <c r="G673" t="n">
        <v>16.5</v>
      </c>
      <c r="H673" t="n">
        <v>0</v>
      </c>
      <c r="I673" t="n">
        <v>0</v>
      </c>
      <c r="J673" t="n">
        <v>0</v>
      </c>
      <c r="K673" t="n">
        <v>0</v>
      </c>
      <c r="L673" t="n">
        <v>0</v>
      </c>
      <c r="M673" t="n">
        <v>0</v>
      </c>
      <c r="N673" t="n">
        <v>0</v>
      </c>
      <c r="O673" t="n">
        <v>0</v>
      </c>
      <c r="P673" t="n">
        <v>0</v>
      </c>
      <c r="Q673" t="n">
        <v>0</v>
      </c>
      <c r="R673" s="2" t="inlineStr"/>
    </row>
    <row r="674" ht="15" customHeight="1">
      <c r="A674" t="inlineStr">
        <is>
          <t>A 39971-2022</t>
        </is>
      </c>
      <c r="B674" s="1" t="n">
        <v>44820</v>
      </c>
      <c r="C674" s="1" t="n">
        <v>45832</v>
      </c>
      <c r="D674" t="inlineStr">
        <is>
          <t>NORRBOTTENS LÄN</t>
        </is>
      </c>
      <c r="E674" t="inlineStr">
        <is>
          <t>BODEN</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40136-2022</t>
        </is>
      </c>
      <c r="B675" s="1" t="n">
        <v>44820</v>
      </c>
      <c r="C675" s="1" t="n">
        <v>45832</v>
      </c>
      <c r="D675" t="inlineStr">
        <is>
          <t>NORRBOTTENS LÄN</t>
        </is>
      </c>
      <c r="E675" t="inlineStr">
        <is>
          <t>BODEN</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45832</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40854-2022</t>
        </is>
      </c>
      <c r="B677" s="1" t="n">
        <v>44825</v>
      </c>
      <c r="C677" s="1" t="n">
        <v>45832</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42641-2022</t>
        </is>
      </c>
      <c r="B678" s="1" t="n">
        <v>44831</v>
      </c>
      <c r="C678" s="1" t="n">
        <v>45832</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42642-2022</t>
        </is>
      </c>
      <c r="B679" s="1" t="n">
        <v>44831</v>
      </c>
      <c r="C679" s="1" t="n">
        <v>45832</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42632-2022</t>
        </is>
      </c>
      <c r="B680" s="1" t="n">
        <v>44832</v>
      </c>
      <c r="C680" s="1" t="n">
        <v>45832</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42643-2022</t>
        </is>
      </c>
      <c r="B681" s="1" t="n">
        <v>44831</v>
      </c>
      <c r="C681" s="1" t="n">
        <v>45832</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42667-2022</t>
        </is>
      </c>
      <c r="B682" s="1" t="n">
        <v>44832</v>
      </c>
      <c r="C682" s="1" t="n">
        <v>45832</v>
      </c>
      <c r="D682" t="inlineStr">
        <is>
          <t>NORRBOTTENS LÄN</t>
        </is>
      </c>
      <c r="E682" t="inlineStr">
        <is>
          <t>BODEN</t>
        </is>
      </c>
      <c r="F682" t="inlineStr">
        <is>
          <t>Sveaskog</t>
        </is>
      </c>
      <c r="G682" t="n">
        <v>4.2</v>
      </c>
      <c r="H682" t="n">
        <v>0</v>
      </c>
      <c r="I682" t="n">
        <v>0</v>
      </c>
      <c r="J682" t="n">
        <v>0</v>
      </c>
      <c r="K682" t="n">
        <v>0</v>
      </c>
      <c r="L682" t="n">
        <v>0</v>
      </c>
      <c r="M682" t="n">
        <v>0</v>
      </c>
      <c r="N682" t="n">
        <v>0</v>
      </c>
      <c r="O682" t="n">
        <v>0</v>
      </c>
      <c r="P682" t="n">
        <v>0</v>
      </c>
      <c r="Q682" t="n">
        <v>0</v>
      </c>
      <c r="R682" s="2" t="inlineStr"/>
    </row>
    <row r="683" ht="15" customHeight="1">
      <c r="A683" t="inlineStr">
        <is>
          <t>A 42990-2022</t>
        </is>
      </c>
      <c r="B683" s="1" t="n">
        <v>44832</v>
      </c>
      <c r="C683" s="1" t="n">
        <v>45832</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42995-2022</t>
        </is>
      </c>
      <c r="B684" s="1" t="n">
        <v>44833</v>
      </c>
      <c r="C684" s="1" t="n">
        <v>45832</v>
      </c>
      <c r="D684" t="inlineStr">
        <is>
          <t>NORRBOTTENS LÄN</t>
        </is>
      </c>
      <c r="E684" t="inlineStr">
        <is>
          <t>BODEN</t>
        </is>
      </c>
      <c r="G684" t="n">
        <v>4.2</v>
      </c>
      <c r="H684" t="n">
        <v>0</v>
      </c>
      <c r="I684" t="n">
        <v>0</v>
      </c>
      <c r="J684" t="n">
        <v>0</v>
      </c>
      <c r="K684" t="n">
        <v>0</v>
      </c>
      <c r="L684" t="n">
        <v>0</v>
      </c>
      <c r="M684" t="n">
        <v>0</v>
      </c>
      <c r="N684" t="n">
        <v>0</v>
      </c>
      <c r="O684" t="n">
        <v>0</v>
      </c>
      <c r="P684" t="n">
        <v>0</v>
      </c>
      <c r="Q684" t="n">
        <v>0</v>
      </c>
      <c r="R684" s="2" t="inlineStr"/>
    </row>
    <row r="685" ht="15" customHeight="1">
      <c r="A685" t="inlineStr">
        <is>
          <t>A 43007-2022</t>
        </is>
      </c>
      <c r="B685" s="1" t="n">
        <v>44833</v>
      </c>
      <c r="C685" s="1" t="n">
        <v>45832</v>
      </c>
      <c r="D685" t="inlineStr">
        <is>
          <t>NORRBOTTENS LÄN</t>
        </is>
      </c>
      <c r="E685" t="inlineStr">
        <is>
          <t>BODEN</t>
        </is>
      </c>
      <c r="G685" t="n">
        <v>1.8</v>
      </c>
      <c r="H685" t="n">
        <v>0</v>
      </c>
      <c r="I685" t="n">
        <v>0</v>
      </c>
      <c r="J685" t="n">
        <v>0</v>
      </c>
      <c r="K685" t="n">
        <v>0</v>
      </c>
      <c r="L685" t="n">
        <v>0</v>
      </c>
      <c r="M685" t="n">
        <v>0</v>
      </c>
      <c r="N685" t="n">
        <v>0</v>
      </c>
      <c r="O685" t="n">
        <v>0</v>
      </c>
      <c r="P685" t="n">
        <v>0</v>
      </c>
      <c r="Q685" t="n">
        <v>0</v>
      </c>
      <c r="R685" s="2" t="inlineStr"/>
    </row>
    <row r="686" ht="15" customHeight="1">
      <c r="A686" t="inlineStr">
        <is>
          <t>A 43464-2022</t>
        </is>
      </c>
      <c r="B686" s="1" t="n">
        <v>44836</v>
      </c>
      <c r="C686" s="1" t="n">
        <v>45832</v>
      </c>
      <c r="D686" t="inlineStr">
        <is>
          <t>NORRBOTTENS LÄN</t>
        </is>
      </c>
      <c r="E686" t="inlineStr">
        <is>
          <t>BODEN</t>
        </is>
      </c>
      <c r="G686" t="n">
        <v>2.7</v>
      </c>
      <c r="H686" t="n">
        <v>0</v>
      </c>
      <c r="I686" t="n">
        <v>0</v>
      </c>
      <c r="J686" t="n">
        <v>0</v>
      </c>
      <c r="K686" t="n">
        <v>0</v>
      </c>
      <c r="L686" t="n">
        <v>0</v>
      </c>
      <c r="M686" t="n">
        <v>0</v>
      </c>
      <c r="N686" t="n">
        <v>0</v>
      </c>
      <c r="O686" t="n">
        <v>0</v>
      </c>
      <c r="P686" t="n">
        <v>0</v>
      </c>
      <c r="Q686" t="n">
        <v>0</v>
      </c>
      <c r="R686" s="2" t="inlineStr"/>
    </row>
    <row r="687" ht="15" customHeight="1">
      <c r="A687" t="inlineStr">
        <is>
          <t>A 44046-2022</t>
        </is>
      </c>
      <c r="B687" s="1" t="n">
        <v>44839</v>
      </c>
      <c r="C687" s="1" t="n">
        <v>45832</v>
      </c>
      <c r="D687" t="inlineStr">
        <is>
          <t>NORRBOTTENS LÄN</t>
        </is>
      </c>
      <c r="E687" t="inlineStr">
        <is>
          <t>BODEN</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44051-2022</t>
        </is>
      </c>
      <c r="B688" s="1" t="n">
        <v>44838</v>
      </c>
      <c r="C688" s="1" t="n">
        <v>45832</v>
      </c>
      <c r="D688" t="inlineStr">
        <is>
          <t>NORRBOTTENS LÄN</t>
        </is>
      </c>
      <c r="E688" t="inlineStr">
        <is>
          <t>BODEN</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44258-2022</t>
        </is>
      </c>
      <c r="B689" s="1" t="n">
        <v>44839</v>
      </c>
      <c r="C689" s="1" t="n">
        <v>45832</v>
      </c>
      <c r="D689" t="inlineStr">
        <is>
          <t>NORRBOTTENS LÄN</t>
        </is>
      </c>
      <c r="E689" t="inlineStr">
        <is>
          <t>BODEN</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44345-2022</t>
        </is>
      </c>
      <c r="B690" s="1" t="n">
        <v>44839</v>
      </c>
      <c r="C690" s="1" t="n">
        <v>45832</v>
      </c>
      <c r="D690" t="inlineStr">
        <is>
          <t>NORRBOTTENS LÄN</t>
        </is>
      </c>
      <c r="E690" t="inlineStr">
        <is>
          <t>BODEN</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44682-2022</t>
        </is>
      </c>
      <c r="B691" s="1" t="n">
        <v>44840</v>
      </c>
      <c r="C691" s="1" t="n">
        <v>45832</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44686-2022</t>
        </is>
      </c>
      <c r="B692" s="1" t="n">
        <v>44840</v>
      </c>
      <c r="C692" s="1" t="n">
        <v>45832</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44679-2022</t>
        </is>
      </c>
      <c r="B693" s="1" t="n">
        <v>44840</v>
      </c>
      <c r="C693" s="1" t="n">
        <v>45832</v>
      </c>
      <c r="D693" t="inlineStr">
        <is>
          <t>NORRBOTTENS LÄN</t>
        </is>
      </c>
      <c r="E693" t="inlineStr">
        <is>
          <t>BODEN</t>
        </is>
      </c>
      <c r="G693" t="n">
        <v>4.4</v>
      </c>
      <c r="H693" t="n">
        <v>0</v>
      </c>
      <c r="I693" t="n">
        <v>0</v>
      </c>
      <c r="J693" t="n">
        <v>0</v>
      </c>
      <c r="K693" t="n">
        <v>0</v>
      </c>
      <c r="L693" t="n">
        <v>0</v>
      </c>
      <c r="M693" t="n">
        <v>0</v>
      </c>
      <c r="N693" t="n">
        <v>0</v>
      </c>
      <c r="O693" t="n">
        <v>0</v>
      </c>
      <c r="P693" t="n">
        <v>0</v>
      </c>
      <c r="Q693" t="n">
        <v>0</v>
      </c>
      <c r="R693" s="2" t="inlineStr"/>
    </row>
    <row r="694" ht="15" customHeight="1">
      <c r="A694" t="inlineStr">
        <is>
          <t>A 45035-2022</t>
        </is>
      </c>
      <c r="B694" s="1" t="n">
        <v>44841</v>
      </c>
      <c r="C694" s="1" t="n">
        <v>45832</v>
      </c>
      <c r="D694" t="inlineStr">
        <is>
          <t>NORRBOTTENS LÄN</t>
        </is>
      </c>
      <c r="E694" t="inlineStr">
        <is>
          <t>BODEN</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45164-2022</t>
        </is>
      </c>
      <c r="B695" s="1" t="n">
        <v>44844</v>
      </c>
      <c r="C695" s="1" t="n">
        <v>45832</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45176-2022</t>
        </is>
      </c>
      <c r="B696" s="1" t="n">
        <v>44844</v>
      </c>
      <c r="C696" s="1" t="n">
        <v>45832</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46564-2022</t>
        </is>
      </c>
      <c r="B697" s="1" t="n">
        <v>44847</v>
      </c>
      <c r="C697" s="1" t="n">
        <v>45832</v>
      </c>
      <c r="D697" t="inlineStr">
        <is>
          <t>NORRBOTTENS LÄN</t>
        </is>
      </c>
      <c r="E697" t="inlineStr">
        <is>
          <t>BODEN</t>
        </is>
      </c>
      <c r="G697" t="n">
        <v>28</v>
      </c>
      <c r="H697" t="n">
        <v>0</v>
      </c>
      <c r="I697" t="n">
        <v>0</v>
      </c>
      <c r="J697" t="n">
        <v>0</v>
      </c>
      <c r="K697" t="n">
        <v>0</v>
      </c>
      <c r="L697" t="n">
        <v>0</v>
      </c>
      <c r="M697" t="n">
        <v>0</v>
      </c>
      <c r="N697" t="n">
        <v>0</v>
      </c>
      <c r="O697" t="n">
        <v>0</v>
      </c>
      <c r="P697" t="n">
        <v>0</v>
      </c>
      <c r="Q697" t="n">
        <v>0</v>
      </c>
      <c r="R697" s="2" t="inlineStr"/>
    </row>
    <row r="698" ht="15" customHeight="1">
      <c r="A698" t="inlineStr">
        <is>
          <t>A 46594-2022</t>
        </is>
      </c>
      <c r="B698" s="1" t="n">
        <v>44848</v>
      </c>
      <c r="C698" s="1" t="n">
        <v>45832</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47277-2022</t>
        </is>
      </c>
      <c r="B699" s="1" t="n">
        <v>44852</v>
      </c>
      <c r="C699" s="1" t="n">
        <v>45832</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47258-2022</t>
        </is>
      </c>
      <c r="B700" s="1" t="n">
        <v>44853</v>
      </c>
      <c r="C700" s="1" t="n">
        <v>45832</v>
      </c>
      <c r="D700" t="inlineStr">
        <is>
          <t>NORRBOTTENS LÄN</t>
        </is>
      </c>
      <c r="E700" t="inlineStr">
        <is>
          <t>BODEN</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47585-2022</t>
        </is>
      </c>
      <c r="B701" s="1" t="n">
        <v>44854</v>
      </c>
      <c r="C701" s="1" t="n">
        <v>45832</v>
      </c>
      <c r="D701" t="inlineStr">
        <is>
          <t>NORRBOTTENS LÄN</t>
        </is>
      </c>
      <c r="E701" t="inlineStr">
        <is>
          <t>BODEN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47782-2022</t>
        </is>
      </c>
      <c r="B702" s="1" t="n">
        <v>44854</v>
      </c>
      <c r="C702" s="1" t="n">
        <v>45832</v>
      </c>
      <c r="D702" t="inlineStr">
        <is>
          <t>NORRBOTTENS LÄN</t>
        </is>
      </c>
      <c r="E702" t="inlineStr">
        <is>
          <t>BODEN</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48107-2022</t>
        </is>
      </c>
      <c r="B703" s="1" t="n">
        <v>44856</v>
      </c>
      <c r="C703" s="1" t="n">
        <v>45832</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48562-2022</t>
        </is>
      </c>
      <c r="B704" s="1" t="n">
        <v>44859</v>
      </c>
      <c r="C704" s="1" t="n">
        <v>45832</v>
      </c>
      <c r="D704" t="inlineStr">
        <is>
          <t>NORRBOTTENS LÄN</t>
        </is>
      </c>
      <c r="E704" t="inlineStr">
        <is>
          <t>BODEN</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48950-2022</t>
        </is>
      </c>
      <c r="B705" s="1" t="n">
        <v>44860</v>
      </c>
      <c r="C705" s="1" t="n">
        <v>45832</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49545-2022</t>
        </is>
      </c>
      <c r="B706" s="1" t="n">
        <v>44862</v>
      </c>
      <c r="C706" s="1" t="n">
        <v>45832</v>
      </c>
      <c r="D706" t="inlineStr">
        <is>
          <t>NORRBOTTENS LÄN</t>
        </is>
      </c>
      <c r="E706" t="inlineStr">
        <is>
          <t>BODEN</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49761-2022</t>
        </is>
      </c>
      <c r="B707" s="1" t="n">
        <v>44862</v>
      </c>
      <c r="C707" s="1" t="n">
        <v>45832</v>
      </c>
      <c r="D707" t="inlineStr">
        <is>
          <t>NORRBOTTENS LÄN</t>
        </is>
      </c>
      <c r="E707" t="inlineStr">
        <is>
          <t>BODEN</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49698-2022</t>
        </is>
      </c>
      <c r="B708" s="1" t="n">
        <v>44862</v>
      </c>
      <c r="C708" s="1" t="n">
        <v>45832</v>
      </c>
      <c r="D708" t="inlineStr">
        <is>
          <t>NORRBOTTENS LÄN</t>
        </is>
      </c>
      <c r="E708" t="inlineStr">
        <is>
          <t>BODEN</t>
        </is>
      </c>
      <c r="F708" t="inlineStr">
        <is>
          <t>Sveaskog</t>
        </is>
      </c>
      <c r="G708" t="n">
        <v>9.5</v>
      </c>
      <c r="H708" t="n">
        <v>0</v>
      </c>
      <c r="I708" t="n">
        <v>0</v>
      </c>
      <c r="J708" t="n">
        <v>0</v>
      </c>
      <c r="K708" t="n">
        <v>0</v>
      </c>
      <c r="L708" t="n">
        <v>0</v>
      </c>
      <c r="M708" t="n">
        <v>0</v>
      </c>
      <c r="N708" t="n">
        <v>0</v>
      </c>
      <c r="O708" t="n">
        <v>0</v>
      </c>
      <c r="P708" t="n">
        <v>0</v>
      </c>
      <c r="Q708" t="n">
        <v>0</v>
      </c>
      <c r="R708" s="2" t="inlineStr"/>
    </row>
    <row r="709" ht="15" customHeight="1">
      <c r="A709" t="inlineStr">
        <is>
          <t>A 49806-2022</t>
        </is>
      </c>
      <c r="B709" s="1" t="n">
        <v>44862</v>
      </c>
      <c r="C709" s="1" t="n">
        <v>45832</v>
      </c>
      <c r="D709" t="inlineStr">
        <is>
          <t>NORRBOTTENS LÄN</t>
        </is>
      </c>
      <c r="E709" t="inlineStr">
        <is>
          <t>BODEN</t>
        </is>
      </c>
      <c r="G709" t="n">
        <v>7.9</v>
      </c>
      <c r="H709" t="n">
        <v>0</v>
      </c>
      <c r="I709" t="n">
        <v>0</v>
      </c>
      <c r="J709" t="n">
        <v>0</v>
      </c>
      <c r="K709" t="n">
        <v>0</v>
      </c>
      <c r="L709" t="n">
        <v>0</v>
      </c>
      <c r="M709" t="n">
        <v>0</v>
      </c>
      <c r="N709" t="n">
        <v>0</v>
      </c>
      <c r="O709" t="n">
        <v>0</v>
      </c>
      <c r="P709" t="n">
        <v>0</v>
      </c>
      <c r="Q709" t="n">
        <v>0</v>
      </c>
      <c r="R709" s="2" t="inlineStr"/>
    </row>
    <row r="710" ht="15" customHeight="1">
      <c r="A710" t="inlineStr">
        <is>
          <t>A 50322-2022</t>
        </is>
      </c>
      <c r="B710" s="1" t="n">
        <v>44865</v>
      </c>
      <c r="C710" s="1" t="n">
        <v>45832</v>
      </c>
      <c r="D710" t="inlineStr">
        <is>
          <t>NORRBOTTENS LÄN</t>
        </is>
      </c>
      <c r="E710" t="inlineStr">
        <is>
          <t>BODEN</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50760-2022</t>
        </is>
      </c>
      <c r="B711" s="1" t="n">
        <v>44867</v>
      </c>
      <c r="C711" s="1" t="n">
        <v>45832</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50757-2022</t>
        </is>
      </c>
      <c r="B712" s="1" t="n">
        <v>44867</v>
      </c>
      <c r="C712" s="1" t="n">
        <v>45832</v>
      </c>
      <c r="D712" t="inlineStr">
        <is>
          <t>NORRBOTTENS LÄN</t>
        </is>
      </c>
      <c r="E712" t="inlineStr">
        <is>
          <t>BODEN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50752-2022</t>
        </is>
      </c>
      <c r="B713" s="1" t="n">
        <v>44867</v>
      </c>
      <c r="C713" s="1" t="n">
        <v>45832</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51029-2022</t>
        </is>
      </c>
      <c r="B714" s="1" t="n">
        <v>44868</v>
      </c>
      <c r="C714" s="1" t="n">
        <v>45832</v>
      </c>
      <c r="D714" t="inlineStr">
        <is>
          <t>NORRBOTTENS LÄN</t>
        </is>
      </c>
      <c r="E714" t="inlineStr">
        <is>
          <t>BODEN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51192-2022</t>
        </is>
      </c>
      <c r="B715" s="1" t="n">
        <v>44868</v>
      </c>
      <c r="C715" s="1" t="n">
        <v>45832</v>
      </c>
      <c r="D715" t="inlineStr">
        <is>
          <t>NORRBOTTENS LÄN</t>
        </is>
      </c>
      <c r="E715" t="inlineStr">
        <is>
          <t>BODEN</t>
        </is>
      </c>
      <c r="F715" t="inlineStr">
        <is>
          <t>Sveaskog</t>
        </is>
      </c>
      <c r="G715" t="n">
        <v>5.7</v>
      </c>
      <c r="H715" t="n">
        <v>0</v>
      </c>
      <c r="I715" t="n">
        <v>0</v>
      </c>
      <c r="J715" t="n">
        <v>0</v>
      </c>
      <c r="K715" t="n">
        <v>0</v>
      </c>
      <c r="L715" t="n">
        <v>0</v>
      </c>
      <c r="M715" t="n">
        <v>0</v>
      </c>
      <c r="N715" t="n">
        <v>0</v>
      </c>
      <c r="O715" t="n">
        <v>0</v>
      </c>
      <c r="P715" t="n">
        <v>0</v>
      </c>
      <c r="Q715" t="n">
        <v>0</v>
      </c>
      <c r="R715" s="2" t="inlineStr"/>
    </row>
    <row r="716" ht="15" customHeight="1">
      <c r="A716" t="inlineStr">
        <is>
          <t>A 52118-2022</t>
        </is>
      </c>
      <c r="B716" s="1" t="n">
        <v>44868</v>
      </c>
      <c r="C716" s="1" t="n">
        <v>45832</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52049-2022</t>
        </is>
      </c>
      <c r="B717" s="1" t="n">
        <v>44873</v>
      </c>
      <c r="C717" s="1" t="n">
        <v>45832</v>
      </c>
      <c r="D717" t="inlineStr">
        <is>
          <t>NORRBOTTENS LÄN</t>
        </is>
      </c>
      <c r="E717" t="inlineStr">
        <is>
          <t>BODEN</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52619-2022</t>
        </is>
      </c>
      <c r="B718" s="1" t="n">
        <v>44874</v>
      </c>
      <c r="C718" s="1" t="n">
        <v>45832</v>
      </c>
      <c r="D718" t="inlineStr">
        <is>
          <t>NORRBOTTENS LÄN</t>
        </is>
      </c>
      <c r="E718" t="inlineStr">
        <is>
          <t>BODEN</t>
        </is>
      </c>
      <c r="G718" t="n">
        <v>4.8</v>
      </c>
      <c r="H718" t="n">
        <v>0</v>
      </c>
      <c r="I718" t="n">
        <v>0</v>
      </c>
      <c r="J718" t="n">
        <v>0</v>
      </c>
      <c r="K718" t="n">
        <v>0</v>
      </c>
      <c r="L718" t="n">
        <v>0</v>
      </c>
      <c r="M718" t="n">
        <v>0</v>
      </c>
      <c r="N718" t="n">
        <v>0</v>
      </c>
      <c r="O718" t="n">
        <v>0</v>
      </c>
      <c r="P718" t="n">
        <v>0</v>
      </c>
      <c r="Q718" t="n">
        <v>0</v>
      </c>
      <c r="R718" s="2" t="inlineStr"/>
    </row>
    <row r="719" ht="15" customHeight="1">
      <c r="A719" t="inlineStr">
        <is>
          <t>A 53007-2022</t>
        </is>
      </c>
      <c r="B719" s="1" t="n">
        <v>44875</v>
      </c>
      <c r="C719" s="1" t="n">
        <v>45832</v>
      </c>
      <c r="D719" t="inlineStr">
        <is>
          <t>NORRBOTTENS LÄN</t>
        </is>
      </c>
      <c r="E719" t="inlineStr">
        <is>
          <t>BODEN</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53006-2022</t>
        </is>
      </c>
      <c r="B720" s="1" t="n">
        <v>44875</v>
      </c>
      <c r="C720" s="1" t="n">
        <v>45832</v>
      </c>
      <c r="D720" t="inlineStr">
        <is>
          <t>NORRBOTTENS LÄN</t>
        </is>
      </c>
      <c r="E720" t="inlineStr">
        <is>
          <t>BODEN</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53840-2022</t>
        </is>
      </c>
      <c r="B721" s="1" t="n">
        <v>44880</v>
      </c>
      <c r="C721" s="1" t="n">
        <v>45832</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54104-2022</t>
        </is>
      </c>
      <c r="B722" s="1" t="n">
        <v>44881</v>
      </c>
      <c r="C722" s="1" t="n">
        <v>45832</v>
      </c>
      <c r="D722" t="inlineStr">
        <is>
          <t>NORRBOTTENS LÄN</t>
        </is>
      </c>
      <c r="E722" t="inlineStr">
        <is>
          <t>BODEN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54237-2022</t>
        </is>
      </c>
      <c r="B723" s="1" t="n">
        <v>44881</v>
      </c>
      <c r="C723" s="1" t="n">
        <v>45832</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54236-2022</t>
        </is>
      </c>
      <c r="B724" s="1" t="n">
        <v>44881</v>
      </c>
      <c r="C724" s="1" t="n">
        <v>45832</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54240-2022</t>
        </is>
      </c>
      <c r="B725" s="1" t="n">
        <v>44881</v>
      </c>
      <c r="C725" s="1" t="n">
        <v>45832</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54421-2022</t>
        </is>
      </c>
      <c r="B726" s="1" t="n">
        <v>44882</v>
      </c>
      <c r="C726" s="1" t="n">
        <v>45832</v>
      </c>
      <c r="D726" t="inlineStr">
        <is>
          <t>NORRBOTTENS LÄN</t>
        </is>
      </c>
      <c r="E726" t="inlineStr">
        <is>
          <t>BODEN</t>
        </is>
      </c>
      <c r="G726" t="n">
        <v>12.3</v>
      </c>
      <c r="H726" t="n">
        <v>0</v>
      </c>
      <c r="I726" t="n">
        <v>0</v>
      </c>
      <c r="J726" t="n">
        <v>0</v>
      </c>
      <c r="K726" t="n">
        <v>0</v>
      </c>
      <c r="L726" t="n">
        <v>0</v>
      </c>
      <c r="M726" t="n">
        <v>0</v>
      </c>
      <c r="N726" t="n">
        <v>0</v>
      </c>
      <c r="O726" t="n">
        <v>0</v>
      </c>
      <c r="P726" t="n">
        <v>0</v>
      </c>
      <c r="Q726" t="n">
        <v>0</v>
      </c>
      <c r="R726" s="2" t="inlineStr"/>
    </row>
    <row r="727" ht="15" customHeight="1">
      <c r="A727" t="inlineStr">
        <is>
          <t>A 54587-2022</t>
        </is>
      </c>
      <c r="B727" s="1" t="n">
        <v>44883</v>
      </c>
      <c r="C727" s="1" t="n">
        <v>45832</v>
      </c>
      <c r="D727" t="inlineStr">
        <is>
          <t>NORRBOTTENS LÄN</t>
        </is>
      </c>
      <c r="E727" t="inlineStr">
        <is>
          <t>BODEN</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54592-2022</t>
        </is>
      </c>
      <c r="B728" s="1" t="n">
        <v>44883</v>
      </c>
      <c r="C728" s="1" t="n">
        <v>45832</v>
      </c>
      <c r="D728" t="inlineStr">
        <is>
          <t>NORRBOTTENS LÄN</t>
        </is>
      </c>
      <c r="E728" t="inlineStr">
        <is>
          <t>BODEN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45832</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55536-2022</t>
        </is>
      </c>
      <c r="B730" s="1" t="n">
        <v>44887</v>
      </c>
      <c r="C730" s="1" t="n">
        <v>45832</v>
      </c>
      <c r="D730" t="inlineStr">
        <is>
          <t>NORRBOTTENS LÄN</t>
        </is>
      </c>
      <c r="E730" t="inlineStr">
        <is>
          <t>BODEN</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55541-2022</t>
        </is>
      </c>
      <c r="B731" s="1" t="n">
        <v>44887</v>
      </c>
      <c r="C731" s="1" t="n">
        <v>45832</v>
      </c>
      <c r="D731" t="inlineStr">
        <is>
          <t>NORRBOTTENS LÄN</t>
        </is>
      </c>
      <c r="E731" t="inlineStr">
        <is>
          <t>BODEN</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55539-2022</t>
        </is>
      </c>
      <c r="B732" s="1" t="n">
        <v>44887</v>
      </c>
      <c r="C732" s="1" t="n">
        <v>45832</v>
      </c>
      <c r="D732" t="inlineStr">
        <is>
          <t>NORRBOTTENS LÄN</t>
        </is>
      </c>
      <c r="E732" t="inlineStr">
        <is>
          <t>BODEN</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55534-2022</t>
        </is>
      </c>
      <c r="B733" s="1" t="n">
        <v>44887</v>
      </c>
      <c r="C733" s="1" t="n">
        <v>45832</v>
      </c>
      <c r="D733" t="inlineStr">
        <is>
          <t>NORRBOTTENS LÄN</t>
        </is>
      </c>
      <c r="E733" t="inlineStr">
        <is>
          <t>BODEN</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55540-2022</t>
        </is>
      </c>
      <c r="B734" s="1" t="n">
        <v>44887</v>
      </c>
      <c r="C734" s="1" t="n">
        <v>45832</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55538-2022</t>
        </is>
      </c>
      <c r="B735" s="1" t="n">
        <v>44887</v>
      </c>
      <c r="C735" s="1" t="n">
        <v>45832</v>
      </c>
      <c r="D735" t="inlineStr">
        <is>
          <t>NORRBOTTENS LÄN</t>
        </is>
      </c>
      <c r="E735" t="inlineStr">
        <is>
          <t>BODEN</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55979-2022</t>
        </is>
      </c>
      <c r="B736" s="1" t="n">
        <v>44889</v>
      </c>
      <c r="C736" s="1" t="n">
        <v>45832</v>
      </c>
      <c r="D736" t="inlineStr">
        <is>
          <t>NORRBOTTENS LÄN</t>
        </is>
      </c>
      <c r="E736" t="inlineStr">
        <is>
          <t>BODEN</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55984-2022</t>
        </is>
      </c>
      <c r="B737" s="1" t="n">
        <v>44889</v>
      </c>
      <c r="C737" s="1" t="n">
        <v>45832</v>
      </c>
      <c r="D737" t="inlineStr">
        <is>
          <t>NORRBOTTENS LÄN</t>
        </is>
      </c>
      <c r="E737" t="inlineStr">
        <is>
          <t>BODEN</t>
        </is>
      </c>
      <c r="F737" t="inlineStr">
        <is>
          <t>Sveaskog</t>
        </is>
      </c>
      <c r="G737" t="n">
        <v>15.3</v>
      </c>
      <c r="H737" t="n">
        <v>0</v>
      </c>
      <c r="I737" t="n">
        <v>0</v>
      </c>
      <c r="J737" t="n">
        <v>0</v>
      </c>
      <c r="K737" t="n">
        <v>0</v>
      </c>
      <c r="L737" t="n">
        <v>0</v>
      </c>
      <c r="M737" t="n">
        <v>0</v>
      </c>
      <c r="N737" t="n">
        <v>0</v>
      </c>
      <c r="O737" t="n">
        <v>0</v>
      </c>
      <c r="P737" t="n">
        <v>0</v>
      </c>
      <c r="Q737" t="n">
        <v>0</v>
      </c>
      <c r="R737" s="2" t="inlineStr"/>
    </row>
    <row r="738" ht="15" customHeight="1">
      <c r="A738" t="inlineStr">
        <is>
          <t>A 56163-2022</t>
        </is>
      </c>
      <c r="B738" s="1" t="n">
        <v>44889</v>
      </c>
      <c r="C738" s="1" t="n">
        <v>45832</v>
      </c>
      <c r="D738" t="inlineStr">
        <is>
          <t>NORRBOTTENS LÄN</t>
        </is>
      </c>
      <c r="E738" t="inlineStr">
        <is>
          <t>BODEN</t>
        </is>
      </c>
      <c r="G738" t="n">
        <v>6.1</v>
      </c>
      <c r="H738" t="n">
        <v>0</v>
      </c>
      <c r="I738" t="n">
        <v>0</v>
      </c>
      <c r="J738" t="n">
        <v>0</v>
      </c>
      <c r="K738" t="n">
        <v>0</v>
      </c>
      <c r="L738" t="n">
        <v>0</v>
      </c>
      <c r="M738" t="n">
        <v>0</v>
      </c>
      <c r="N738" t="n">
        <v>0</v>
      </c>
      <c r="O738" t="n">
        <v>0</v>
      </c>
      <c r="P738" t="n">
        <v>0</v>
      </c>
      <c r="Q738" t="n">
        <v>0</v>
      </c>
      <c r="R738" s="2" t="inlineStr"/>
    </row>
    <row r="739" ht="15" customHeight="1">
      <c r="A739" t="inlineStr">
        <is>
          <t>A 56094-2022</t>
        </is>
      </c>
      <c r="B739" s="1" t="n">
        <v>44889</v>
      </c>
      <c r="C739" s="1" t="n">
        <v>45832</v>
      </c>
      <c r="D739" t="inlineStr">
        <is>
          <t>NORRBOTTENS LÄN</t>
        </is>
      </c>
      <c r="E739" t="inlineStr">
        <is>
          <t>BODEN</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57739-2022</t>
        </is>
      </c>
      <c r="B740" s="1" t="n">
        <v>44897</v>
      </c>
      <c r="C740" s="1" t="n">
        <v>45832</v>
      </c>
      <c r="D740" t="inlineStr">
        <is>
          <t>NORRBOTTENS LÄN</t>
        </is>
      </c>
      <c r="E740" t="inlineStr">
        <is>
          <t>BODEN</t>
        </is>
      </c>
      <c r="G740" t="n">
        <v>4.3</v>
      </c>
      <c r="H740" t="n">
        <v>0</v>
      </c>
      <c r="I740" t="n">
        <v>0</v>
      </c>
      <c r="J740" t="n">
        <v>0</v>
      </c>
      <c r="K740" t="n">
        <v>0</v>
      </c>
      <c r="L740" t="n">
        <v>0</v>
      </c>
      <c r="M740" t="n">
        <v>0</v>
      </c>
      <c r="N740" t="n">
        <v>0</v>
      </c>
      <c r="O740" t="n">
        <v>0</v>
      </c>
      <c r="P740" t="n">
        <v>0</v>
      </c>
      <c r="Q740" t="n">
        <v>0</v>
      </c>
      <c r="R740" s="2" t="inlineStr"/>
    </row>
    <row r="741" ht="15" customHeight="1">
      <c r="A741" t="inlineStr">
        <is>
          <t>A 57813-2022</t>
        </is>
      </c>
      <c r="B741" s="1" t="n">
        <v>44897</v>
      </c>
      <c r="C741" s="1" t="n">
        <v>45832</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45832</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58062-2022</t>
        </is>
      </c>
      <c r="B743" s="1" t="n">
        <v>44900</v>
      </c>
      <c r="C743" s="1" t="n">
        <v>45832</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58373-2022</t>
        </is>
      </c>
      <c r="B744" s="1" t="n">
        <v>44901</v>
      </c>
      <c r="C744" s="1" t="n">
        <v>45832</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59930-2022</t>
        </is>
      </c>
      <c r="B745" s="1" t="n">
        <v>44901</v>
      </c>
      <c r="C745" s="1" t="n">
        <v>45832</v>
      </c>
      <c r="D745" t="inlineStr">
        <is>
          <t>NORRBOTTENS LÄN</t>
        </is>
      </c>
      <c r="E745" t="inlineStr">
        <is>
          <t>BODEN</t>
        </is>
      </c>
      <c r="G745" t="n">
        <v>8.4</v>
      </c>
      <c r="H745" t="n">
        <v>0</v>
      </c>
      <c r="I745" t="n">
        <v>0</v>
      </c>
      <c r="J745" t="n">
        <v>0</v>
      </c>
      <c r="K745" t="n">
        <v>0</v>
      </c>
      <c r="L745" t="n">
        <v>0</v>
      </c>
      <c r="M745" t="n">
        <v>0</v>
      </c>
      <c r="N745" t="n">
        <v>0</v>
      </c>
      <c r="O745" t="n">
        <v>0</v>
      </c>
      <c r="P745" t="n">
        <v>0</v>
      </c>
      <c r="Q745" t="n">
        <v>0</v>
      </c>
      <c r="R745" s="2" t="inlineStr"/>
    </row>
    <row r="746" ht="15" customHeight="1">
      <c r="A746" t="inlineStr">
        <is>
          <t>A 58788-2022</t>
        </is>
      </c>
      <c r="B746" s="1" t="n">
        <v>44903</v>
      </c>
      <c r="C746" s="1" t="n">
        <v>45832</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59028-2022</t>
        </is>
      </c>
      <c r="B747" s="1" t="n">
        <v>44903</v>
      </c>
      <c r="C747" s="1" t="n">
        <v>45832</v>
      </c>
      <c r="D747" t="inlineStr">
        <is>
          <t>NORRBOTTENS LÄN</t>
        </is>
      </c>
      <c r="E747" t="inlineStr">
        <is>
          <t>BODEN</t>
        </is>
      </c>
      <c r="G747" t="n">
        <v>16.1</v>
      </c>
      <c r="H747" t="n">
        <v>0</v>
      </c>
      <c r="I747" t="n">
        <v>0</v>
      </c>
      <c r="J747" t="n">
        <v>0</v>
      </c>
      <c r="K747" t="n">
        <v>0</v>
      </c>
      <c r="L747" t="n">
        <v>0</v>
      </c>
      <c r="M747" t="n">
        <v>0</v>
      </c>
      <c r="N747" t="n">
        <v>0</v>
      </c>
      <c r="O747" t="n">
        <v>0</v>
      </c>
      <c r="P747" t="n">
        <v>0</v>
      </c>
      <c r="Q747" t="n">
        <v>0</v>
      </c>
      <c r="R747" s="2" t="inlineStr"/>
    </row>
    <row r="748" ht="15" customHeight="1">
      <c r="A748" t="inlineStr">
        <is>
          <t>A 59029-2022</t>
        </is>
      </c>
      <c r="B748" s="1" t="n">
        <v>44903</v>
      </c>
      <c r="C748" s="1" t="n">
        <v>45832</v>
      </c>
      <c r="D748" t="inlineStr">
        <is>
          <t>NORRBOTTENS LÄN</t>
        </is>
      </c>
      <c r="E748" t="inlineStr">
        <is>
          <t>BODEN</t>
        </is>
      </c>
      <c r="G748" t="n">
        <v>7.3</v>
      </c>
      <c r="H748" t="n">
        <v>0</v>
      </c>
      <c r="I748" t="n">
        <v>0</v>
      </c>
      <c r="J748" t="n">
        <v>0</v>
      </c>
      <c r="K748" t="n">
        <v>0</v>
      </c>
      <c r="L748" t="n">
        <v>0</v>
      </c>
      <c r="M748" t="n">
        <v>0</v>
      </c>
      <c r="N748" t="n">
        <v>0</v>
      </c>
      <c r="O748" t="n">
        <v>0</v>
      </c>
      <c r="P748" t="n">
        <v>0</v>
      </c>
      <c r="Q748" t="n">
        <v>0</v>
      </c>
      <c r="R748" s="2" t="inlineStr"/>
    </row>
    <row r="749" ht="15" customHeight="1">
      <c r="A749" t="inlineStr">
        <is>
          <t>A 61107-2022</t>
        </is>
      </c>
      <c r="B749" s="1" t="n">
        <v>44908</v>
      </c>
      <c r="C749" s="1" t="n">
        <v>45832</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45832</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61086-2022</t>
        </is>
      </c>
      <c r="B751" s="1" t="n">
        <v>44908</v>
      </c>
      <c r="C751" s="1" t="n">
        <v>45832</v>
      </c>
      <c r="D751" t="inlineStr">
        <is>
          <t>NORRBOTTENS LÄN</t>
        </is>
      </c>
      <c r="E751" t="inlineStr">
        <is>
          <t>BODEN</t>
        </is>
      </c>
      <c r="G751" t="n">
        <v>7.7</v>
      </c>
      <c r="H751" t="n">
        <v>0</v>
      </c>
      <c r="I751" t="n">
        <v>0</v>
      </c>
      <c r="J751" t="n">
        <v>0</v>
      </c>
      <c r="K751" t="n">
        <v>0</v>
      </c>
      <c r="L751" t="n">
        <v>0</v>
      </c>
      <c r="M751" t="n">
        <v>0</v>
      </c>
      <c r="N751" t="n">
        <v>0</v>
      </c>
      <c r="O751" t="n">
        <v>0</v>
      </c>
      <c r="P751" t="n">
        <v>0</v>
      </c>
      <c r="Q751" t="n">
        <v>0</v>
      </c>
      <c r="R751" s="2" t="inlineStr"/>
    </row>
    <row r="752" ht="15" customHeight="1">
      <c r="A752" t="inlineStr">
        <is>
          <t>A 61488-2022</t>
        </is>
      </c>
      <c r="B752" s="1" t="n">
        <v>44910</v>
      </c>
      <c r="C752" s="1" t="n">
        <v>45832</v>
      </c>
      <c r="D752" t="inlineStr">
        <is>
          <t>NORRBOTTENS LÄN</t>
        </is>
      </c>
      <c r="E752" t="inlineStr">
        <is>
          <t>BODEN</t>
        </is>
      </c>
      <c r="F752" t="inlineStr">
        <is>
          <t>Sveaskog</t>
        </is>
      </c>
      <c r="G752" t="n">
        <v>18.6</v>
      </c>
      <c r="H752" t="n">
        <v>0</v>
      </c>
      <c r="I752" t="n">
        <v>0</v>
      </c>
      <c r="J752" t="n">
        <v>0</v>
      </c>
      <c r="K752" t="n">
        <v>0</v>
      </c>
      <c r="L752" t="n">
        <v>0</v>
      </c>
      <c r="M752" t="n">
        <v>0</v>
      </c>
      <c r="N752" t="n">
        <v>0</v>
      </c>
      <c r="O752" t="n">
        <v>0</v>
      </c>
      <c r="P752" t="n">
        <v>0</v>
      </c>
      <c r="Q752" t="n">
        <v>0</v>
      </c>
      <c r="R752" s="2" t="inlineStr"/>
    </row>
    <row r="753" ht="15" customHeight="1">
      <c r="A753" t="inlineStr">
        <is>
          <t>A 60436-2022</t>
        </is>
      </c>
      <c r="B753" s="1" t="n">
        <v>44911</v>
      </c>
      <c r="C753" s="1" t="n">
        <v>45832</v>
      </c>
      <c r="D753" t="inlineStr">
        <is>
          <t>NORRBOTTENS LÄN</t>
        </is>
      </c>
      <c r="E753" t="inlineStr">
        <is>
          <t>BODEN</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61725-2022</t>
        </is>
      </c>
      <c r="B754" s="1" t="n">
        <v>44911</v>
      </c>
      <c r="C754" s="1" t="n">
        <v>45832</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61708-2022</t>
        </is>
      </c>
      <c r="B755" s="1" t="n">
        <v>44911</v>
      </c>
      <c r="C755" s="1" t="n">
        <v>45832</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61857-2022</t>
        </is>
      </c>
      <c r="B756" s="1" t="n">
        <v>44911</v>
      </c>
      <c r="C756" s="1" t="n">
        <v>45832</v>
      </c>
      <c r="D756" t="inlineStr">
        <is>
          <t>NORRBOTTENS LÄN</t>
        </is>
      </c>
      <c r="E756" t="inlineStr">
        <is>
          <t>BODEN</t>
        </is>
      </c>
      <c r="G756" t="n">
        <v>1.9</v>
      </c>
      <c r="H756" t="n">
        <v>0</v>
      </c>
      <c r="I756" t="n">
        <v>0</v>
      </c>
      <c r="J756" t="n">
        <v>0</v>
      </c>
      <c r="K756" t="n">
        <v>0</v>
      </c>
      <c r="L756" t="n">
        <v>0</v>
      </c>
      <c r="M756" t="n">
        <v>0</v>
      </c>
      <c r="N756" t="n">
        <v>0</v>
      </c>
      <c r="O756" t="n">
        <v>0</v>
      </c>
      <c r="P756" t="n">
        <v>0</v>
      </c>
      <c r="Q756" t="n">
        <v>0</v>
      </c>
      <c r="R756" s="2" t="inlineStr"/>
    </row>
    <row r="757" ht="15" customHeight="1">
      <c r="A757" t="inlineStr">
        <is>
          <t>A 61922-2022</t>
        </is>
      </c>
      <c r="B757" s="1" t="n">
        <v>44917</v>
      </c>
      <c r="C757" s="1" t="n">
        <v>45832</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62019-2022</t>
        </is>
      </c>
      <c r="B758" s="1" t="n">
        <v>44918</v>
      </c>
      <c r="C758" s="1" t="n">
        <v>45832</v>
      </c>
      <c r="D758" t="inlineStr">
        <is>
          <t>NORRBOTTENS LÄN</t>
        </is>
      </c>
      <c r="E758" t="inlineStr">
        <is>
          <t>BODEN</t>
        </is>
      </c>
      <c r="G758" t="n">
        <v>1.2</v>
      </c>
      <c r="H758" t="n">
        <v>0</v>
      </c>
      <c r="I758" t="n">
        <v>0</v>
      </c>
      <c r="J758" t="n">
        <v>0</v>
      </c>
      <c r="K758" t="n">
        <v>0</v>
      </c>
      <c r="L758" t="n">
        <v>0</v>
      </c>
      <c r="M758" t="n">
        <v>0</v>
      </c>
      <c r="N758" t="n">
        <v>0</v>
      </c>
      <c r="O758" t="n">
        <v>0</v>
      </c>
      <c r="P758" t="n">
        <v>0</v>
      </c>
      <c r="Q758" t="n">
        <v>0</v>
      </c>
      <c r="R758" s="2" t="inlineStr"/>
    </row>
    <row r="759" ht="15" customHeight="1">
      <c r="A759" t="inlineStr">
        <is>
          <t>A 62487-2022</t>
        </is>
      </c>
      <c r="B759" s="1" t="n">
        <v>44924</v>
      </c>
      <c r="C759" s="1" t="n">
        <v>45832</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62730-2022</t>
        </is>
      </c>
      <c r="B760" s="1" t="n">
        <v>44925</v>
      </c>
      <c r="C760" s="1" t="n">
        <v>45832</v>
      </c>
      <c r="D760" t="inlineStr">
        <is>
          <t>NORRBOTTENS LÄN</t>
        </is>
      </c>
      <c r="E760" t="inlineStr">
        <is>
          <t>BODEN</t>
        </is>
      </c>
      <c r="G760" t="n">
        <v>3.1</v>
      </c>
      <c r="H760" t="n">
        <v>0</v>
      </c>
      <c r="I760" t="n">
        <v>0</v>
      </c>
      <c r="J760" t="n">
        <v>0</v>
      </c>
      <c r="K760" t="n">
        <v>0</v>
      </c>
      <c r="L760" t="n">
        <v>0</v>
      </c>
      <c r="M760" t="n">
        <v>0</v>
      </c>
      <c r="N760" t="n">
        <v>0</v>
      </c>
      <c r="O760" t="n">
        <v>0</v>
      </c>
      <c r="P760" t="n">
        <v>0</v>
      </c>
      <c r="Q760" t="n">
        <v>0</v>
      </c>
      <c r="R760" s="2" t="inlineStr"/>
    </row>
    <row r="761" ht="15" customHeight="1">
      <c r="A761" t="inlineStr">
        <is>
          <t>A 665-2023</t>
        </is>
      </c>
      <c r="B761" s="1" t="n">
        <v>44925</v>
      </c>
      <c r="C761" s="1" t="n">
        <v>45832</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406-2023</t>
        </is>
      </c>
      <c r="B762" s="1" t="n">
        <v>44929</v>
      </c>
      <c r="C762" s="1" t="n">
        <v>45832</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877-2023</t>
        </is>
      </c>
      <c r="B763" s="1" t="n">
        <v>44931</v>
      </c>
      <c r="C763" s="1" t="n">
        <v>45832</v>
      </c>
      <c r="D763" t="inlineStr">
        <is>
          <t>NORRBOTTENS LÄN</t>
        </is>
      </c>
      <c r="E763" t="inlineStr">
        <is>
          <t>BODEN</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1017-2023</t>
        </is>
      </c>
      <c r="B764" s="1" t="n">
        <v>44935</v>
      </c>
      <c r="C764" s="1" t="n">
        <v>45832</v>
      </c>
      <c r="D764" t="inlineStr">
        <is>
          <t>NORRBOTTENS LÄN</t>
        </is>
      </c>
      <c r="E764" t="inlineStr">
        <is>
          <t>BODEN</t>
        </is>
      </c>
      <c r="G764" t="n">
        <v>4.4</v>
      </c>
      <c r="H764" t="n">
        <v>0</v>
      </c>
      <c r="I764" t="n">
        <v>0</v>
      </c>
      <c r="J764" t="n">
        <v>0</v>
      </c>
      <c r="K764" t="n">
        <v>0</v>
      </c>
      <c r="L764" t="n">
        <v>0</v>
      </c>
      <c r="M764" t="n">
        <v>0</v>
      </c>
      <c r="N764" t="n">
        <v>0</v>
      </c>
      <c r="O764" t="n">
        <v>0</v>
      </c>
      <c r="P764" t="n">
        <v>0</v>
      </c>
      <c r="Q764" t="n">
        <v>0</v>
      </c>
      <c r="R764" s="2" t="inlineStr"/>
    </row>
    <row r="765" ht="15" customHeight="1">
      <c r="A765" t="inlineStr">
        <is>
          <t>A 1023-2023</t>
        </is>
      </c>
      <c r="B765" s="1" t="n">
        <v>44935</v>
      </c>
      <c r="C765" s="1" t="n">
        <v>45832</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1451-2023</t>
        </is>
      </c>
      <c r="B766" s="1" t="n">
        <v>44937</v>
      </c>
      <c r="C766" s="1" t="n">
        <v>45832</v>
      </c>
      <c r="D766" t="inlineStr">
        <is>
          <t>NORRBOTTENS LÄN</t>
        </is>
      </c>
      <c r="E766" t="inlineStr">
        <is>
          <t>BODEN</t>
        </is>
      </c>
      <c r="G766" t="n">
        <v>4.8</v>
      </c>
      <c r="H766" t="n">
        <v>0</v>
      </c>
      <c r="I766" t="n">
        <v>0</v>
      </c>
      <c r="J766" t="n">
        <v>0</v>
      </c>
      <c r="K766" t="n">
        <v>0</v>
      </c>
      <c r="L766" t="n">
        <v>0</v>
      </c>
      <c r="M766" t="n">
        <v>0</v>
      </c>
      <c r="N766" t="n">
        <v>0</v>
      </c>
      <c r="O766" t="n">
        <v>0</v>
      </c>
      <c r="P766" t="n">
        <v>0</v>
      </c>
      <c r="Q766" t="n">
        <v>0</v>
      </c>
      <c r="R766" s="2" t="inlineStr"/>
    </row>
    <row r="767" ht="15" customHeight="1">
      <c r="A767" t="inlineStr">
        <is>
          <t>A 2528-2023</t>
        </is>
      </c>
      <c r="B767" s="1" t="n">
        <v>44943</v>
      </c>
      <c r="C767" s="1" t="n">
        <v>45832</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3130-2023</t>
        </is>
      </c>
      <c r="B768" s="1" t="n">
        <v>44946</v>
      </c>
      <c r="C768" s="1" t="n">
        <v>45832</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3725-2023</t>
        </is>
      </c>
      <c r="B769" s="1" t="n">
        <v>44951</v>
      </c>
      <c r="C769" s="1" t="n">
        <v>45832</v>
      </c>
      <c r="D769" t="inlineStr">
        <is>
          <t>NORRBOTTENS LÄN</t>
        </is>
      </c>
      <c r="E769" t="inlineStr">
        <is>
          <t>BODEN</t>
        </is>
      </c>
      <c r="G769" t="n">
        <v>28.9</v>
      </c>
      <c r="H769" t="n">
        <v>0</v>
      </c>
      <c r="I769" t="n">
        <v>0</v>
      </c>
      <c r="J769" t="n">
        <v>0</v>
      </c>
      <c r="K769" t="n">
        <v>0</v>
      </c>
      <c r="L769" t="n">
        <v>0</v>
      </c>
      <c r="M769" t="n">
        <v>0</v>
      </c>
      <c r="N769" t="n">
        <v>0</v>
      </c>
      <c r="O769" t="n">
        <v>0</v>
      </c>
      <c r="P769" t="n">
        <v>0</v>
      </c>
      <c r="Q769" t="n">
        <v>0</v>
      </c>
      <c r="R769" s="2" t="inlineStr"/>
    </row>
    <row r="770" ht="15" customHeight="1">
      <c r="A770" t="inlineStr">
        <is>
          <t>A 5259-2023</t>
        </is>
      </c>
      <c r="B770" s="1" t="n">
        <v>44956</v>
      </c>
      <c r="C770" s="1" t="n">
        <v>45832</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45832</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6244-2023</t>
        </is>
      </c>
      <c r="B772" s="1" t="n">
        <v>44964</v>
      </c>
      <c r="C772" s="1" t="n">
        <v>45832</v>
      </c>
      <c r="D772" t="inlineStr">
        <is>
          <t>NORRBOTTENS LÄN</t>
        </is>
      </c>
      <c r="E772" t="inlineStr">
        <is>
          <t>BODEN</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6238-2023</t>
        </is>
      </c>
      <c r="B773" s="1" t="n">
        <v>44964</v>
      </c>
      <c r="C773" s="1" t="n">
        <v>45832</v>
      </c>
      <c r="D773" t="inlineStr">
        <is>
          <t>NORRBOTTENS LÄN</t>
        </is>
      </c>
      <c r="E773" t="inlineStr">
        <is>
          <t>BODEN</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6242-2023</t>
        </is>
      </c>
      <c r="B774" s="1" t="n">
        <v>44964</v>
      </c>
      <c r="C774" s="1" t="n">
        <v>45832</v>
      </c>
      <c r="D774" t="inlineStr">
        <is>
          <t>NORRBOTTENS LÄN</t>
        </is>
      </c>
      <c r="E774" t="inlineStr">
        <is>
          <t>BODEN</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6765-2023</t>
        </is>
      </c>
      <c r="B775" s="1" t="n">
        <v>44966</v>
      </c>
      <c r="C775" s="1" t="n">
        <v>45832</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6776-2023</t>
        </is>
      </c>
      <c r="B776" s="1" t="n">
        <v>44966</v>
      </c>
      <c r="C776" s="1" t="n">
        <v>45832</v>
      </c>
      <c r="D776" t="inlineStr">
        <is>
          <t>NORRBOTTENS LÄN</t>
        </is>
      </c>
      <c r="E776" t="inlineStr">
        <is>
          <t>BODEN</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6937-2023</t>
        </is>
      </c>
      <c r="B777" s="1" t="n">
        <v>44967</v>
      </c>
      <c r="C777" s="1" t="n">
        <v>45832</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7159-2023</t>
        </is>
      </c>
      <c r="B778" s="1" t="n">
        <v>44970</v>
      </c>
      <c r="C778" s="1" t="n">
        <v>45832</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9969-2023</t>
        </is>
      </c>
      <c r="B779" s="1" t="n">
        <v>44979</v>
      </c>
      <c r="C779" s="1" t="n">
        <v>45832</v>
      </c>
      <c r="D779" t="inlineStr">
        <is>
          <t>NORRBOTTENS LÄN</t>
        </is>
      </c>
      <c r="E779" t="inlineStr">
        <is>
          <t>BODEN</t>
        </is>
      </c>
      <c r="F779" t="inlineStr">
        <is>
          <t>Övriga statliga verk och myndigheter</t>
        </is>
      </c>
      <c r="G779" t="n">
        <v>18.8</v>
      </c>
      <c r="H779" t="n">
        <v>0</v>
      </c>
      <c r="I779" t="n">
        <v>0</v>
      </c>
      <c r="J779" t="n">
        <v>0</v>
      </c>
      <c r="K779" t="n">
        <v>0</v>
      </c>
      <c r="L779" t="n">
        <v>0</v>
      </c>
      <c r="M779" t="n">
        <v>0</v>
      </c>
      <c r="N779" t="n">
        <v>0</v>
      </c>
      <c r="O779" t="n">
        <v>0</v>
      </c>
      <c r="P779" t="n">
        <v>0</v>
      </c>
      <c r="Q779" t="n">
        <v>0</v>
      </c>
      <c r="R779" s="2" t="inlineStr"/>
    </row>
    <row r="780" ht="15" customHeight="1">
      <c r="A780" t="inlineStr">
        <is>
          <t>A 9480-2023</t>
        </is>
      </c>
      <c r="B780" s="1" t="n">
        <v>44981</v>
      </c>
      <c r="C780" s="1" t="n">
        <v>45832</v>
      </c>
      <c r="D780" t="inlineStr">
        <is>
          <t>NORRBOTTENS LÄN</t>
        </is>
      </c>
      <c r="E780" t="inlineStr">
        <is>
          <t>BODEN</t>
        </is>
      </c>
      <c r="G780" t="n">
        <v>8.4</v>
      </c>
      <c r="H780" t="n">
        <v>0</v>
      </c>
      <c r="I780" t="n">
        <v>0</v>
      </c>
      <c r="J780" t="n">
        <v>0</v>
      </c>
      <c r="K780" t="n">
        <v>0</v>
      </c>
      <c r="L780" t="n">
        <v>0</v>
      </c>
      <c r="M780" t="n">
        <v>0</v>
      </c>
      <c r="N780" t="n">
        <v>0</v>
      </c>
      <c r="O780" t="n">
        <v>0</v>
      </c>
      <c r="P780" t="n">
        <v>0</v>
      </c>
      <c r="Q780" t="n">
        <v>0</v>
      </c>
      <c r="R780" s="2" t="inlineStr"/>
    </row>
    <row r="781" ht="15" customHeight="1">
      <c r="A781" t="inlineStr">
        <is>
          <t>A 9596-2023</t>
        </is>
      </c>
      <c r="B781" s="1" t="n">
        <v>44983</v>
      </c>
      <c r="C781" s="1" t="n">
        <v>45832</v>
      </c>
      <c r="D781" t="inlineStr">
        <is>
          <t>NORRBOTTENS LÄN</t>
        </is>
      </c>
      <c r="E781" t="inlineStr">
        <is>
          <t>BODEN</t>
        </is>
      </c>
      <c r="G781" t="n">
        <v>37.1</v>
      </c>
      <c r="H781" t="n">
        <v>0</v>
      </c>
      <c r="I781" t="n">
        <v>0</v>
      </c>
      <c r="J781" t="n">
        <v>0</v>
      </c>
      <c r="K781" t="n">
        <v>0</v>
      </c>
      <c r="L781" t="n">
        <v>0</v>
      </c>
      <c r="M781" t="n">
        <v>0</v>
      </c>
      <c r="N781" t="n">
        <v>0</v>
      </c>
      <c r="O781" t="n">
        <v>0</v>
      </c>
      <c r="P781" t="n">
        <v>0</v>
      </c>
      <c r="Q781" t="n">
        <v>0</v>
      </c>
      <c r="R781" s="2" t="inlineStr"/>
    </row>
    <row r="782" ht="15" customHeight="1">
      <c r="A782" t="inlineStr">
        <is>
          <t>A 10999-2023</t>
        </is>
      </c>
      <c r="B782" s="1" t="n">
        <v>44991</v>
      </c>
      <c r="C782" s="1" t="n">
        <v>45832</v>
      </c>
      <c r="D782" t="inlineStr">
        <is>
          <t>NORRBOTTENS LÄN</t>
        </is>
      </c>
      <c r="E782" t="inlineStr">
        <is>
          <t>BODEN</t>
        </is>
      </c>
      <c r="G782" t="n">
        <v>3</v>
      </c>
      <c r="H782" t="n">
        <v>0</v>
      </c>
      <c r="I782" t="n">
        <v>0</v>
      </c>
      <c r="J782" t="n">
        <v>0</v>
      </c>
      <c r="K782" t="n">
        <v>0</v>
      </c>
      <c r="L782" t="n">
        <v>0</v>
      </c>
      <c r="M782" t="n">
        <v>0</v>
      </c>
      <c r="N782" t="n">
        <v>0</v>
      </c>
      <c r="O782" t="n">
        <v>0</v>
      </c>
      <c r="P782" t="n">
        <v>0</v>
      </c>
      <c r="Q782" t="n">
        <v>0</v>
      </c>
      <c r="R782" s="2" t="inlineStr"/>
    </row>
    <row r="783" ht="15" customHeight="1">
      <c r="A783" t="inlineStr">
        <is>
          <t>A 11647-2023</t>
        </is>
      </c>
      <c r="B783" s="1" t="n">
        <v>44994</v>
      </c>
      <c r="C783" s="1" t="n">
        <v>45832</v>
      </c>
      <c r="D783" t="inlineStr">
        <is>
          <t>NORRBOTTENS LÄN</t>
        </is>
      </c>
      <c r="E783" t="inlineStr">
        <is>
          <t>BODEN</t>
        </is>
      </c>
      <c r="G783" t="n">
        <v>0.3</v>
      </c>
      <c r="H783" t="n">
        <v>0</v>
      </c>
      <c r="I783" t="n">
        <v>0</v>
      </c>
      <c r="J783" t="n">
        <v>0</v>
      </c>
      <c r="K783" t="n">
        <v>0</v>
      </c>
      <c r="L783" t="n">
        <v>0</v>
      </c>
      <c r="M783" t="n">
        <v>0</v>
      </c>
      <c r="N783" t="n">
        <v>0</v>
      </c>
      <c r="O783" t="n">
        <v>0</v>
      </c>
      <c r="P783" t="n">
        <v>0</v>
      </c>
      <c r="Q783" t="n">
        <v>0</v>
      </c>
      <c r="R783" s="2" t="inlineStr"/>
    </row>
    <row r="784" ht="15" customHeight="1">
      <c r="A784" t="inlineStr">
        <is>
          <t>A 11651-2023</t>
        </is>
      </c>
      <c r="B784" s="1" t="n">
        <v>44994</v>
      </c>
      <c r="C784" s="1" t="n">
        <v>45832</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11930-2023</t>
        </is>
      </c>
      <c r="B785" s="1" t="n">
        <v>44994</v>
      </c>
      <c r="C785" s="1" t="n">
        <v>45832</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11984-2023</t>
        </is>
      </c>
      <c r="B786" s="1" t="n">
        <v>44994</v>
      </c>
      <c r="C786" s="1" t="n">
        <v>45832</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12801-2023</t>
        </is>
      </c>
      <c r="B787" s="1" t="n">
        <v>45001</v>
      </c>
      <c r="C787" s="1" t="n">
        <v>45832</v>
      </c>
      <c r="D787" t="inlineStr">
        <is>
          <t>NORRBOTTENS LÄN</t>
        </is>
      </c>
      <c r="E787" t="inlineStr">
        <is>
          <t>BODEN</t>
        </is>
      </c>
      <c r="G787" t="n">
        <v>3.7</v>
      </c>
      <c r="H787" t="n">
        <v>0</v>
      </c>
      <c r="I787" t="n">
        <v>0</v>
      </c>
      <c r="J787" t="n">
        <v>0</v>
      </c>
      <c r="K787" t="n">
        <v>0</v>
      </c>
      <c r="L787" t="n">
        <v>0</v>
      </c>
      <c r="M787" t="n">
        <v>0</v>
      </c>
      <c r="N787" t="n">
        <v>0</v>
      </c>
      <c r="O787" t="n">
        <v>0</v>
      </c>
      <c r="P787" t="n">
        <v>0</v>
      </c>
      <c r="Q787" t="n">
        <v>0</v>
      </c>
      <c r="R787" s="2" t="inlineStr"/>
    </row>
    <row r="788" ht="15" customHeight="1">
      <c r="A788" t="inlineStr">
        <is>
          <t>A 13435-2023</t>
        </is>
      </c>
      <c r="B788" s="1" t="n">
        <v>45005</v>
      </c>
      <c r="C788" s="1" t="n">
        <v>45832</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13451-2023</t>
        </is>
      </c>
      <c r="B789" s="1" t="n">
        <v>45005</v>
      </c>
      <c r="C789" s="1" t="n">
        <v>45832</v>
      </c>
      <c r="D789" t="inlineStr">
        <is>
          <t>NORRBOTTENS LÄN</t>
        </is>
      </c>
      <c r="E789" t="inlineStr">
        <is>
          <t>BODEN</t>
        </is>
      </c>
      <c r="G789" t="n">
        <v>4</v>
      </c>
      <c r="H789" t="n">
        <v>0</v>
      </c>
      <c r="I789" t="n">
        <v>0</v>
      </c>
      <c r="J789" t="n">
        <v>0</v>
      </c>
      <c r="K789" t="n">
        <v>0</v>
      </c>
      <c r="L789" t="n">
        <v>0</v>
      </c>
      <c r="M789" t="n">
        <v>0</v>
      </c>
      <c r="N789" t="n">
        <v>0</v>
      </c>
      <c r="O789" t="n">
        <v>0</v>
      </c>
      <c r="P789" t="n">
        <v>0</v>
      </c>
      <c r="Q789" t="n">
        <v>0</v>
      </c>
      <c r="R789" s="2" t="inlineStr"/>
    </row>
    <row r="790" ht="15" customHeight="1">
      <c r="A790" t="inlineStr">
        <is>
          <t>A 13473-2023</t>
        </is>
      </c>
      <c r="B790" s="1" t="n">
        <v>45005</v>
      </c>
      <c r="C790" s="1" t="n">
        <v>45832</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13808-2023</t>
        </is>
      </c>
      <c r="B791" s="1" t="n">
        <v>45006</v>
      </c>
      <c r="C791" s="1" t="n">
        <v>45832</v>
      </c>
      <c r="D791" t="inlineStr">
        <is>
          <t>NORRBOTTENS LÄN</t>
        </is>
      </c>
      <c r="E791" t="inlineStr">
        <is>
          <t>BODEN</t>
        </is>
      </c>
      <c r="G791" t="n">
        <v>14.5</v>
      </c>
      <c r="H791" t="n">
        <v>0</v>
      </c>
      <c r="I791" t="n">
        <v>0</v>
      </c>
      <c r="J791" t="n">
        <v>0</v>
      </c>
      <c r="K791" t="n">
        <v>0</v>
      </c>
      <c r="L791" t="n">
        <v>0</v>
      </c>
      <c r="M791" t="n">
        <v>0</v>
      </c>
      <c r="N791" t="n">
        <v>0</v>
      </c>
      <c r="O791" t="n">
        <v>0</v>
      </c>
      <c r="P791" t="n">
        <v>0</v>
      </c>
      <c r="Q791" t="n">
        <v>0</v>
      </c>
      <c r="R791" s="2" t="inlineStr"/>
    </row>
    <row r="792" ht="15" customHeight="1">
      <c r="A792" t="inlineStr">
        <is>
          <t>A 14748-2023</t>
        </is>
      </c>
      <c r="B792" s="1" t="n">
        <v>45013</v>
      </c>
      <c r="C792" s="1" t="n">
        <v>45832</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14738-2023</t>
        </is>
      </c>
      <c r="B793" s="1" t="n">
        <v>45013</v>
      </c>
      <c r="C793" s="1" t="n">
        <v>45832</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14743-2023</t>
        </is>
      </c>
      <c r="B794" s="1" t="n">
        <v>45013</v>
      </c>
      <c r="C794" s="1" t="n">
        <v>45832</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14757-2023</t>
        </is>
      </c>
      <c r="B795" s="1" t="n">
        <v>45014</v>
      </c>
      <c r="C795" s="1" t="n">
        <v>45832</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15868-2023</t>
        </is>
      </c>
      <c r="B796" s="1" t="n">
        <v>45022</v>
      </c>
      <c r="C796" s="1" t="n">
        <v>45832</v>
      </c>
      <c r="D796" t="inlineStr">
        <is>
          <t>NORRBOTTENS LÄN</t>
        </is>
      </c>
      <c r="E796" t="inlineStr">
        <is>
          <t>BODEN</t>
        </is>
      </c>
      <c r="G796" t="n">
        <v>24.8</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v>
      </c>
      <c r="C797" s="1" t="n">
        <v>45832</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15922-2023</t>
        </is>
      </c>
      <c r="B798" s="1" t="n">
        <v>45022</v>
      </c>
      <c r="C798" s="1" t="n">
        <v>45832</v>
      </c>
      <c r="D798" t="inlineStr">
        <is>
          <t>NORRBOTTENS LÄN</t>
        </is>
      </c>
      <c r="E798" t="inlineStr">
        <is>
          <t>BODEN</t>
        </is>
      </c>
      <c r="G798" t="n">
        <v>0.9</v>
      </c>
      <c r="H798" t="n">
        <v>0</v>
      </c>
      <c r="I798" t="n">
        <v>0</v>
      </c>
      <c r="J798" t="n">
        <v>0</v>
      </c>
      <c r="K798" t="n">
        <v>0</v>
      </c>
      <c r="L798" t="n">
        <v>0</v>
      </c>
      <c r="M798" t="n">
        <v>0</v>
      </c>
      <c r="N798" t="n">
        <v>0</v>
      </c>
      <c r="O798" t="n">
        <v>0</v>
      </c>
      <c r="P798" t="n">
        <v>0</v>
      </c>
      <c r="Q798" t="n">
        <v>0</v>
      </c>
      <c r="R798" s="2" t="inlineStr"/>
    </row>
    <row r="799" ht="15" customHeight="1">
      <c r="A799" t="inlineStr">
        <is>
          <t>A 16363-2023</t>
        </is>
      </c>
      <c r="B799" s="1" t="n">
        <v>45028</v>
      </c>
      <c r="C799" s="1" t="n">
        <v>45832</v>
      </c>
      <c r="D799" t="inlineStr">
        <is>
          <t>NORRBOTTENS LÄN</t>
        </is>
      </c>
      <c r="E799" t="inlineStr">
        <is>
          <t>BODEN</t>
        </is>
      </c>
      <c r="G799" t="n">
        <v>9.1</v>
      </c>
      <c r="H799" t="n">
        <v>0</v>
      </c>
      <c r="I799" t="n">
        <v>0</v>
      </c>
      <c r="J799" t="n">
        <v>0</v>
      </c>
      <c r="K799" t="n">
        <v>0</v>
      </c>
      <c r="L799" t="n">
        <v>0</v>
      </c>
      <c r="M799" t="n">
        <v>0</v>
      </c>
      <c r="N799" t="n">
        <v>0</v>
      </c>
      <c r="O799" t="n">
        <v>0</v>
      </c>
      <c r="P799" t="n">
        <v>0</v>
      </c>
      <c r="Q799" t="n">
        <v>0</v>
      </c>
      <c r="R799" s="2" t="inlineStr"/>
    </row>
    <row r="800" ht="15" customHeight="1">
      <c r="A800" t="inlineStr">
        <is>
          <t>A 17417-2023</t>
        </is>
      </c>
      <c r="B800" s="1" t="n">
        <v>45035</v>
      </c>
      <c r="C800" s="1" t="n">
        <v>45832</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18643-2023</t>
        </is>
      </c>
      <c r="B801" s="1" t="n">
        <v>45043</v>
      </c>
      <c r="C801" s="1" t="n">
        <v>45832</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18983-2023</t>
        </is>
      </c>
      <c r="B802" s="1" t="n">
        <v>45044</v>
      </c>
      <c r="C802" s="1" t="n">
        <v>45832</v>
      </c>
      <c r="D802" t="inlineStr">
        <is>
          <t>NORRBOTTENS LÄN</t>
        </is>
      </c>
      <c r="E802" t="inlineStr">
        <is>
          <t>BODEN</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19412-2023</t>
        </is>
      </c>
      <c r="B803" s="1" t="n">
        <v>45049</v>
      </c>
      <c r="C803" s="1" t="n">
        <v>45832</v>
      </c>
      <c r="D803" t="inlineStr">
        <is>
          <t>NORRBOTTENS LÄN</t>
        </is>
      </c>
      <c r="E803" t="inlineStr">
        <is>
          <t>BODEN</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19599-2023</t>
        </is>
      </c>
      <c r="B804" s="1" t="n">
        <v>45049</v>
      </c>
      <c r="C804" s="1" t="n">
        <v>45832</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20505-2023</t>
        </is>
      </c>
      <c r="B805" s="1" t="n">
        <v>45054</v>
      </c>
      <c r="C805" s="1" t="n">
        <v>45832</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20796-2023</t>
        </is>
      </c>
      <c r="B806" s="1" t="n">
        <v>45055</v>
      </c>
      <c r="C806" s="1" t="n">
        <v>45832</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21713-2023</t>
        </is>
      </c>
      <c r="B807" s="1" t="n">
        <v>45065</v>
      </c>
      <c r="C807" s="1" t="n">
        <v>45832</v>
      </c>
      <c r="D807" t="inlineStr">
        <is>
          <t>NORRBOTTENS LÄN</t>
        </is>
      </c>
      <c r="E807" t="inlineStr">
        <is>
          <t>BODEN</t>
        </is>
      </c>
      <c r="F807" t="inlineStr">
        <is>
          <t>Sveaskog</t>
        </is>
      </c>
      <c r="G807" t="n">
        <v>15.8</v>
      </c>
      <c r="H807" t="n">
        <v>0</v>
      </c>
      <c r="I807" t="n">
        <v>0</v>
      </c>
      <c r="J807" t="n">
        <v>0</v>
      </c>
      <c r="K807" t="n">
        <v>0</v>
      </c>
      <c r="L807" t="n">
        <v>0</v>
      </c>
      <c r="M807" t="n">
        <v>0</v>
      </c>
      <c r="N807" t="n">
        <v>0</v>
      </c>
      <c r="O807" t="n">
        <v>0</v>
      </c>
      <c r="P807" t="n">
        <v>0</v>
      </c>
      <c r="Q807" t="n">
        <v>0</v>
      </c>
      <c r="R807" s="2" t="inlineStr"/>
    </row>
    <row r="808" ht="15" customHeight="1">
      <c r="A808" t="inlineStr">
        <is>
          <t>A 21951-2023</t>
        </is>
      </c>
      <c r="B808" s="1" t="n">
        <v>45068</v>
      </c>
      <c r="C808" s="1" t="n">
        <v>45832</v>
      </c>
      <c r="D808" t="inlineStr">
        <is>
          <t>NORRBOTTENS LÄN</t>
        </is>
      </c>
      <c r="E808" t="inlineStr">
        <is>
          <t>BODEN</t>
        </is>
      </c>
      <c r="G808" t="n">
        <v>8.4</v>
      </c>
      <c r="H808" t="n">
        <v>0</v>
      </c>
      <c r="I808" t="n">
        <v>0</v>
      </c>
      <c r="J808" t="n">
        <v>0</v>
      </c>
      <c r="K808" t="n">
        <v>0</v>
      </c>
      <c r="L808" t="n">
        <v>0</v>
      </c>
      <c r="M808" t="n">
        <v>0</v>
      </c>
      <c r="N808" t="n">
        <v>0</v>
      </c>
      <c r="O808" t="n">
        <v>0</v>
      </c>
      <c r="P808" t="n">
        <v>0</v>
      </c>
      <c r="Q808" t="n">
        <v>0</v>
      </c>
      <c r="R808" s="2" t="inlineStr"/>
    </row>
    <row r="809" ht="15" customHeight="1">
      <c r="A809" t="inlineStr">
        <is>
          <t>A 22127-2023</t>
        </is>
      </c>
      <c r="B809" s="1" t="n">
        <v>45068</v>
      </c>
      <c r="C809" s="1" t="n">
        <v>45832</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22460-2023</t>
        </is>
      </c>
      <c r="B810" s="1" t="n">
        <v>45071</v>
      </c>
      <c r="C810" s="1" t="n">
        <v>45832</v>
      </c>
      <c r="D810" t="inlineStr">
        <is>
          <t>NORRBOTTENS LÄN</t>
        </is>
      </c>
      <c r="E810" t="inlineStr">
        <is>
          <t>BODEN</t>
        </is>
      </c>
      <c r="G810" t="n">
        <v>1.4</v>
      </c>
      <c r="H810" t="n">
        <v>0</v>
      </c>
      <c r="I810" t="n">
        <v>0</v>
      </c>
      <c r="J810" t="n">
        <v>0</v>
      </c>
      <c r="K810" t="n">
        <v>0</v>
      </c>
      <c r="L810" t="n">
        <v>0</v>
      </c>
      <c r="M810" t="n">
        <v>0</v>
      </c>
      <c r="N810" t="n">
        <v>0</v>
      </c>
      <c r="O810" t="n">
        <v>0</v>
      </c>
      <c r="P810" t="n">
        <v>0</v>
      </c>
      <c r="Q810" t="n">
        <v>0</v>
      </c>
      <c r="R810" s="2" t="inlineStr"/>
    </row>
    <row r="811" ht="15" customHeight="1">
      <c r="A811" t="inlineStr">
        <is>
          <t>A 22458-2023</t>
        </is>
      </c>
      <c r="B811" s="1" t="n">
        <v>45070</v>
      </c>
      <c r="C811" s="1" t="n">
        <v>45832</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22757-2023</t>
        </is>
      </c>
      <c r="B812" s="1" t="n">
        <v>45072</v>
      </c>
      <c r="C812" s="1" t="n">
        <v>45832</v>
      </c>
      <c r="D812" t="inlineStr">
        <is>
          <t>NORRBOTTENS LÄN</t>
        </is>
      </c>
      <c r="E812" t="inlineStr">
        <is>
          <t>BODEN</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22905-2023</t>
        </is>
      </c>
      <c r="B813" s="1" t="n">
        <v>45072</v>
      </c>
      <c r="C813" s="1" t="n">
        <v>45832</v>
      </c>
      <c r="D813" t="inlineStr">
        <is>
          <t>NORRBOTTENS LÄN</t>
        </is>
      </c>
      <c r="E813" t="inlineStr">
        <is>
          <t>BODEN</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23571-2023</t>
        </is>
      </c>
      <c r="B814" s="1" t="n">
        <v>45077</v>
      </c>
      <c r="C814" s="1" t="n">
        <v>45832</v>
      </c>
      <c r="D814" t="inlineStr">
        <is>
          <t>NORRBOTTENS LÄN</t>
        </is>
      </c>
      <c r="E814" t="inlineStr">
        <is>
          <t>BODEN</t>
        </is>
      </c>
      <c r="G814" t="n">
        <v>10.5</v>
      </c>
      <c r="H814" t="n">
        <v>0</v>
      </c>
      <c r="I814" t="n">
        <v>0</v>
      </c>
      <c r="J814" t="n">
        <v>0</v>
      </c>
      <c r="K814" t="n">
        <v>0</v>
      </c>
      <c r="L814" t="n">
        <v>0</v>
      </c>
      <c r="M814" t="n">
        <v>0</v>
      </c>
      <c r="N814" t="n">
        <v>0</v>
      </c>
      <c r="O814" t="n">
        <v>0</v>
      </c>
      <c r="P814" t="n">
        <v>0</v>
      </c>
      <c r="Q814" t="n">
        <v>0</v>
      </c>
      <c r="R814" s="2" t="inlineStr"/>
    </row>
    <row r="815" ht="15" customHeight="1">
      <c r="A815" t="inlineStr">
        <is>
          <t>A 23575-2023</t>
        </is>
      </c>
      <c r="B815" s="1" t="n">
        <v>45077</v>
      </c>
      <c r="C815" s="1" t="n">
        <v>45832</v>
      </c>
      <c r="D815" t="inlineStr">
        <is>
          <t>NORRBOTTENS LÄN</t>
        </is>
      </c>
      <c r="E815" t="inlineStr">
        <is>
          <t>BODEN</t>
        </is>
      </c>
      <c r="G815" t="n">
        <v>7.9</v>
      </c>
      <c r="H815" t="n">
        <v>0</v>
      </c>
      <c r="I815" t="n">
        <v>0</v>
      </c>
      <c r="J815" t="n">
        <v>0</v>
      </c>
      <c r="K815" t="n">
        <v>0</v>
      </c>
      <c r="L815" t="n">
        <v>0</v>
      </c>
      <c r="M815" t="n">
        <v>0</v>
      </c>
      <c r="N815" t="n">
        <v>0</v>
      </c>
      <c r="O815" t="n">
        <v>0</v>
      </c>
      <c r="P815" t="n">
        <v>0</v>
      </c>
      <c r="Q815" t="n">
        <v>0</v>
      </c>
      <c r="R815" s="2" t="inlineStr"/>
    </row>
    <row r="816" ht="15" customHeight="1">
      <c r="A816" t="inlineStr">
        <is>
          <t>A 23569-2023</t>
        </is>
      </c>
      <c r="B816" s="1" t="n">
        <v>45077</v>
      </c>
      <c r="C816" s="1" t="n">
        <v>45832</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25390-2023</t>
        </is>
      </c>
      <c r="B817" s="1" t="n">
        <v>45079</v>
      </c>
      <c r="C817" s="1" t="n">
        <v>45832</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25387-2023</t>
        </is>
      </c>
      <c r="B818" s="1" t="n">
        <v>45079</v>
      </c>
      <c r="C818" s="1" t="n">
        <v>45832</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24734-2023</t>
        </is>
      </c>
      <c r="B819" s="1" t="n">
        <v>45084</v>
      </c>
      <c r="C819" s="1" t="n">
        <v>45832</v>
      </c>
      <c r="D819" t="inlineStr">
        <is>
          <t>NORRBOTTENS LÄN</t>
        </is>
      </c>
      <c r="E819" t="inlineStr">
        <is>
          <t>BODEN</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24758-2023</t>
        </is>
      </c>
      <c r="B820" s="1" t="n">
        <v>45084</v>
      </c>
      <c r="C820" s="1" t="n">
        <v>45832</v>
      </c>
      <c r="D820" t="inlineStr">
        <is>
          <t>NORRBOTTENS LÄN</t>
        </is>
      </c>
      <c r="E820" t="inlineStr">
        <is>
          <t>BODEN</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24755-2023</t>
        </is>
      </c>
      <c r="B821" s="1" t="n">
        <v>45084</v>
      </c>
      <c r="C821" s="1" t="n">
        <v>45832</v>
      </c>
      <c r="D821" t="inlineStr">
        <is>
          <t>NORRBOTTENS LÄN</t>
        </is>
      </c>
      <c r="E821" t="inlineStr">
        <is>
          <t>BODEN</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25049-2023</t>
        </is>
      </c>
      <c r="B822" s="1" t="n">
        <v>45086</v>
      </c>
      <c r="C822" s="1" t="n">
        <v>45832</v>
      </c>
      <c r="D822" t="inlineStr">
        <is>
          <t>NORRBOTTENS LÄN</t>
        </is>
      </c>
      <c r="E822" t="inlineStr">
        <is>
          <t>BODEN</t>
        </is>
      </c>
      <c r="F822" t="inlineStr">
        <is>
          <t>SCA</t>
        </is>
      </c>
      <c r="G822" t="n">
        <v>17.4</v>
      </c>
      <c r="H822" t="n">
        <v>0</v>
      </c>
      <c r="I822" t="n">
        <v>0</v>
      </c>
      <c r="J822" t="n">
        <v>0</v>
      </c>
      <c r="K822" t="n">
        <v>0</v>
      </c>
      <c r="L822" t="n">
        <v>0</v>
      </c>
      <c r="M822" t="n">
        <v>0</v>
      </c>
      <c r="N822" t="n">
        <v>0</v>
      </c>
      <c r="O822" t="n">
        <v>0</v>
      </c>
      <c r="P822" t="n">
        <v>0</v>
      </c>
      <c r="Q822" t="n">
        <v>0</v>
      </c>
      <c r="R822" s="2" t="inlineStr"/>
    </row>
    <row r="823" ht="15" customHeight="1">
      <c r="A823" t="inlineStr">
        <is>
          <t>A 25920-2023</t>
        </is>
      </c>
      <c r="B823" s="1" t="n">
        <v>45085</v>
      </c>
      <c r="C823" s="1" t="n">
        <v>45832</v>
      </c>
      <c r="D823" t="inlineStr">
        <is>
          <t>NORRBOTTENS LÄN</t>
        </is>
      </c>
      <c r="E823" t="inlineStr">
        <is>
          <t>BODEN</t>
        </is>
      </c>
      <c r="G823" t="n">
        <v>0.5</v>
      </c>
      <c r="H823" t="n">
        <v>0</v>
      </c>
      <c r="I823" t="n">
        <v>0</v>
      </c>
      <c r="J823" t="n">
        <v>0</v>
      </c>
      <c r="K823" t="n">
        <v>0</v>
      </c>
      <c r="L823" t="n">
        <v>0</v>
      </c>
      <c r="M823" t="n">
        <v>0</v>
      </c>
      <c r="N823" t="n">
        <v>0</v>
      </c>
      <c r="O823" t="n">
        <v>0</v>
      </c>
      <c r="P823" t="n">
        <v>0</v>
      </c>
      <c r="Q823" t="n">
        <v>0</v>
      </c>
      <c r="R823" s="2" t="inlineStr"/>
    </row>
    <row r="824" ht="15" customHeight="1">
      <c r="A824" t="inlineStr">
        <is>
          <t>A 25916-2023</t>
        </is>
      </c>
      <c r="B824" s="1" t="n">
        <v>45085</v>
      </c>
      <c r="C824" s="1" t="n">
        <v>45832</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25414-2023</t>
        </is>
      </c>
      <c r="B825" s="1" t="n">
        <v>45089</v>
      </c>
      <c r="C825" s="1" t="n">
        <v>45832</v>
      </c>
      <c r="D825" t="inlineStr">
        <is>
          <t>NORRBOTTENS LÄN</t>
        </is>
      </c>
      <c r="E825" t="inlineStr">
        <is>
          <t>BODEN</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25622-2023</t>
        </is>
      </c>
      <c r="B826" s="1" t="n">
        <v>45089</v>
      </c>
      <c r="C826" s="1" t="n">
        <v>45832</v>
      </c>
      <c r="D826" t="inlineStr">
        <is>
          <t>NORRBOTTENS LÄN</t>
        </is>
      </c>
      <c r="E826" t="inlineStr">
        <is>
          <t>BODEN</t>
        </is>
      </c>
      <c r="F826" t="inlineStr">
        <is>
          <t>Sveaskog</t>
        </is>
      </c>
      <c r="G826" t="n">
        <v>28.2</v>
      </c>
      <c r="H826" t="n">
        <v>0</v>
      </c>
      <c r="I826" t="n">
        <v>0</v>
      </c>
      <c r="J826" t="n">
        <v>0</v>
      </c>
      <c r="K826" t="n">
        <v>0</v>
      </c>
      <c r="L826" t="n">
        <v>0</v>
      </c>
      <c r="M826" t="n">
        <v>0</v>
      </c>
      <c r="N826" t="n">
        <v>0</v>
      </c>
      <c r="O826" t="n">
        <v>0</v>
      </c>
      <c r="P826" t="n">
        <v>0</v>
      </c>
      <c r="Q826" t="n">
        <v>0</v>
      </c>
      <c r="R826" s="2" t="inlineStr"/>
    </row>
    <row r="827" ht="15" customHeight="1">
      <c r="A827" t="inlineStr">
        <is>
          <t>A 26271-2023</t>
        </is>
      </c>
      <c r="B827" s="1" t="n">
        <v>45091</v>
      </c>
      <c r="C827" s="1" t="n">
        <v>45832</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26035-2023</t>
        </is>
      </c>
      <c r="B828" s="1" t="n">
        <v>45091</v>
      </c>
      <c r="C828" s="1" t="n">
        <v>45832</v>
      </c>
      <c r="D828" t="inlineStr">
        <is>
          <t>NORRBOTTENS LÄN</t>
        </is>
      </c>
      <c r="E828" t="inlineStr">
        <is>
          <t>BODEN</t>
        </is>
      </c>
      <c r="G828" t="n">
        <v>14.1</v>
      </c>
      <c r="H828" t="n">
        <v>0</v>
      </c>
      <c r="I828" t="n">
        <v>0</v>
      </c>
      <c r="J828" t="n">
        <v>0</v>
      </c>
      <c r="K828" t="n">
        <v>0</v>
      </c>
      <c r="L828" t="n">
        <v>0</v>
      </c>
      <c r="M828" t="n">
        <v>0</v>
      </c>
      <c r="N828" t="n">
        <v>0</v>
      </c>
      <c r="O828" t="n">
        <v>0</v>
      </c>
      <c r="P828" t="n">
        <v>0</v>
      </c>
      <c r="Q828" t="n">
        <v>0</v>
      </c>
      <c r="R828" s="2" t="inlineStr"/>
    </row>
    <row r="829" ht="15" customHeight="1">
      <c r="A829" t="inlineStr">
        <is>
          <t>A 26576-2023</t>
        </is>
      </c>
      <c r="B829" s="1" t="n">
        <v>45092</v>
      </c>
      <c r="C829" s="1" t="n">
        <v>45832</v>
      </c>
      <c r="D829" t="inlineStr">
        <is>
          <t>NORRBOTTENS LÄN</t>
        </is>
      </c>
      <c r="E829" t="inlineStr">
        <is>
          <t>BODEN</t>
        </is>
      </c>
      <c r="F829" t="inlineStr">
        <is>
          <t>Sveaskog</t>
        </is>
      </c>
      <c r="G829" t="n">
        <v>19.2</v>
      </c>
      <c r="H829" t="n">
        <v>0</v>
      </c>
      <c r="I829" t="n">
        <v>0</v>
      </c>
      <c r="J829" t="n">
        <v>0</v>
      </c>
      <c r="K829" t="n">
        <v>0</v>
      </c>
      <c r="L829" t="n">
        <v>0</v>
      </c>
      <c r="M829" t="n">
        <v>0</v>
      </c>
      <c r="N829" t="n">
        <v>0</v>
      </c>
      <c r="O829" t="n">
        <v>0</v>
      </c>
      <c r="P829" t="n">
        <v>0</v>
      </c>
      <c r="Q829" t="n">
        <v>0</v>
      </c>
      <c r="R829" s="2" t="inlineStr"/>
    </row>
    <row r="830" ht="15" customHeight="1">
      <c r="A830" t="inlineStr">
        <is>
          <t>A 26579-2023</t>
        </is>
      </c>
      <c r="B830" s="1" t="n">
        <v>45092</v>
      </c>
      <c r="C830" s="1" t="n">
        <v>45832</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26963-2023</t>
        </is>
      </c>
      <c r="B831" s="1" t="n">
        <v>45093</v>
      </c>
      <c r="C831" s="1" t="n">
        <v>45832</v>
      </c>
      <c r="D831" t="inlineStr">
        <is>
          <t>NORRBOTTENS LÄN</t>
        </is>
      </c>
      <c r="E831" t="inlineStr">
        <is>
          <t>BODEN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26964-2023</t>
        </is>
      </c>
      <c r="B832" s="1" t="n">
        <v>45093</v>
      </c>
      <c r="C832" s="1" t="n">
        <v>45832</v>
      </c>
      <c r="D832" t="inlineStr">
        <is>
          <t>NORRBOTTENS LÄN</t>
        </is>
      </c>
      <c r="E832" t="inlineStr">
        <is>
          <t>BODEN</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27450-2023</t>
        </is>
      </c>
      <c r="B833" s="1" t="n">
        <v>45097</v>
      </c>
      <c r="C833" s="1" t="n">
        <v>45832</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27797-2023</t>
        </is>
      </c>
      <c r="B834" s="1" t="n">
        <v>45098</v>
      </c>
      <c r="C834" s="1" t="n">
        <v>45832</v>
      </c>
      <c r="D834" t="inlineStr">
        <is>
          <t>NORRBOTTENS LÄN</t>
        </is>
      </c>
      <c r="E834" t="inlineStr">
        <is>
          <t>BODEN</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27803-2023</t>
        </is>
      </c>
      <c r="B835" s="1" t="n">
        <v>45098</v>
      </c>
      <c r="C835" s="1" t="n">
        <v>45832</v>
      </c>
      <c r="D835" t="inlineStr">
        <is>
          <t>NORRBOTTENS LÄN</t>
        </is>
      </c>
      <c r="E835" t="inlineStr">
        <is>
          <t>BODEN</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28109-2023</t>
        </is>
      </c>
      <c r="B836" s="1" t="n">
        <v>45099</v>
      </c>
      <c r="C836" s="1" t="n">
        <v>45832</v>
      </c>
      <c r="D836" t="inlineStr">
        <is>
          <t>NORRBOTTENS LÄN</t>
        </is>
      </c>
      <c r="E836" t="inlineStr">
        <is>
          <t>BODEN</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28357-2023</t>
        </is>
      </c>
      <c r="B837" s="1" t="n">
        <v>45100</v>
      </c>
      <c r="C837" s="1" t="n">
        <v>45832</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28359-2023</t>
        </is>
      </c>
      <c r="B838" s="1" t="n">
        <v>45099</v>
      </c>
      <c r="C838" s="1" t="n">
        <v>45832</v>
      </c>
      <c r="D838" t="inlineStr">
        <is>
          <t>NORRBOTTENS LÄN</t>
        </is>
      </c>
      <c r="E838" t="inlineStr">
        <is>
          <t>BODEN</t>
        </is>
      </c>
      <c r="G838" t="n">
        <v>7.6</v>
      </c>
      <c r="H838" t="n">
        <v>0</v>
      </c>
      <c r="I838" t="n">
        <v>0</v>
      </c>
      <c r="J838" t="n">
        <v>0</v>
      </c>
      <c r="K838" t="n">
        <v>0</v>
      </c>
      <c r="L838" t="n">
        <v>0</v>
      </c>
      <c r="M838" t="n">
        <v>0</v>
      </c>
      <c r="N838" t="n">
        <v>0</v>
      </c>
      <c r="O838" t="n">
        <v>0</v>
      </c>
      <c r="P838" t="n">
        <v>0</v>
      </c>
      <c r="Q838" t="n">
        <v>0</v>
      </c>
      <c r="R838" s="2" t="inlineStr"/>
    </row>
    <row r="839" ht="15" customHeight="1">
      <c r="A839" t="inlineStr">
        <is>
          <t>A 30114-2023</t>
        </is>
      </c>
      <c r="B839" s="1" t="n">
        <v>45099</v>
      </c>
      <c r="C839" s="1" t="n">
        <v>45832</v>
      </c>
      <c r="D839" t="inlineStr">
        <is>
          <t>NORRBOTTENS LÄN</t>
        </is>
      </c>
      <c r="E839" t="inlineStr">
        <is>
          <t>BODEN</t>
        </is>
      </c>
      <c r="G839" t="n">
        <v>3.8</v>
      </c>
      <c r="H839" t="n">
        <v>0</v>
      </c>
      <c r="I839" t="n">
        <v>0</v>
      </c>
      <c r="J839" t="n">
        <v>0</v>
      </c>
      <c r="K839" t="n">
        <v>0</v>
      </c>
      <c r="L839" t="n">
        <v>0</v>
      </c>
      <c r="M839" t="n">
        <v>0</v>
      </c>
      <c r="N839" t="n">
        <v>0</v>
      </c>
      <c r="O839" t="n">
        <v>0</v>
      </c>
      <c r="P839" t="n">
        <v>0</v>
      </c>
      <c r="Q839" t="n">
        <v>0</v>
      </c>
      <c r="R839" s="2" t="inlineStr"/>
    </row>
    <row r="840" ht="15" customHeight="1">
      <c r="A840" t="inlineStr">
        <is>
          <t>A 30105-2023</t>
        </is>
      </c>
      <c r="B840" s="1" t="n">
        <v>45099</v>
      </c>
      <c r="C840" s="1" t="n">
        <v>45832</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28444-2023</t>
        </is>
      </c>
      <c r="B841" s="1" t="n">
        <v>45103</v>
      </c>
      <c r="C841" s="1" t="n">
        <v>45832</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28442-2023</t>
        </is>
      </c>
      <c r="B842" s="1" t="n">
        <v>45102</v>
      </c>
      <c r="C842" s="1" t="n">
        <v>45832</v>
      </c>
      <c r="D842" t="inlineStr">
        <is>
          <t>NORRBOTTENS LÄN</t>
        </is>
      </c>
      <c r="E842" t="inlineStr">
        <is>
          <t>BODEN</t>
        </is>
      </c>
      <c r="G842" t="n">
        <v>0.9</v>
      </c>
      <c r="H842" t="n">
        <v>0</v>
      </c>
      <c r="I842" t="n">
        <v>0</v>
      </c>
      <c r="J842" t="n">
        <v>0</v>
      </c>
      <c r="K842" t="n">
        <v>0</v>
      </c>
      <c r="L842" t="n">
        <v>0</v>
      </c>
      <c r="M842" t="n">
        <v>0</v>
      </c>
      <c r="N842" t="n">
        <v>0</v>
      </c>
      <c r="O842" t="n">
        <v>0</v>
      </c>
      <c r="P842" t="n">
        <v>0</v>
      </c>
      <c r="Q842" t="n">
        <v>0</v>
      </c>
      <c r="R842" s="2" t="inlineStr"/>
    </row>
    <row r="843" ht="15" customHeight="1">
      <c r="A843" t="inlineStr">
        <is>
          <t>A 28746-2023</t>
        </is>
      </c>
      <c r="B843" s="1" t="n">
        <v>45104</v>
      </c>
      <c r="C843" s="1" t="n">
        <v>45832</v>
      </c>
      <c r="D843" t="inlineStr">
        <is>
          <t>NORRBOTTENS LÄN</t>
        </is>
      </c>
      <c r="E843" t="inlineStr">
        <is>
          <t>BODEN</t>
        </is>
      </c>
      <c r="G843" t="n">
        <v>6</v>
      </c>
      <c r="H843" t="n">
        <v>0</v>
      </c>
      <c r="I843" t="n">
        <v>0</v>
      </c>
      <c r="J843" t="n">
        <v>0</v>
      </c>
      <c r="K843" t="n">
        <v>0</v>
      </c>
      <c r="L843" t="n">
        <v>0</v>
      </c>
      <c r="M843" t="n">
        <v>0</v>
      </c>
      <c r="N843" t="n">
        <v>0</v>
      </c>
      <c r="O843" t="n">
        <v>0</v>
      </c>
      <c r="P843" t="n">
        <v>0</v>
      </c>
      <c r="Q843" t="n">
        <v>0</v>
      </c>
      <c r="R843" s="2" t="inlineStr"/>
    </row>
    <row r="844" ht="15" customHeight="1">
      <c r="A844" t="inlineStr">
        <is>
          <t>A 28745-2023</t>
        </is>
      </c>
      <c r="B844" s="1" t="n">
        <v>45104</v>
      </c>
      <c r="C844" s="1" t="n">
        <v>45832</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28574-2023</t>
        </is>
      </c>
      <c r="B845" s="1" t="n">
        <v>45103</v>
      </c>
      <c r="C845" s="1" t="n">
        <v>45832</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28916-2023</t>
        </is>
      </c>
      <c r="B846" s="1" t="n">
        <v>45104</v>
      </c>
      <c r="C846" s="1" t="n">
        <v>45832</v>
      </c>
      <c r="D846" t="inlineStr">
        <is>
          <t>NORRBOTTENS LÄN</t>
        </is>
      </c>
      <c r="E846" t="inlineStr">
        <is>
          <t>BODEN</t>
        </is>
      </c>
      <c r="G846" t="n">
        <v>6.4</v>
      </c>
      <c r="H846" t="n">
        <v>0</v>
      </c>
      <c r="I846" t="n">
        <v>0</v>
      </c>
      <c r="J846" t="n">
        <v>0</v>
      </c>
      <c r="K846" t="n">
        <v>0</v>
      </c>
      <c r="L846" t="n">
        <v>0</v>
      </c>
      <c r="M846" t="n">
        <v>0</v>
      </c>
      <c r="N846" t="n">
        <v>0</v>
      </c>
      <c r="O846" t="n">
        <v>0</v>
      </c>
      <c r="P846" t="n">
        <v>0</v>
      </c>
      <c r="Q846" t="n">
        <v>0</v>
      </c>
      <c r="R846" s="2" t="inlineStr"/>
    </row>
    <row r="847" ht="15" customHeight="1">
      <c r="A847" t="inlineStr">
        <is>
          <t>A 29150-2023</t>
        </is>
      </c>
      <c r="B847" s="1" t="n">
        <v>45105</v>
      </c>
      <c r="C847" s="1" t="n">
        <v>45832</v>
      </c>
      <c r="D847" t="inlineStr">
        <is>
          <t>NORRBOTTENS LÄN</t>
        </is>
      </c>
      <c r="E847" t="inlineStr">
        <is>
          <t>BODEN</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29174-2023</t>
        </is>
      </c>
      <c r="B848" s="1" t="n">
        <v>45105</v>
      </c>
      <c r="C848" s="1" t="n">
        <v>45832</v>
      </c>
      <c r="D848" t="inlineStr">
        <is>
          <t>NORRBOTTENS LÄN</t>
        </is>
      </c>
      <c r="E848" t="inlineStr">
        <is>
          <t>BODEN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29215-2023</t>
        </is>
      </c>
      <c r="B849" s="1" t="n">
        <v>45105</v>
      </c>
      <c r="C849" s="1" t="n">
        <v>45832</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45106</v>
      </c>
      <c r="C850" s="1" t="n">
        <v>45832</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29308-2023</t>
        </is>
      </c>
      <c r="B851" s="1" t="n">
        <v>45106</v>
      </c>
      <c r="C851" s="1" t="n">
        <v>45832</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29307-2023</t>
        </is>
      </c>
      <c r="B852" s="1" t="n">
        <v>45106</v>
      </c>
      <c r="C852" s="1" t="n">
        <v>45832</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29311-2023</t>
        </is>
      </c>
      <c r="B853" s="1" t="n">
        <v>45106</v>
      </c>
      <c r="C853" s="1" t="n">
        <v>45832</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29920-2023</t>
        </is>
      </c>
      <c r="B854" s="1" t="n">
        <v>45107</v>
      </c>
      <c r="C854" s="1" t="n">
        <v>45832</v>
      </c>
      <c r="D854" t="inlineStr">
        <is>
          <t>NORRBOTTENS LÄN</t>
        </is>
      </c>
      <c r="E854" t="inlineStr">
        <is>
          <t>BODEN</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29919-2023</t>
        </is>
      </c>
      <c r="B855" s="1" t="n">
        <v>45107</v>
      </c>
      <c r="C855" s="1" t="n">
        <v>45832</v>
      </c>
      <c r="D855" t="inlineStr">
        <is>
          <t>NORRBOTTENS LÄN</t>
        </is>
      </c>
      <c r="E855" t="inlineStr">
        <is>
          <t>BODEN</t>
        </is>
      </c>
      <c r="F855" t="inlineStr">
        <is>
          <t>Sveaskog</t>
        </is>
      </c>
      <c r="G855" t="n">
        <v>11.7</v>
      </c>
      <c r="H855" t="n">
        <v>0</v>
      </c>
      <c r="I855" t="n">
        <v>0</v>
      </c>
      <c r="J855" t="n">
        <v>0</v>
      </c>
      <c r="K855" t="n">
        <v>0</v>
      </c>
      <c r="L855" t="n">
        <v>0</v>
      </c>
      <c r="M855" t="n">
        <v>0</v>
      </c>
      <c r="N855" t="n">
        <v>0</v>
      </c>
      <c r="O855" t="n">
        <v>0</v>
      </c>
      <c r="P855" t="n">
        <v>0</v>
      </c>
      <c r="Q855" t="n">
        <v>0</v>
      </c>
      <c r="R855" s="2" t="inlineStr"/>
    </row>
    <row r="856" ht="15" customHeight="1">
      <c r="A856" t="inlineStr">
        <is>
          <t>A 30300-2023</t>
        </is>
      </c>
      <c r="B856" s="1" t="n">
        <v>45110</v>
      </c>
      <c r="C856" s="1" t="n">
        <v>45832</v>
      </c>
      <c r="D856" t="inlineStr">
        <is>
          <t>NORRBOTTENS LÄN</t>
        </is>
      </c>
      <c r="E856" t="inlineStr">
        <is>
          <t>BODEN</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30299-2023</t>
        </is>
      </c>
      <c r="B857" s="1" t="n">
        <v>45110</v>
      </c>
      <c r="C857" s="1" t="n">
        <v>45832</v>
      </c>
      <c r="D857" t="inlineStr">
        <is>
          <t>NORRBOTTENS LÄN</t>
        </is>
      </c>
      <c r="E857" t="inlineStr">
        <is>
          <t>BODEN</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30301-2023</t>
        </is>
      </c>
      <c r="B858" s="1" t="n">
        <v>45111</v>
      </c>
      <c r="C858" s="1" t="n">
        <v>45832</v>
      </c>
      <c r="D858" t="inlineStr">
        <is>
          <t>NORRBOTTENS LÄN</t>
        </is>
      </c>
      <c r="E858" t="inlineStr">
        <is>
          <t>BODEN</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30302-2023</t>
        </is>
      </c>
      <c r="B859" s="1" t="n">
        <v>45111</v>
      </c>
      <c r="C859" s="1" t="n">
        <v>45832</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32412-2023</t>
        </is>
      </c>
      <c r="B860" s="1" t="n">
        <v>45110</v>
      </c>
      <c r="C860" s="1" t="n">
        <v>45832</v>
      </c>
      <c r="D860" t="inlineStr">
        <is>
          <t>NORRBOTTENS LÄN</t>
        </is>
      </c>
      <c r="E860" t="inlineStr">
        <is>
          <t>BODEN</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31066-2023</t>
        </is>
      </c>
      <c r="B861" s="1" t="n">
        <v>45113</v>
      </c>
      <c r="C861" s="1" t="n">
        <v>45832</v>
      </c>
      <c r="D861" t="inlineStr">
        <is>
          <t>NORRBOTTENS LÄN</t>
        </is>
      </c>
      <c r="E861" t="inlineStr">
        <is>
          <t>BODEN</t>
        </is>
      </c>
      <c r="G861" t="n">
        <v>19.4</v>
      </c>
      <c r="H861" t="n">
        <v>0</v>
      </c>
      <c r="I861" t="n">
        <v>0</v>
      </c>
      <c r="J861" t="n">
        <v>0</v>
      </c>
      <c r="K861" t="n">
        <v>0</v>
      </c>
      <c r="L861" t="n">
        <v>0</v>
      </c>
      <c r="M861" t="n">
        <v>0</v>
      </c>
      <c r="N861" t="n">
        <v>0</v>
      </c>
      <c r="O861" t="n">
        <v>0</v>
      </c>
      <c r="P861" t="n">
        <v>0</v>
      </c>
      <c r="Q861" t="n">
        <v>0</v>
      </c>
      <c r="R861" s="2" t="inlineStr"/>
    </row>
    <row r="862" ht="15" customHeight="1">
      <c r="A862" t="inlineStr">
        <is>
          <t>A 31102-2023</t>
        </is>
      </c>
      <c r="B862" s="1" t="n">
        <v>45113</v>
      </c>
      <c r="C862" s="1" t="n">
        <v>45832</v>
      </c>
      <c r="D862" t="inlineStr">
        <is>
          <t>NORRBOTTENS LÄN</t>
        </is>
      </c>
      <c r="E862" t="inlineStr">
        <is>
          <t>BODEN</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31226-2023</t>
        </is>
      </c>
      <c r="B863" s="1" t="n">
        <v>45114</v>
      </c>
      <c r="C863" s="1" t="n">
        <v>45832</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31297-2023</t>
        </is>
      </c>
      <c r="B864" s="1" t="n">
        <v>45114</v>
      </c>
      <c r="C864" s="1" t="n">
        <v>45832</v>
      </c>
      <c r="D864" t="inlineStr">
        <is>
          <t>NORRBOTTENS LÄN</t>
        </is>
      </c>
      <c r="E864" t="inlineStr">
        <is>
          <t>BODEN</t>
        </is>
      </c>
      <c r="G864" t="n">
        <v>7.8</v>
      </c>
      <c r="H864" t="n">
        <v>0</v>
      </c>
      <c r="I864" t="n">
        <v>0</v>
      </c>
      <c r="J864" t="n">
        <v>0</v>
      </c>
      <c r="K864" t="n">
        <v>0</v>
      </c>
      <c r="L864" t="n">
        <v>0</v>
      </c>
      <c r="M864" t="n">
        <v>0</v>
      </c>
      <c r="N864" t="n">
        <v>0</v>
      </c>
      <c r="O864" t="n">
        <v>0</v>
      </c>
      <c r="P864" t="n">
        <v>0</v>
      </c>
      <c r="Q864" t="n">
        <v>0</v>
      </c>
      <c r="R864" s="2" t="inlineStr"/>
    </row>
    <row r="865" ht="15" customHeight="1">
      <c r="A865" t="inlineStr">
        <is>
          <t>A 31590-2023</t>
        </is>
      </c>
      <c r="B865" s="1" t="n">
        <v>45117</v>
      </c>
      <c r="C865" s="1" t="n">
        <v>45832</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33751-2023</t>
        </is>
      </c>
      <c r="B866" s="1" t="n">
        <v>45120</v>
      </c>
      <c r="C866" s="1" t="n">
        <v>45832</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32782-2023</t>
        </is>
      </c>
      <c r="B867" s="1" t="n">
        <v>45124</v>
      </c>
      <c r="C867" s="1" t="n">
        <v>45832</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32781-2023</t>
        </is>
      </c>
      <c r="B868" s="1" t="n">
        <v>45124</v>
      </c>
      <c r="C868" s="1" t="n">
        <v>45832</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32784-2023</t>
        </is>
      </c>
      <c r="B869" s="1" t="n">
        <v>45124</v>
      </c>
      <c r="C869" s="1" t="n">
        <v>45832</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32902-2023</t>
        </is>
      </c>
      <c r="B870" s="1" t="n">
        <v>45125</v>
      </c>
      <c r="C870" s="1" t="n">
        <v>45832</v>
      </c>
      <c r="D870" t="inlineStr">
        <is>
          <t>NORRBOTTENS LÄN</t>
        </is>
      </c>
      <c r="E870" t="inlineStr">
        <is>
          <t>BODEN</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33945-2023</t>
        </is>
      </c>
      <c r="B871" s="1" t="n">
        <v>45124</v>
      </c>
      <c r="C871" s="1" t="n">
        <v>45832</v>
      </c>
      <c r="D871" t="inlineStr">
        <is>
          <t>NORRBOTTENS LÄN</t>
        </is>
      </c>
      <c r="E871" t="inlineStr">
        <is>
          <t>BODEN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45126</v>
      </c>
      <c r="C872" s="1" t="n">
        <v>45832</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33168-2023</t>
        </is>
      </c>
      <c r="B873" s="1" t="n">
        <v>45127</v>
      </c>
      <c r="C873" s="1" t="n">
        <v>45832</v>
      </c>
      <c r="D873" t="inlineStr">
        <is>
          <t>NORRBOTTENS LÄN</t>
        </is>
      </c>
      <c r="E873" t="inlineStr">
        <is>
          <t>BODEN</t>
        </is>
      </c>
      <c r="G873" t="n">
        <v>12.2</v>
      </c>
      <c r="H873" t="n">
        <v>0</v>
      </c>
      <c r="I873" t="n">
        <v>0</v>
      </c>
      <c r="J873" t="n">
        <v>0</v>
      </c>
      <c r="K873" t="n">
        <v>0</v>
      </c>
      <c r="L873" t="n">
        <v>0</v>
      </c>
      <c r="M873" t="n">
        <v>0</v>
      </c>
      <c r="N873" t="n">
        <v>0</v>
      </c>
      <c r="O873" t="n">
        <v>0</v>
      </c>
      <c r="P873" t="n">
        <v>0</v>
      </c>
      <c r="Q873" t="n">
        <v>0</v>
      </c>
      <c r="R873" s="2" t="inlineStr"/>
    </row>
    <row r="874" ht="15" customHeight="1">
      <c r="A874" t="inlineStr">
        <is>
          <t>A 33333-2023</t>
        </is>
      </c>
      <c r="B874" s="1" t="n">
        <v>45128</v>
      </c>
      <c r="C874" s="1" t="n">
        <v>45832</v>
      </c>
      <c r="D874" t="inlineStr">
        <is>
          <t>NORRBOTTENS LÄN</t>
        </is>
      </c>
      <c r="E874" t="inlineStr">
        <is>
          <t>BODEN</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33445-2023</t>
        </is>
      </c>
      <c r="B875" s="1" t="n">
        <v>45130</v>
      </c>
      <c r="C875" s="1" t="n">
        <v>45832</v>
      </c>
      <c r="D875" t="inlineStr">
        <is>
          <t>NORRBOTTENS LÄN</t>
        </is>
      </c>
      <c r="E875" t="inlineStr">
        <is>
          <t>BODEN</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33697-2023</t>
        </is>
      </c>
      <c r="B876" s="1" t="n">
        <v>45132</v>
      </c>
      <c r="C876" s="1" t="n">
        <v>45832</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34134-2023</t>
        </is>
      </c>
      <c r="B877" s="1" t="n">
        <v>45136</v>
      </c>
      <c r="C877" s="1" t="n">
        <v>45832</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34165-2023</t>
        </is>
      </c>
      <c r="B878" s="1" t="n">
        <v>45138</v>
      </c>
      <c r="C878" s="1" t="n">
        <v>45832</v>
      </c>
      <c r="D878" t="inlineStr">
        <is>
          <t>NORRBOTTENS LÄN</t>
        </is>
      </c>
      <c r="E878" t="inlineStr">
        <is>
          <t>BODEN</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34270-2023</t>
        </is>
      </c>
      <c r="B879" s="1" t="n">
        <v>45138</v>
      </c>
      <c r="C879" s="1" t="n">
        <v>45832</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34353-2023</t>
        </is>
      </c>
      <c r="B880" s="1" t="n">
        <v>45139</v>
      </c>
      <c r="C880" s="1" t="n">
        <v>45832</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34749-2023</t>
        </is>
      </c>
      <c r="B881" s="1" t="n">
        <v>45139</v>
      </c>
      <c r="C881" s="1" t="n">
        <v>45832</v>
      </c>
      <c r="D881" t="inlineStr">
        <is>
          <t>NORRBOTTENS LÄN</t>
        </is>
      </c>
      <c r="E881" t="inlineStr">
        <is>
          <t>BODEN</t>
        </is>
      </c>
      <c r="F881" t="inlineStr">
        <is>
          <t>Kommuner</t>
        </is>
      </c>
      <c r="G881" t="n">
        <v>11.9</v>
      </c>
      <c r="H881" t="n">
        <v>0</v>
      </c>
      <c r="I881" t="n">
        <v>0</v>
      </c>
      <c r="J881" t="n">
        <v>0</v>
      </c>
      <c r="K881" t="n">
        <v>0</v>
      </c>
      <c r="L881" t="n">
        <v>0</v>
      </c>
      <c r="M881" t="n">
        <v>0</v>
      </c>
      <c r="N881" t="n">
        <v>0</v>
      </c>
      <c r="O881" t="n">
        <v>0</v>
      </c>
      <c r="P881" t="n">
        <v>0</v>
      </c>
      <c r="Q881" t="n">
        <v>0</v>
      </c>
      <c r="R881" s="2" t="inlineStr"/>
    </row>
    <row r="882" ht="15" customHeight="1">
      <c r="A882" t="inlineStr">
        <is>
          <t>A 34476-2023</t>
        </is>
      </c>
      <c r="B882" s="1" t="n">
        <v>45140</v>
      </c>
      <c r="C882" s="1" t="n">
        <v>45832</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34937-2023</t>
        </is>
      </c>
      <c r="B883" s="1" t="n">
        <v>45142</v>
      </c>
      <c r="C883" s="1" t="n">
        <v>45832</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35323-2023</t>
        </is>
      </c>
      <c r="B884" s="1" t="n">
        <v>45145</v>
      </c>
      <c r="C884" s="1" t="n">
        <v>45832</v>
      </c>
      <c r="D884" t="inlineStr">
        <is>
          <t>NORRBOTTENS LÄN</t>
        </is>
      </c>
      <c r="E884" t="inlineStr">
        <is>
          <t>BODEN</t>
        </is>
      </c>
      <c r="G884" t="n">
        <v>6.8</v>
      </c>
      <c r="H884" t="n">
        <v>0</v>
      </c>
      <c r="I884" t="n">
        <v>0</v>
      </c>
      <c r="J884" t="n">
        <v>0</v>
      </c>
      <c r="K884" t="n">
        <v>0</v>
      </c>
      <c r="L884" t="n">
        <v>0</v>
      </c>
      <c r="M884" t="n">
        <v>0</v>
      </c>
      <c r="N884" t="n">
        <v>0</v>
      </c>
      <c r="O884" t="n">
        <v>0</v>
      </c>
      <c r="P884" t="n">
        <v>0</v>
      </c>
      <c r="Q884" t="n">
        <v>0</v>
      </c>
      <c r="R884" s="2" t="inlineStr"/>
    </row>
    <row r="885" ht="15" customHeight="1">
      <c r="A885" t="inlineStr">
        <is>
          <t>A 37431-2023</t>
        </is>
      </c>
      <c r="B885" s="1" t="n">
        <v>45146</v>
      </c>
      <c r="C885" s="1" t="n">
        <v>45832</v>
      </c>
      <c r="D885" t="inlineStr">
        <is>
          <t>NORRBOTTENS LÄN</t>
        </is>
      </c>
      <c r="E885" t="inlineStr">
        <is>
          <t>BODEN</t>
        </is>
      </c>
      <c r="G885" t="n">
        <v>9.1</v>
      </c>
      <c r="H885" t="n">
        <v>0</v>
      </c>
      <c r="I885" t="n">
        <v>0</v>
      </c>
      <c r="J885" t="n">
        <v>0</v>
      </c>
      <c r="K885" t="n">
        <v>0</v>
      </c>
      <c r="L885" t="n">
        <v>0</v>
      </c>
      <c r="M885" t="n">
        <v>0</v>
      </c>
      <c r="N885" t="n">
        <v>0</v>
      </c>
      <c r="O885" t="n">
        <v>0</v>
      </c>
      <c r="P885" t="n">
        <v>0</v>
      </c>
      <c r="Q885" t="n">
        <v>0</v>
      </c>
      <c r="R885" s="2" t="inlineStr"/>
    </row>
    <row r="886" ht="15" customHeight="1">
      <c r="A886" t="inlineStr">
        <is>
          <t>A 37439-2023</t>
        </is>
      </c>
      <c r="B886" s="1" t="n">
        <v>45146</v>
      </c>
      <c r="C886" s="1" t="n">
        <v>45832</v>
      </c>
      <c r="D886" t="inlineStr">
        <is>
          <t>NORRBOTTENS LÄN</t>
        </is>
      </c>
      <c r="E886" t="inlineStr">
        <is>
          <t>BODEN</t>
        </is>
      </c>
      <c r="G886" t="n">
        <v>1.2</v>
      </c>
      <c r="H886" t="n">
        <v>0</v>
      </c>
      <c r="I886" t="n">
        <v>0</v>
      </c>
      <c r="J886" t="n">
        <v>0</v>
      </c>
      <c r="K886" t="n">
        <v>0</v>
      </c>
      <c r="L886" t="n">
        <v>0</v>
      </c>
      <c r="M886" t="n">
        <v>0</v>
      </c>
      <c r="N886" t="n">
        <v>0</v>
      </c>
      <c r="O886" t="n">
        <v>0</v>
      </c>
      <c r="P886" t="n">
        <v>0</v>
      </c>
      <c r="Q886" t="n">
        <v>0</v>
      </c>
      <c r="R886" s="2" t="inlineStr"/>
    </row>
    <row r="887" ht="15" customHeight="1">
      <c r="A887" t="inlineStr">
        <is>
          <t>A 37436-2023</t>
        </is>
      </c>
      <c r="B887" s="1" t="n">
        <v>45146</v>
      </c>
      <c r="C887" s="1" t="n">
        <v>45832</v>
      </c>
      <c r="D887" t="inlineStr">
        <is>
          <t>NORRBOTTENS LÄN</t>
        </is>
      </c>
      <c r="E887" t="inlineStr">
        <is>
          <t>BODEN</t>
        </is>
      </c>
      <c r="G887" t="n">
        <v>18.3</v>
      </c>
      <c r="H887" t="n">
        <v>0</v>
      </c>
      <c r="I887" t="n">
        <v>0</v>
      </c>
      <c r="J887" t="n">
        <v>0</v>
      </c>
      <c r="K887" t="n">
        <v>0</v>
      </c>
      <c r="L887" t="n">
        <v>0</v>
      </c>
      <c r="M887" t="n">
        <v>0</v>
      </c>
      <c r="N887" t="n">
        <v>0</v>
      </c>
      <c r="O887" t="n">
        <v>0</v>
      </c>
      <c r="P887" t="n">
        <v>0</v>
      </c>
      <c r="Q887" t="n">
        <v>0</v>
      </c>
      <c r="R887" s="2" t="inlineStr"/>
    </row>
    <row r="888" ht="15" customHeight="1">
      <c r="A888" t="inlineStr">
        <is>
          <t>A 35767-2023</t>
        </is>
      </c>
      <c r="B888" s="1" t="n">
        <v>45148</v>
      </c>
      <c r="C888" s="1" t="n">
        <v>45832</v>
      </c>
      <c r="D888" t="inlineStr">
        <is>
          <t>NORRBOTTENS LÄN</t>
        </is>
      </c>
      <c r="E888" t="inlineStr">
        <is>
          <t>BODEN</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35768-2023</t>
        </is>
      </c>
      <c r="B889" s="1" t="n">
        <v>45148</v>
      </c>
      <c r="C889" s="1" t="n">
        <v>45832</v>
      </c>
      <c r="D889" t="inlineStr">
        <is>
          <t>NORRBOTTENS LÄN</t>
        </is>
      </c>
      <c r="E889" t="inlineStr">
        <is>
          <t>BODEN</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35769-2023</t>
        </is>
      </c>
      <c r="B890" s="1" t="n">
        <v>45147</v>
      </c>
      <c r="C890" s="1" t="n">
        <v>45832</v>
      </c>
      <c r="D890" t="inlineStr">
        <is>
          <t>NORRBOTTENS LÄN</t>
        </is>
      </c>
      <c r="E890" t="inlineStr">
        <is>
          <t>BODEN</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35827-2023</t>
        </is>
      </c>
      <c r="B891" s="1" t="n">
        <v>45148</v>
      </c>
      <c r="C891" s="1" t="n">
        <v>45832</v>
      </c>
      <c r="D891" t="inlineStr">
        <is>
          <t>NORRBOTTENS LÄN</t>
        </is>
      </c>
      <c r="E891" t="inlineStr">
        <is>
          <t>BODEN</t>
        </is>
      </c>
      <c r="G891" t="n">
        <v>1</v>
      </c>
      <c r="H891" t="n">
        <v>0</v>
      </c>
      <c r="I891" t="n">
        <v>0</v>
      </c>
      <c r="J891" t="n">
        <v>0</v>
      </c>
      <c r="K891" t="n">
        <v>0</v>
      </c>
      <c r="L891" t="n">
        <v>0</v>
      </c>
      <c r="M891" t="n">
        <v>0</v>
      </c>
      <c r="N891" t="n">
        <v>0</v>
      </c>
      <c r="O891" t="n">
        <v>0</v>
      </c>
      <c r="P891" t="n">
        <v>0</v>
      </c>
      <c r="Q891" t="n">
        <v>0</v>
      </c>
      <c r="R891" s="2" t="inlineStr"/>
    </row>
    <row r="892" ht="15" customHeight="1">
      <c r="A892" t="inlineStr">
        <is>
          <t>A 36112-2023</t>
        </is>
      </c>
      <c r="B892" s="1" t="n">
        <v>45149</v>
      </c>
      <c r="C892" s="1" t="n">
        <v>45832</v>
      </c>
      <c r="D892" t="inlineStr">
        <is>
          <t>NORRBOTTENS LÄN</t>
        </is>
      </c>
      <c r="E892" t="inlineStr">
        <is>
          <t>BODEN</t>
        </is>
      </c>
      <c r="G892" t="n">
        <v>16.1</v>
      </c>
      <c r="H892" t="n">
        <v>0</v>
      </c>
      <c r="I892" t="n">
        <v>0</v>
      </c>
      <c r="J892" t="n">
        <v>0</v>
      </c>
      <c r="K892" t="n">
        <v>0</v>
      </c>
      <c r="L892" t="n">
        <v>0</v>
      </c>
      <c r="M892" t="n">
        <v>0</v>
      </c>
      <c r="N892" t="n">
        <v>0</v>
      </c>
      <c r="O892" t="n">
        <v>0</v>
      </c>
      <c r="P892" t="n">
        <v>0</v>
      </c>
      <c r="Q892" t="n">
        <v>0</v>
      </c>
      <c r="R892" s="2" t="inlineStr"/>
    </row>
    <row r="893" ht="15" customHeight="1">
      <c r="A893" t="inlineStr">
        <is>
          <t>A 36115-2023</t>
        </is>
      </c>
      <c r="B893" s="1" t="n">
        <v>45149</v>
      </c>
      <c r="C893" s="1" t="n">
        <v>45832</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36433-2023</t>
        </is>
      </c>
      <c r="B894" s="1" t="n">
        <v>45152</v>
      </c>
      <c r="C894" s="1" t="n">
        <v>45832</v>
      </c>
      <c r="D894" t="inlineStr">
        <is>
          <t>NORRBOTTENS LÄN</t>
        </is>
      </c>
      <c r="E894" t="inlineStr">
        <is>
          <t>BODEN</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36599-2023</t>
        </is>
      </c>
      <c r="B895" s="1" t="n">
        <v>45152</v>
      </c>
      <c r="C895" s="1" t="n">
        <v>45832</v>
      </c>
      <c r="D895" t="inlineStr">
        <is>
          <t>NORRBOTTENS LÄN</t>
        </is>
      </c>
      <c r="E895" t="inlineStr">
        <is>
          <t>BODEN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36610-2023</t>
        </is>
      </c>
      <c r="B896" s="1" t="n">
        <v>45152</v>
      </c>
      <c r="C896" s="1" t="n">
        <v>45832</v>
      </c>
      <c r="D896" t="inlineStr">
        <is>
          <t>NORRBOTTENS LÄN</t>
        </is>
      </c>
      <c r="E896" t="inlineStr">
        <is>
          <t>BODEN</t>
        </is>
      </c>
      <c r="G896" t="n">
        <v>5.9</v>
      </c>
      <c r="H896" t="n">
        <v>0</v>
      </c>
      <c r="I896" t="n">
        <v>0</v>
      </c>
      <c r="J896" t="n">
        <v>0</v>
      </c>
      <c r="K896" t="n">
        <v>0</v>
      </c>
      <c r="L896" t="n">
        <v>0</v>
      </c>
      <c r="M896" t="n">
        <v>0</v>
      </c>
      <c r="N896" t="n">
        <v>0</v>
      </c>
      <c r="O896" t="n">
        <v>0</v>
      </c>
      <c r="P896" t="n">
        <v>0</v>
      </c>
      <c r="Q896" t="n">
        <v>0</v>
      </c>
      <c r="R896" s="2" t="inlineStr"/>
    </row>
    <row r="897" ht="15" customHeight="1">
      <c r="A897" t="inlineStr">
        <is>
          <t>A 36589-2023</t>
        </is>
      </c>
      <c r="B897" s="1" t="n">
        <v>45152</v>
      </c>
      <c r="C897" s="1" t="n">
        <v>45832</v>
      </c>
      <c r="D897" t="inlineStr">
        <is>
          <t>NORRBOTTENS LÄN</t>
        </is>
      </c>
      <c r="E897" t="inlineStr">
        <is>
          <t>BODEN</t>
        </is>
      </c>
      <c r="G897" t="n">
        <v>5.3</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45832</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36895-2023</t>
        </is>
      </c>
      <c r="B899" s="1" t="n">
        <v>45153</v>
      </c>
      <c r="C899" s="1" t="n">
        <v>45832</v>
      </c>
      <c r="D899" t="inlineStr">
        <is>
          <t>NORRBOTTENS LÄN</t>
        </is>
      </c>
      <c r="E899" t="inlineStr">
        <is>
          <t>BODEN</t>
        </is>
      </c>
      <c r="G899" t="n">
        <v>18.9</v>
      </c>
      <c r="H899" t="n">
        <v>0</v>
      </c>
      <c r="I899" t="n">
        <v>0</v>
      </c>
      <c r="J899" t="n">
        <v>0</v>
      </c>
      <c r="K899" t="n">
        <v>0</v>
      </c>
      <c r="L899" t="n">
        <v>0</v>
      </c>
      <c r="M899" t="n">
        <v>0</v>
      </c>
      <c r="N899" t="n">
        <v>0</v>
      </c>
      <c r="O899" t="n">
        <v>0</v>
      </c>
      <c r="P899" t="n">
        <v>0</v>
      </c>
      <c r="Q899" t="n">
        <v>0</v>
      </c>
      <c r="R899" s="2" t="inlineStr"/>
    </row>
    <row r="900" ht="15" customHeight="1">
      <c r="A900" t="inlineStr">
        <is>
          <t>A 36915-2023</t>
        </is>
      </c>
      <c r="B900" s="1" t="n">
        <v>45153</v>
      </c>
      <c r="C900" s="1" t="n">
        <v>45832</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37072-2023</t>
        </is>
      </c>
      <c r="B901" s="1" t="n">
        <v>45155</v>
      </c>
      <c r="C901" s="1" t="n">
        <v>45832</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37014-2023</t>
        </is>
      </c>
      <c r="B902" s="1" t="n">
        <v>45155</v>
      </c>
      <c r="C902" s="1" t="n">
        <v>45832</v>
      </c>
      <c r="D902" t="inlineStr">
        <is>
          <t>NORRBOTTENS LÄN</t>
        </is>
      </c>
      <c r="E902" t="inlineStr">
        <is>
          <t>BODEN</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37384-2023</t>
        </is>
      </c>
      <c r="B903" s="1" t="n">
        <v>45156</v>
      </c>
      <c r="C903" s="1" t="n">
        <v>45832</v>
      </c>
      <c r="D903" t="inlineStr">
        <is>
          <t>NORRBOTTENS LÄN</t>
        </is>
      </c>
      <c r="E903" t="inlineStr">
        <is>
          <t>BODEN</t>
        </is>
      </c>
      <c r="G903" t="n">
        <v>7</v>
      </c>
      <c r="H903" t="n">
        <v>0</v>
      </c>
      <c r="I903" t="n">
        <v>0</v>
      </c>
      <c r="J903" t="n">
        <v>0</v>
      </c>
      <c r="K903" t="n">
        <v>0</v>
      </c>
      <c r="L903" t="n">
        <v>0</v>
      </c>
      <c r="M903" t="n">
        <v>0</v>
      </c>
      <c r="N903" t="n">
        <v>0</v>
      </c>
      <c r="O903" t="n">
        <v>0</v>
      </c>
      <c r="P903" t="n">
        <v>0</v>
      </c>
      <c r="Q903" t="n">
        <v>0</v>
      </c>
      <c r="R903" s="2" t="inlineStr"/>
    </row>
    <row r="904" ht="15" customHeight="1">
      <c r="A904" t="inlineStr">
        <is>
          <t>A 37817-2023</t>
        </is>
      </c>
      <c r="B904" s="1" t="n">
        <v>45160</v>
      </c>
      <c r="C904" s="1" t="n">
        <v>45832</v>
      </c>
      <c r="D904" t="inlineStr">
        <is>
          <t>NORRBOTTENS LÄN</t>
        </is>
      </c>
      <c r="E904" t="inlineStr">
        <is>
          <t>BODEN</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37873-2023</t>
        </is>
      </c>
      <c r="B905" s="1" t="n">
        <v>45160</v>
      </c>
      <c r="C905" s="1" t="n">
        <v>45832</v>
      </c>
      <c r="D905" t="inlineStr">
        <is>
          <t>NORRBOTTENS LÄN</t>
        </is>
      </c>
      <c r="E905" t="inlineStr">
        <is>
          <t>BODEN</t>
        </is>
      </c>
      <c r="G905" t="n">
        <v>11.6</v>
      </c>
      <c r="H905" t="n">
        <v>0</v>
      </c>
      <c r="I905" t="n">
        <v>0</v>
      </c>
      <c r="J905" t="n">
        <v>0</v>
      </c>
      <c r="K905" t="n">
        <v>0</v>
      </c>
      <c r="L905" t="n">
        <v>0</v>
      </c>
      <c r="M905" t="n">
        <v>0</v>
      </c>
      <c r="N905" t="n">
        <v>0</v>
      </c>
      <c r="O905" t="n">
        <v>0</v>
      </c>
      <c r="P905" t="n">
        <v>0</v>
      </c>
      <c r="Q905" t="n">
        <v>0</v>
      </c>
      <c r="R905" s="2" t="inlineStr"/>
    </row>
    <row r="906" ht="15" customHeight="1">
      <c r="A906" t="inlineStr">
        <is>
          <t>A 37864-2023</t>
        </is>
      </c>
      <c r="B906" s="1" t="n">
        <v>45160</v>
      </c>
      <c r="C906" s="1" t="n">
        <v>45832</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37868-2023</t>
        </is>
      </c>
      <c r="B907" s="1" t="n">
        <v>45160</v>
      </c>
      <c r="C907" s="1" t="n">
        <v>45832</v>
      </c>
      <c r="D907" t="inlineStr">
        <is>
          <t>NORRBOTTENS LÄN</t>
        </is>
      </c>
      <c r="E907" t="inlineStr">
        <is>
          <t>BODEN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38874-2023</t>
        </is>
      </c>
      <c r="B908" s="1" t="n">
        <v>45161</v>
      </c>
      <c r="C908" s="1" t="n">
        <v>45832</v>
      </c>
      <c r="D908" t="inlineStr">
        <is>
          <t>NORRBOTTENS LÄN</t>
        </is>
      </c>
      <c r="E908" t="inlineStr">
        <is>
          <t>BODEN</t>
        </is>
      </c>
      <c r="G908" t="n">
        <v>15.5</v>
      </c>
      <c r="H908" t="n">
        <v>0</v>
      </c>
      <c r="I908" t="n">
        <v>0</v>
      </c>
      <c r="J908" t="n">
        <v>0</v>
      </c>
      <c r="K908" t="n">
        <v>0</v>
      </c>
      <c r="L908" t="n">
        <v>0</v>
      </c>
      <c r="M908" t="n">
        <v>0</v>
      </c>
      <c r="N908" t="n">
        <v>0</v>
      </c>
      <c r="O908" t="n">
        <v>0</v>
      </c>
      <c r="P908" t="n">
        <v>0</v>
      </c>
      <c r="Q908" t="n">
        <v>0</v>
      </c>
      <c r="R908" s="2" t="inlineStr"/>
    </row>
    <row r="909" ht="15" customHeight="1">
      <c r="A909" t="inlineStr">
        <is>
          <t>A 38216-2023</t>
        </is>
      </c>
      <c r="B909" s="1" t="n">
        <v>45161</v>
      </c>
      <c r="C909" s="1" t="n">
        <v>45832</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38219-2023</t>
        </is>
      </c>
      <c r="B910" s="1" t="n">
        <v>45161</v>
      </c>
      <c r="C910" s="1" t="n">
        <v>45832</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38372-2023</t>
        </is>
      </c>
      <c r="B911" s="1" t="n">
        <v>45161</v>
      </c>
      <c r="C911" s="1" t="n">
        <v>45832</v>
      </c>
      <c r="D911" t="inlineStr">
        <is>
          <t>NORRBOTTENS LÄN</t>
        </is>
      </c>
      <c r="E911" t="inlineStr">
        <is>
          <t>BODEN</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38370-2023</t>
        </is>
      </c>
      <c r="B912" s="1" t="n">
        <v>45161</v>
      </c>
      <c r="C912" s="1" t="n">
        <v>45832</v>
      </c>
      <c r="D912" t="inlineStr">
        <is>
          <t>NORRBOTTENS LÄN</t>
        </is>
      </c>
      <c r="E912" t="inlineStr">
        <is>
          <t>BODEN</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38371-2023</t>
        </is>
      </c>
      <c r="B913" s="1" t="n">
        <v>45161</v>
      </c>
      <c r="C913" s="1" t="n">
        <v>45832</v>
      </c>
      <c r="D913" t="inlineStr">
        <is>
          <t>NORRBOTTENS LÄN</t>
        </is>
      </c>
      <c r="E913" t="inlineStr">
        <is>
          <t>BODEN</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38970-2023</t>
        </is>
      </c>
      <c r="B914" s="1" t="n">
        <v>45162</v>
      </c>
      <c r="C914" s="1" t="n">
        <v>45832</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38981-2023</t>
        </is>
      </c>
      <c r="B915" s="1" t="n">
        <v>45162</v>
      </c>
      <c r="C915" s="1" t="n">
        <v>45832</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39017-2023</t>
        </is>
      </c>
      <c r="B916" s="1" t="n">
        <v>45163</v>
      </c>
      <c r="C916" s="1" t="n">
        <v>45832</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39440-2023</t>
        </is>
      </c>
      <c r="B917" s="1" t="n">
        <v>45163</v>
      </c>
      <c r="C917" s="1" t="n">
        <v>45832</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39572-2023</t>
        </is>
      </c>
      <c r="B918" s="1" t="n">
        <v>45163</v>
      </c>
      <c r="C918" s="1" t="n">
        <v>45832</v>
      </c>
      <c r="D918" t="inlineStr">
        <is>
          <t>NORRBOTTENS LÄN</t>
        </is>
      </c>
      <c r="E918" t="inlineStr">
        <is>
          <t>BODEN</t>
        </is>
      </c>
      <c r="G918" t="n">
        <v>13.1</v>
      </c>
      <c r="H918" t="n">
        <v>0</v>
      </c>
      <c r="I918" t="n">
        <v>0</v>
      </c>
      <c r="J918" t="n">
        <v>0</v>
      </c>
      <c r="K918" t="n">
        <v>0</v>
      </c>
      <c r="L918" t="n">
        <v>0</v>
      </c>
      <c r="M918" t="n">
        <v>0</v>
      </c>
      <c r="N918" t="n">
        <v>0</v>
      </c>
      <c r="O918" t="n">
        <v>0</v>
      </c>
      <c r="P918" t="n">
        <v>0</v>
      </c>
      <c r="Q918" t="n">
        <v>0</v>
      </c>
      <c r="R918" s="2" t="inlineStr"/>
    </row>
    <row r="919" ht="15" customHeight="1">
      <c r="A919" t="inlineStr">
        <is>
          <t>A 39463-2023</t>
        </is>
      </c>
      <c r="B919" s="1" t="n">
        <v>45166</v>
      </c>
      <c r="C919" s="1" t="n">
        <v>45832</v>
      </c>
      <c r="D919" t="inlineStr">
        <is>
          <t>NORRBOTTENS LÄN</t>
        </is>
      </c>
      <c r="E919" t="inlineStr">
        <is>
          <t>BODEN</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39501-2023</t>
        </is>
      </c>
      <c r="B920" s="1" t="n">
        <v>45166</v>
      </c>
      <c r="C920" s="1" t="n">
        <v>45832</v>
      </c>
      <c r="D920" t="inlineStr">
        <is>
          <t>NORRBOTTENS LÄN</t>
        </is>
      </c>
      <c r="E920" t="inlineStr">
        <is>
          <t>BODEN</t>
        </is>
      </c>
      <c r="F920" t="inlineStr">
        <is>
          <t>SCA</t>
        </is>
      </c>
      <c r="G920" t="n">
        <v>16.7</v>
      </c>
      <c r="H920" t="n">
        <v>0</v>
      </c>
      <c r="I920" t="n">
        <v>0</v>
      </c>
      <c r="J920" t="n">
        <v>0</v>
      </c>
      <c r="K920" t="n">
        <v>0</v>
      </c>
      <c r="L920" t="n">
        <v>0</v>
      </c>
      <c r="M920" t="n">
        <v>0</v>
      </c>
      <c r="N920" t="n">
        <v>0</v>
      </c>
      <c r="O920" t="n">
        <v>0</v>
      </c>
      <c r="P920" t="n">
        <v>0</v>
      </c>
      <c r="Q920" t="n">
        <v>0</v>
      </c>
      <c r="R920" s="2" t="inlineStr"/>
    </row>
    <row r="921" ht="15" customHeight="1">
      <c r="A921" t="inlineStr">
        <is>
          <t>A 39966-2023</t>
        </is>
      </c>
      <c r="B921" s="1" t="n">
        <v>45168</v>
      </c>
      <c r="C921" s="1" t="n">
        <v>45832</v>
      </c>
      <c r="D921" t="inlineStr">
        <is>
          <t>NORRBOTTENS LÄN</t>
        </is>
      </c>
      <c r="E921" t="inlineStr">
        <is>
          <t>BODEN</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39970-2023</t>
        </is>
      </c>
      <c r="B922" s="1" t="n">
        <v>45168</v>
      </c>
      <c r="C922" s="1" t="n">
        <v>45832</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40010-2023</t>
        </is>
      </c>
      <c r="B923" s="1" t="n">
        <v>45168</v>
      </c>
      <c r="C923" s="1" t="n">
        <v>45832</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39972-2023</t>
        </is>
      </c>
      <c r="B924" s="1" t="n">
        <v>45168</v>
      </c>
      <c r="C924" s="1" t="n">
        <v>45832</v>
      </c>
      <c r="D924" t="inlineStr">
        <is>
          <t>NORRBOTTENS LÄN</t>
        </is>
      </c>
      <c r="E924" t="inlineStr">
        <is>
          <t>BODEN</t>
        </is>
      </c>
      <c r="F924" t="inlineStr">
        <is>
          <t>Sveaskog</t>
        </is>
      </c>
      <c r="G924" t="n">
        <v>6.3</v>
      </c>
      <c r="H924" t="n">
        <v>0</v>
      </c>
      <c r="I924" t="n">
        <v>0</v>
      </c>
      <c r="J924" t="n">
        <v>0</v>
      </c>
      <c r="K924" t="n">
        <v>0</v>
      </c>
      <c r="L924" t="n">
        <v>0</v>
      </c>
      <c r="M924" t="n">
        <v>0</v>
      </c>
      <c r="N924" t="n">
        <v>0</v>
      </c>
      <c r="O924" t="n">
        <v>0</v>
      </c>
      <c r="P924" t="n">
        <v>0</v>
      </c>
      <c r="Q924" t="n">
        <v>0</v>
      </c>
      <c r="R924" s="2" t="inlineStr"/>
    </row>
    <row r="925" ht="15" customHeight="1">
      <c r="A925" t="inlineStr">
        <is>
          <t>A 40934-2023</t>
        </is>
      </c>
      <c r="B925" s="1" t="n">
        <v>45169</v>
      </c>
      <c r="C925" s="1" t="n">
        <v>45832</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40911-2023</t>
        </is>
      </c>
      <c r="B926" s="1" t="n">
        <v>45169</v>
      </c>
      <c r="C926" s="1" t="n">
        <v>45832</v>
      </c>
      <c r="D926" t="inlineStr">
        <is>
          <t>NORRBOTTENS LÄN</t>
        </is>
      </c>
      <c r="E926" t="inlineStr">
        <is>
          <t>BODEN</t>
        </is>
      </c>
      <c r="G926" t="n">
        <v>21.3</v>
      </c>
      <c r="H926" t="n">
        <v>0</v>
      </c>
      <c r="I926" t="n">
        <v>0</v>
      </c>
      <c r="J926" t="n">
        <v>0</v>
      </c>
      <c r="K926" t="n">
        <v>0</v>
      </c>
      <c r="L926" t="n">
        <v>0</v>
      </c>
      <c r="M926" t="n">
        <v>0</v>
      </c>
      <c r="N926" t="n">
        <v>0</v>
      </c>
      <c r="O926" t="n">
        <v>0</v>
      </c>
      <c r="P926" t="n">
        <v>0</v>
      </c>
      <c r="Q926" t="n">
        <v>0</v>
      </c>
      <c r="R926" s="2" t="inlineStr"/>
    </row>
    <row r="927" ht="15" customHeight="1">
      <c r="A927" t="inlineStr">
        <is>
          <t>A 40614-2023</t>
        </is>
      </c>
      <c r="B927" s="1" t="n">
        <v>45170</v>
      </c>
      <c r="C927" s="1" t="n">
        <v>45832</v>
      </c>
      <c r="D927" t="inlineStr">
        <is>
          <t>NORRBOTTENS LÄN</t>
        </is>
      </c>
      <c r="E927" t="inlineStr">
        <is>
          <t>BODEN</t>
        </is>
      </c>
      <c r="F927" t="inlineStr">
        <is>
          <t>Sveaskog</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40839-2023</t>
        </is>
      </c>
      <c r="B928" s="1" t="n">
        <v>45172</v>
      </c>
      <c r="C928" s="1" t="n">
        <v>45832</v>
      </c>
      <c r="D928" t="inlineStr">
        <is>
          <t>NORRBOTTENS LÄN</t>
        </is>
      </c>
      <c r="E928" t="inlineStr">
        <is>
          <t>BODEN</t>
        </is>
      </c>
      <c r="G928" t="n">
        <v>10</v>
      </c>
      <c r="H928" t="n">
        <v>0</v>
      </c>
      <c r="I928" t="n">
        <v>0</v>
      </c>
      <c r="J928" t="n">
        <v>0</v>
      </c>
      <c r="K928" t="n">
        <v>0</v>
      </c>
      <c r="L928" t="n">
        <v>0</v>
      </c>
      <c r="M928" t="n">
        <v>0</v>
      </c>
      <c r="N928" t="n">
        <v>0</v>
      </c>
      <c r="O928" t="n">
        <v>0</v>
      </c>
      <c r="P928" t="n">
        <v>0</v>
      </c>
      <c r="Q928" t="n">
        <v>0</v>
      </c>
      <c r="R928" s="2" t="inlineStr"/>
    </row>
    <row r="929" ht="15" customHeight="1">
      <c r="A929" t="inlineStr">
        <is>
          <t>A 40885-2023</t>
        </is>
      </c>
      <c r="B929" s="1" t="n">
        <v>45173</v>
      </c>
      <c r="C929" s="1" t="n">
        <v>45832</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v>
      </c>
      <c r="C930" s="1" t="n">
        <v>45832</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41937-2023</t>
        </is>
      </c>
      <c r="B931" s="1" t="n">
        <v>45177</v>
      </c>
      <c r="C931" s="1" t="n">
        <v>45832</v>
      </c>
      <c r="D931" t="inlineStr">
        <is>
          <t>NORRBOTTENS LÄN</t>
        </is>
      </c>
      <c r="E931" t="inlineStr">
        <is>
          <t>BODEN</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41938-2023</t>
        </is>
      </c>
      <c r="B932" s="1" t="n">
        <v>45176</v>
      </c>
      <c r="C932" s="1" t="n">
        <v>45832</v>
      </c>
      <c r="D932" t="inlineStr">
        <is>
          <t>NORRBOTTENS LÄN</t>
        </is>
      </c>
      <c r="E932" t="inlineStr">
        <is>
          <t>BODEN</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42701-2023</t>
        </is>
      </c>
      <c r="B933" s="1" t="n">
        <v>45176</v>
      </c>
      <c r="C933" s="1" t="n">
        <v>45832</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42152-2023</t>
        </is>
      </c>
      <c r="B934" s="1" t="n">
        <v>45177</v>
      </c>
      <c r="C934" s="1" t="n">
        <v>45832</v>
      </c>
      <c r="D934" t="inlineStr">
        <is>
          <t>NORRBOTTENS LÄN</t>
        </is>
      </c>
      <c r="E934" t="inlineStr">
        <is>
          <t>BODEN</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42505-2023</t>
        </is>
      </c>
      <c r="B935" s="1" t="n">
        <v>45180</v>
      </c>
      <c r="C935" s="1" t="n">
        <v>45832</v>
      </c>
      <c r="D935" t="inlineStr">
        <is>
          <t>NORRBOTTENS LÄN</t>
        </is>
      </c>
      <c r="E935" t="inlineStr">
        <is>
          <t>BODEN</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42794-2023</t>
        </is>
      </c>
      <c r="B936" s="1" t="n">
        <v>45182</v>
      </c>
      <c r="C936" s="1" t="n">
        <v>45832</v>
      </c>
      <c r="D936" t="inlineStr">
        <is>
          <t>NORRBOTTENS LÄN</t>
        </is>
      </c>
      <c r="E936" t="inlineStr">
        <is>
          <t>BODEN</t>
        </is>
      </c>
      <c r="G936" t="n">
        <v>3</v>
      </c>
      <c r="H936" t="n">
        <v>0</v>
      </c>
      <c r="I936" t="n">
        <v>0</v>
      </c>
      <c r="J936" t="n">
        <v>0</v>
      </c>
      <c r="K936" t="n">
        <v>0</v>
      </c>
      <c r="L936" t="n">
        <v>0</v>
      </c>
      <c r="M936" t="n">
        <v>0</v>
      </c>
      <c r="N936" t="n">
        <v>0</v>
      </c>
      <c r="O936" t="n">
        <v>0</v>
      </c>
      <c r="P936" t="n">
        <v>0</v>
      </c>
      <c r="Q936" t="n">
        <v>0</v>
      </c>
      <c r="R936" s="2" t="inlineStr"/>
    </row>
    <row r="937" ht="15" customHeight="1">
      <c r="A937" t="inlineStr">
        <is>
          <t>A 43119-2023</t>
        </is>
      </c>
      <c r="B937" s="1" t="n">
        <v>45183</v>
      </c>
      <c r="C937" s="1" t="n">
        <v>45832</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43085-2023</t>
        </is>
      </c>
      <c r="B938" s="1" t="n">
        <v>45182</v>
      </c>
      <c r="C938" s="1" t="n">
        <v>45832</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44092-2023</t>
        </is>
      </c>
      <c r="B939" s="1" t="n">
        <v>45182</v>
      </c>
      <c r="C939" s="1" t="n">
        <v>45832</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44061-2023</t>
        </is>
      </c>
      <c r="B940" s="1" t="n">
        <v>45182</v>
      </c>
      <c r="C940" s="1" t="n">
        <v>45832</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43416-2023</t>
        </is>
      </c>
      <c r="B941" s="1" t="n">
        <v>45184</v>
      </c>
      <c r="C941" s="1" t="n">
        <v>45832</v>
      </c>
      <c r="D941" t="inlineStr">
        <is>
          <t>NORRBOTTENS LÄN</t>
        </is>
      </c>
      <c r="E941" t="inlineStr">
        <is>
          <t>BODEN</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43443-2023</t>
        </is>
      </c>
      <c r="B942" s="1" t="n">
        <v>45184</v>
      </c>
      <c r="C942" s="1" t="n">
        <v>45832</v>
      </c>
      <c r="D942" t="inlineStr">
        <is>
          <t>NORRBOTTENS LÄN</t>
        </is>
      </c>
      <c r="E942" t="inlineStr">
        <is>
          <t>BODEN</t>
        </is>
      </c>
      <c r="F942" t="inlineStr">
        <is>
          <t>Sveaskog</t>
        </is>
      </c>
      <c r="G942" t="n">
        <v>5.4</v>
      </c>
      <c r="H942" t="n">
        <v>0</v>
      </c>
      <c r="I942" t="n">
        <v>0</v>
      </c>
      <c r="J942" t="n">
        <v>0</v>
      </c>
      <c r="K942" t="n">
        <v>0</v>
      </c>
      <c r="L942" t="n">
        <v>0</v>
      </c>
      <c r="M942" t="n">
        <v>0</v>
      </c>
      <c r="N942" t="n">
        <v>0</v>
      </c>
      <c r="O942" t="n">
        <v>0</v>
      </c>
      <c r="P942" t="n">
        <v>0</v>
      </c>
      <c r="Q942" t="n">
        <v>0</v>
      </c>
      <c r="R942" s="2" t="inlineStr"/>
    </row>
    <row r="943" ht="15" customHeight="1">
      <c r="A943" t="inlineStr">
        <is>
          <t>A 43639-2023</t>
        </is>
      </c>
      <c r="B943" s="1" t="n">
        <v>45186</v>
      </c>
      <c r="C943" s="1" t="n">
        <v>45832</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43640-2023</t>
        </is>
      </c>
      <c r="B944" s="1" t="n">
        <v>45186</v>
      </c>
      <c r="C944" s="1" t="n">
        <v>45832</v>
      </c>
      <c r="D944" t="inlineStr">
        <is>
          <t>NORRBOTTENS LÄN</t>
        </is>
      </c>
      <c r="E944" t="inlineStr">
        <is>
          <t>BODEN</t>
        </is>
      </c>
      <c r="G944" t="n">
        <v>0.6</v>
      </c>
      <c r="H944" t="n">
        <v>0</v>
      </c>
      <c r="I944" t="n">
        <v>0</v>
      </c>
      <c r="J944" t="n">
        <v>0</v>
      </c>
      <c r="K944" t="n">
        <v>0</v>
      </c>
      <c r="L944" t="n">
        <v>0</v>
      </c>
      <c r="M944" t="n">
        <v>0</v>
      </c>
      <c r="N944" t="n">
        <v>0</v>
      </c>
      <c r="O944" t="n">
        <v>0</v>
      </c>
      <c r="P944" t="n">
        <v>0</v>
      </c>
      <c r="Q944" t="n">
        <v>0</v>
      </c>
      <c r="R944" s="2" t="inlineStr"/>
    </row>
    <row r="945" ht="15" customHeight="1">
      <c r="A945" t="inlineStr">
        <is>
          <t>A 43648-2023</t>
        </is>
      </c>
      <c r="B945" s="1" t="n">
        <v>45187</v>
      </c>
      <c r="C945" s="1" t="n">
        <v>45832</v>
      </c>
      <c r="D945" t="inlineStr">
        <is>
          <t>NORRBOTTENS LÄN</t>
        </is>
      </c>
      <c r="E945" t="inlineStr">
        <is>
          <t>BODEN</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44186-2023</t>
        </is>
      </c>
      <c r="B946" s="1" t="n">
        <v>45188</v>
      </c>
      <c r="C946" s="1" t="n">
        <v>45832</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44183-2023</t>
        </is>
      </c>
      <c r="B947" s="1" t="n">
        <v>45188</v>
      </c>
      <c r="C947" s="1" t="n">
        <v>45832</v>
      </c>
      <c r="D947" t="inlineStr">
        <is>
          <t>NORRBOTTENS LÄN</t>
        </is>
      </c>
      <c r="E947" t="inlineStr">
        <is>
          <t>BODEN</t>
        </is>
      </c>
      <c r="F947" t="inlineStr">
        <is>
          <t>Sveaskog</t>
        </is>
      </c>
      <c r="G947" t="n">
        <v>20.6</v>
      </c>
      <c r="H947" t="n">
        <v>0</v>
      </c>
      <c r="I947" t="n">
        <v>0</v>
      </c>
      <c r="J947" t="n">
        <v>0</v>
      </c>
      <c r="K947" t="n">
        <v>0</v>
      </c>
      <c r="L947" t="n">
        <v>0</v>
      </c>
      <c r="M947" t="n">
        <v>0</v>
      </c>
      <c r="N947" t="n">
        <v>0</v>
      </c>
      <c r="O947" t="n">
        <v>0</v>
      </c>
      <c r="P947" t="n">
        <v>0</v>
      </c>
      <c r="Q947" t="n">
        <v>0</v>
      </c>
      <c r="R947" s="2" t="inlineStr"/>
    </row>
    <row r="948" ht="15" customHeight="1">
      <c r="A948" t="inlineStr">
        <is>
          <t>A 44568-2023</t>
        </is>
      </c>
      <c r="B948" s="1" t="n">
        <v>45189</v>
      </c>
      <c r="C948" s="1" t="n">
        <v>45832</v>
      </c>
      <c r="D948" t="inlineStr">
        <is>
          <t>NORRBOTTENS LÄN</t>
        </is>
      </c>
      <c r="E948" t="inlineStr">
        <is>
          <t>BODEN</t>
        </is>
      </c>
      <c r="G948" t="n">
        <v>5.7</v>
      </c>
      <c r="H948" t="n">
        <v>0</v>
      </c>
      <c r="I948" t="n">
        <v>0</v>
      </c>
      <c r="J948" t="n">
        <v>0</v>
      </c>
      <c r="K948" t="n">
        <v>0</v>
      </c>
      <c r="L948" t="n">
        <v>0</v>
      </c>
      <c r="M948" t="n">
        <v>0</v>
      </c>
      <c r="N948" t="n">
        <v>0</v>
      </c>
      <c r="O948" t="n">
        <v>0</v>
      </c>
      <c r="P948" t="n">
        <v>0</v>
      </c>
      <c r="Q948" t="n">
        <v>0</v>
      </c>
      <c r="R948" s="2" t="inlineStr"/>
    </row>
    <row r="949" ht="15" customHeight="1">
      <c r="A949" t="inlineStr">
        <is>
          <t>A 45003-2023</t>
        </is>
      </c>
      <c r="B949" s="1" t="n">
        <v>45191</v>
      </c>
      <c r="C949" s="1" t="n">
        <v>45832</v>
      </c>
      <c r="D949" t="inlineStr">
        <is>
          <t>NORRBOTTENS LÄN</t>
        </is>
      </c>
      <c r="E949" t="inlineStr">
        <is>
          <t>BODEN</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46232-2023</t>
        </is>
      </c>
      <c r="B950" s="1" t="n">
        <v>45191</v>
      </c>
      <c r="C950" s="1" t="n">
        <v>45832</v>
      </c>
      <c r="D950" t="inlineStr">
        <is>
          <t>NORRBOTTENS LÄN</t>
        </is>
      </c>
      <c r="E950" t="inlineStr">
        <is>
          <t>BODEN</t>
        </is>
      </c>
      <c r="G950" t="n">
        <v>8</v>
      </c>
      <c r="H950" t="n">
        <v>0</v>
      </c>
      <c r="I950" t="n">
        <v>0</v>
      </c>
      <c r="J950" t="n">
        <v>0</v>
      </c>
      <c r="K950" t="n">
        <v>0</v>
      </c>
      <c r="L950" t="n">
        <v>0</v>
      </c>
      <c r="M950" t="n">
        <v>0</v>
      </c>
      <c r="N950" t="n">
        <v>0</v>
      </c>
      <c r="O950" t="n">
        <v>0</v>
      </c>
      <c r="P950" t="n">
        <v>0</v>
      </c>
      <c r="Q950" t="n">
        <v>0</v>
      </c>
      <c r="R950" s="2" t="inlineStr"/>
    </row>
    <row r="951" ht="15" customHeight="1">
      <c r="A951" t="inlineStr">
        <is>
          <t>A 45446-2023</t>
        </is>
      </c>
      <c r="B951" s="1" t="n">
        <v>45194</v>
      </c>
      <c r="C951" s="1" t="n">
        <v>45832</v>
      </c>
      <c r="D951" t="inlineStr">
        <is>
          <t>NORRBOTTENS LÄN</t>
        </is>
      </c>
      <c r="E951" t="inlineStr">
        <is>
          <t>BODEN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45454-2023</t>
        </is>
      </c>
      <c r="B952" s="1" t="n">
        <v>45194</v>
      </c>
      <c r="C952" s="1" t="n">
        <v>45832</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v>
      </c>
      <c r="C953" s="1" t="n">
        <v>45832</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45929-2023</t>
        </is>
      </c>
      <c r="B954" s="1" t="n">
        <v>45196</v>
      </c>
      <c r="C954" s="1" t="n">
        <v>45832</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45930-2023</t>
        </is>
      </c>
      <c r="B955" s="1" t="n">
        <v>45196</v>
      </c>
      <c r="C955" s="1" t="n">
        <v>45832</v>
      </c>
      <c r="D955" t="inlineStr">
        <is>
          <t>NORRBOTTENS LÄN</t>
        </is>
      </c>
      <c r="E955" t="inlineStr">
        <is>
          <t>BODEN</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45931-2023</t>
        </is>
      </c>
      <c r="B956" s="1" t="n">
        <v>45196</v>
      </c>
      <c r="C956" s="1" t="n">
        <v>45832</v>
      </c>
      <c r="D956" t="inlineStr">
        <is>
          <t>NORRBOTTENS LÄN</t>
        </is>
      </c>
      <c r="E956" t="inlineStr">
        <is>
          <t>BODEN</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46999-2023</t>
        </is>
      </c>
      <c r="B957" s="1" t="n">
        <v>45196</v>
      </c>
      <c r="C957" s="1" t="n">
        <v>45832</v>
      </c>
      <c r="D957" t="inlineStr">
        <is>
          <t>NORRBOTTENS LÄN</t>
        </is>
      </c>
      <c r="E957" t="inlineStr">
        <is>
          <t>BODEN</t>
        </is>
      </c>
      <c r="G957" t="n">
        <v>1</v>
      </c>
      <c r="H957" t="n">
        <v>0</v>
      </c>
      <c r="I957" t="n">
        <v>0</v>
      </c>
      <c r="J957" t="n">
        <v>0</v>
      </c>
      <c r="K957" t="n">
        <v>0</v>
      </c>
      <c r="L957" t="n">
        <v>0</v>
      </c>
      <c r="M957" t="n">
        <v>0</v>
      </c>
      <c r="N957" t="n">
        <v>0</v>
      </c>
      <c r="O957" t="n">
        <v>0</v>
      </c>
      <c r="P957" t="n">
        <v>0</v>
      </c>
      <c r="Q957" t="n">
        <v>0</v>
      </c>
      <c r="R957" s="2" t="inlineStr"/>
    </row>
    <row r="958" ht="15" customHeight="1">
      <c r="A958" t="inlineStr">
        <is>
          <t>A 46277-2023</t>
        </is>
      </c>
      <c r="B958" s="1" t="n">
        <v>45196</v>
      </c>
      <c r="C958" s="1" t="n">
        <v>45832</v>
      </c>
      <c r="D958" t="inlineStr">
        <is>
          <t>NORRBOTTENS LÄN</t>
        </is>
      </c>
      <c r="E958" t="inlineStr">
        <is>
          <t>BODEN</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46276-2023</t>
        </is>
      </c>
      <c r="B959" s="1" t="n">
        <v>45197</v>
      </c>
      <c r="C959" s="1" t="n">
        <v>45832</v>
      </c>
      <c r="D959" t="inlineStr">
        <is>
          <t>NORRBOTTENS LÄN</t>
        </is>
      </c>
      <c r="E959" t="inlineStr">
        <is>
          <t>BODEN</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46909-2023</t>
        </is>
      </c>
      <c r="B960" s="1" t="n">
        <v>45201</v>
      </c>
      <c r="C960" s="1" t="n">
        <v>45832</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46926-2023</t>
        </is>
      </c>
      <c r="B961" s="1" t="n">
        <v>45201</v>
      </c>
      <c r="C961" s="1" t="n">
        <v>45832</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47097-2023</t>
        </is>
      </c>
      <c r="B962" s="1" t="n">
        <v>45201</v>
      </c>
      <c r="C962" s="1" t="n">
        <v>45832</v>
      </c>
      <c r="D962" t="inlineStr">
        <is>
          <t>NORRBOTTENS LÄN</t>
        </is>
      </c>
      <c r="E962" t="inlineStr">
        <is>
          <t>BODEN</t>
        </is>
      </c>
      <c r="G962" t="n">
        <v>5.5</v>
      </c>
      <c r="H962" t="n">
        <v>0</v>
      </c>
      <c r="I962" t="n">
        <v>0</v>
      </c>
      <c r="J962" t="n">
        <v>0</v>
      </c>
      <c r="K962" t="n">
        <v>0</v>
      </c>
      <c r="L962" t="n">
        <v>0</v>
      </c>
      <c r="M962" t="n">
        <v>0</v>
      </c>
      <c r="N962" t="n">
        <v>0</v>
      </c>
      <c r="O962" t="n">
        <v>0</v>
      </c>
      <c r="P962" t="n">
        <v>0</v>
      </c>
      <c r="Q962" t="n">
        <v>0</v>
      </c>
      <c r="R962" s="2" t="inlineStr"/>
    </row>
    <row r="963" ht="15" customHeight="1">
      <c r="A963" t="inlineStr">
        <is>
          <t>A 49113-2023</t>
        </is>
      </c>
      <c r="B963" s="1" t="n">
        <v>45204</v>
      </c>
      <c r="C963" s="1" t="n">
        <v>45832</v>
      </c>
      <c r="D963" t="inlineStr">
        <is>
          <t>NORRBOTTENS LÄN</t>
        </is>
      </c>
      <c r="E963" t="inlineStr">
        <is>
          <t>BODEN</t>
        </is>
      </c>
      <c r="G963" t="n">
        <v>5.6</v>
      </c>
      <c r="H963" t="n">
        <v>0</v>
      </c>
      <c r="I963" t="n">
        <v>0</v>
      </c>
      <c r="J963" t="n">
        <v>0</v>
      </c>
      <c r="K963" t="n">
        <v>0</v>
      </c>
      <c r="L963" t="n">
        <v>0</v>
      </c>
      <c r="M963" t="n">
        <v>0</v>
      </c>
      <c r="N963" t="n">
        <v>0</v>
      </c>
      <c r="O963" t="n">
        <v>0</v>
      </c>
      <c r="P963" t="n">
        <v>0</v>
      </c>
      <c r="Q963" t="n">
        <v>0</v>
      </c>
      <c r="R963" s="2" t="inlineStr"/>
    </row>
    <row r="964" ht="15" customHeight="1">
      <c r="A964" t="inlineStr">
        <is>
          <t>A 49094-2023</t>
        </is>
      </c>
      <c r="B964" s="1" t="n">
        <v>45204</v>
      </c>
      <c r="C964" s="1" t="n">
        <v>45832</v>
      </c>
      <c r="D964" t="inlineStr">
        <is>
          <t>NORRBOTTENS LÄN</t>
        </is>
      </c>
      <c r="E964" t="inlineStr">
        <is>
          <t>BODEN</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48129-2023</t>
        </is>
      </c>
      <c r="B965" s="1" t="n">
        <v>45205</v>
      </c>
      <c r="C965" s="1" t="n">
        <v>45832</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48262-2023</t>
        </is>
      </c>
      <c r="B966" s="1" t="n">
        <v>45205</v>
      </c>
      <c r="C966" s="1" t="n">
        <v>45832</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48417-2023</t>
        </is>
      </c>
      <c r="B967" s="1" t="n">
        <v>45205</v>
      </c>
      <c r="C967" s="1" t="n">
        <v>45832</v>
      </c>
      <c r="D967" t="inlineStr">
        <is>
          <t>NORRBOTTENS LÄN</t>
        </is>
      </c>
      <c r="E967" t="inlineStr">
        <is>
          <t>BODEN</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48450-2023</t>
        </is>
      </c>
      <c r="B968" s="1" t="n">
        <v>45206</v>
      </c>
      <c r="C968" s="1" t="n">
        <v>45832</v>
      </c>
      <c r="D968" t="inlineStr">
        <is>
          <t>NORRBOTTENS LÄN</t>
        </is>
      </c>
      <c r="E968" t="inlineStr">
        <is>
          <t>BODEN</t>
        </is>
      </c>
      <c r="G968" t="n">
        <v>2.6</v>
      </c>
      <c r="H968" t="n">
        <v>0</v>
      </c>
      <c r="I968" t="n">
        <v>0</v>
      </c>
      <c r="J968" t="n">
        <v>0</v>
      </c>
      <c r="K968" t="n">
        <v>0</v>
      </c>
      <c r="L968" t="n">
        <v>0</v>
      </c>
      <c r="M968" t="n">
        <v>0</v>
      </c>
      <c r="N968" t="n">
        <v>0</v>
      </c>
      <c r="O968" t="n">
        <v>0</v>
      </c>
      <c r="P968" t="n">
        <v>0</v>
      </c>
      <c r="Q968" t="n">
        <v>0</v>
      </c>
      <c r="R968" s="2" t="inlineStr"/>
    </row>
    <row r="969" ht="15" customHeight="1">
      <c r="A969" t="inlineStr">
        <is>
          <t>A 48595-2023</t>
        </is>
      </c>
      <c r="B969" s="1" t="n">
        <v>45208</v>
      </c>
      <c r="C969" s="1" t="n">
        <v>45832</v>
      </c>
      <c r="D969" t="inlineStr">
        <is>
          <t>NORRBOTTENS LÄN</t>
        </is>
      </c>
      <c r="E969" t="inlineStr">
        <is>
          <t>BODEN</t>
        </is>
      </c>
      <c r="F969" t="inlineStr">
        <is>
          <t>Sveaskog</t>
        </is>
      </c>
      <c r="G969" t="n">
        <v>4.2</v>
      </c>
      <c r="H969" t="n">
        <v>0</v>
      </c>
      <c r="I969" t="n">
        <v>0</v>
      </c>
      <c r="J969" t="n">
        <v>0</v>
      </c>
      <c r="K969" t="n">
        <v>0</v>
      </c>
      <c r="L969" t="n">
        <v>0</v>
      </c>
      <c r="M969" t="n">
        <v>0</v>
      </c>
      <c r="N969" t="n">
        <v>0</v>
      </c>
      <c r="O969" t="n">
        <v>0</v>
      </c>
      <c r="P969" t="n">
        <v>0</v>
      </c>
      <c r="Q969" t="n">
        <v>0</v>
      </c>
      <c r="R969" s="2" t="inlineStr"/>
    </row>
    <row r="970" ht="15" customHeight="1">
      <c r="A970" t="inlineStr">
        <is>
          <t>A 48592-2023</t>
        </is>
      </c>
      <c r="B970" s="1" t="n">
        <v>45208</v>
      </c>
      <c r="C970" s="1" t="n">
        <v>45832</v>
      </c>
      <c r="D970" t="inlineStr">
        <is>
          <t>NORRBOTTENS LÄN</t>
        </is>
      </c>
      <c r="E970" t="inlineStr">
        <is>
          <t>BODEN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48681-2023</t>
        </is>
      </c>
      <c r="B971" s="1" t="n">
        <v>45208</v>
      </c>
      <c r="C971" s="1" t="n">
        <v>45832</v>
      </c>
      <c r="D971" t="inlineStr">
        <is>
          <t>NORRBOTTENS LÄN</t>
        </is>
      </c>
      <c r="E971" t="inlineStr">
        <is>
          <t>BODEN</t>
        </is>
      </c>
      <c r="G971" t="n">
        <v>8.4</v>
      </c>
      <c r="H971" t="n">
        <v>0</v>
      </c>
      <c r="I971" t="n">
        <v>0</v>
      </c>
      <c r="J971" t="n">
        <v>0</v>
      </c>
      <c r="K971" t="n">
        <v>0</v>
      </c>
      <c r="L971" t="n">
        <v>0</v>
      </c>
      <c r="M971" t="n">
        <v>0</v>
      </c>
      <c r="N971" t="n">
        <v>0</v>
      </c>
      <c r="O971" t="n">
        <v>0</v>
      </c>
      <c r="P971" t="n">
        <v>0</v>
      </c>
      <c r="Q971" t="n">
        <v>0</v>
      </c>
      <c r="R971" s="2" t="inlineStr"/>
    </row>
    <row r="972" ht="15" customHeight="1">
      <c r="A972" t="inlineStr">
        <is>
          <t>A 49127-2023</t>
        </is>
      </c>
      <c r="B972" s="1" t="n">
        <v>45210</v>
      </c>
      <c r="C972" s="1" t="n">
        <v>45832</v>
      </c>
      <c r="D972" t="inlineStr">
        <is>
          <t>NORRBOTTENS LÄN</t>
        </is>
      </c>
      <c r="E972" t="inlineStr">
        <is>
          <t>BODEN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49219-2023</t>
        </is>
      </c>
      <c r="B973" s="1" t="n">
        <v>45210</v>
      </c>
      <c r="C973" s="1" t="n">
        <v>45832</v>
      </c>
      <c r="D973" t="inlineStr">
        <is>
          <t>NORRBOTTENS LÄN</t>
        </is>
      </c>
      <c r="E973" t="inlineStr">
        <is>
          <t>BODEN</t>
        </is>
      </c>
      <c r="G973" t="n">
        <v>7.7</v>
      </c>
      <c r="H973" t="n">
        <v>0</v>
      </c>
      <c r="I973" t="n">
        <v>0</v>
      </c>
      <c r="J973" t="n">
        <v>0</v>
      </c>
      <c r="K973" t="n">
        <v>0</v>
      </c>
      <c r="L973" t="n">
        <v>0</v>
      </c>
      <c r="M973" t="n">
        <v>0</v>
      </c>
      <c r="N973" t="n">
        <v>0</v>
      </c>
      <c r="O973" t="n">
        <v>0</v>
      </c>
      <c r="P973" t="n">
        <v>0</v>
      </c>
      <c r="Q973" t="n">
        <v>0</v>
      </c>
      <c r="R973" s="2" t="inlineStr"/>
    </row>
    <row r="974" ht="15" customHeight="1">
      <c r="A974" t="inlineStr">
        <is>
          <t>A 49124-2023</t>
        </is>
      </c>
      <c r="B974" s="1" t="n">
        <v>45210</v>
      </c>
      <c r="C974" s="1" t="n">
        <v>45832</v>
      </c>
      <c r="D974" t="inlineStr">
        <is>
          <t>NORRBOTTENS LÄN</t>
        </is>
      </c>
      <c r="E974" t="inlineStr">
        <is>
          <t>BODEN</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49162-2023</t>
        </is>
      </c>
      <c r="B975" s="1" t="n">
        <v>45210</v>
      </c>
      <c r="C975" s="1" t="n">
        <v>45832</v>
      </c>
      <c r="D975" t="inlineStr">
        <is>
          <t>NORRBOTTENS LÄN</t>
        </is>
      </c>
      <c r="E975" t="inlineStr">
        <is>
          <t>BODEN</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49410-2023</t>
        </is>
      </c>
      <c r="B976" s="1" t="n">
        <v>45211</v>
      </c>
      <c r="C976" s="1" t="n">
        <v>45832</v>
      </c>
      <c r="D976" t="inlineStr">
        <is>
          <t>NORRBOTTENS LÄN</t>
        </is>
      </c>
      <c r="E976" t="inlineStr">
        <is>
          <t>BODEN</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49456-2023</t>
        </is>
      </c>
      <c r="B977" s="1" t="n">
        <v>45211</v>
      </c>
      <c r="C977" s="1" t="n">
        <v>45832</v>
      </c>
      <c r="D977" t="inlineStr">
        <is>
          <t>NORRBOTTENS LÄN</t>
        </is>
      </c>
      <c r="E977" t="inlineStr">
        <is>
          <t>BODEN</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49522-2023</t>
        </is>
      </c>
      <c r="B978" s="1" t="n">
        <v>45211</v>
      </c>
      <c r="C978" s="1" t="n">
        <v>45832</v>
      </c>
      <c r="D978" t="inlineStr">
        <is>
          <t>NORRBOTTENS LÄN</t>
        </is>
      </c>
      <c r="E978" t="inlineStr">
        <is>
          <t>BODEN</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49526-2023</t>
        </is>
      </c>
      <c r="B979" s="1" t="n">
        <v>45211</v>
      </c>
      <c r="C979" s="1" t="n">
        <v>45832</v>
      </c>
      <c r="D979" t="inlineStr">
        <is>
          <t>NORRBOTTENS LÄN</t>
        </is>
      </c>
      <c r="E979" t="inlineStr">
        <is>
          <t>BODEN</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49459-2023</t>
        </is>
      </c>
      <c r="B980" s="1" t="n">
        <v>45211</v>
      </c>
      <c r="C980" s="1" t="n">
        <v>45832</v>
      </c>
      <c r="D980" t="inlineStr">
        <is>
          <t>NORRBOTTENS LÄN</t>
        </is>
      </c>
      <c r="E980" t="inlineStr">
        <is>
          <t>BODEN</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49859-2023</t>
        </is>
      </c>
      <c r="B981" s="1" t="n">
        <v>45212</v>
      </c>
      <c r="C981" s="1" t="n">
        <v>45832</v>
      </c>
      <c r="D981" t="inlineStr">
        <is>
          <t>NORRBOTTENS LÄN</t>
        </is>
      </c>
      <c r="E981" t="inlineStr">
        <is>
          <t>BODEN</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49876-2023</t>
        </is>
      </c>
      <c r="B982" s="1" t="n">
        <v>45212</v>
      </c>
      <c r="C982" s="1" t="n">
        <v>45832</v>
      </c>
      <c r="D982" t="inlineStr">
        <is>
          <t>NORRBOTTENS LÄN</t>
        </is>
      </c>
      <c r="E982" t="inlineStr">
        <is>
          <t>BODEN</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51193-2023</t>
        </is>
      </c>
      <c r="B983" s="1" t="n">
        <v>45212</v>
      </c>
      <c r="C983" s="1" t="n">
        <v>45832</v>
      </c>
      <c r="D983" t="inlineStr">
        <is>
          <t>NORRBOTTENS LÄN</t>
        </is>
      </c>
      <c r="E983" t="inlineStr">
        <is>
          <t>BODEN</t>
        </is>
      </c>
      <c r="G983" t="n">
        <v>1.1</v>
      </c>
      <c r="H983" t="n">
        <v>0</v>
      </c>
      <c r="I983" t="n">
        <v>0</v>
      </c>
      <c r="J983" t="n">
        <v>0</v>
      </c>
      <c r="K983" t="n">
        <v>0</v>
      </c>
      <c r="L983" t="n">
        <v>0</v>
      </c>
      <c r="M983" t="n">
        <v>0</v>
      </c>
      <c r="N983" t="n">
        <v>0</v>
      </c>
      <c r="O983" t="n">
        <v>0</v>
      </c>
      <c r="P983" t="n">
        <v>0</v>
      </c>
      <c r="Q983" t="n">
        <v>0</v>
      </c>
      <c r="R983" s="2" t="inlineStr"/>
    </row>
    <row r="984" ht="15" customHeight="1">
      <c r="A984" t="inlineStr">
        <is>
          <t>A 50511-2023</t>
        </is>
      </c>
      <c r="B984" s="1" t="n">
        <v>45217</v>
      </c>
      <c r="C984" s="1" t="n">
        <v>45832</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50491-2023</t>
        </is>
      </c>
      <c r="B985" s="1" t="n">
        <v>45217</v>
      </c>
      <c r="C985" s="1" t="n">
        <v>45832</v>
      </c>
      <c r="D985" t="inlineStr">
        <is>
          <t>NORRBOTTENS LÄN</t>
        </is>
      </c>
      <c r="E985" t="inlineStr">
        <is>
          <t>BODEN</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50327-2023</t>
        </is>
      </c>
      <c r="B986" s="1" t="n">
        <v>45216</v>
      </c>
      <c r="C986" s="1" t="n">
        <v>45832</v>
      </c>
      <c r="D986" t="inlineStr">
        <is>
          <t>NORRBOTTENS LÄN</t>
        </is>
      </c>
      <c r="E986" t="inlineStr">
        <is>
          <t>BODEN</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50492-2023</t>
        </is>
      </c>
      <c r="B987" s="1" t="n">
        <v>45217</v>
      </c>
      <c r="C987" s="1" t="n">
        <v>45832</v>
      </c>
      <c r="D987" t="inlineStr">
        <is>
          <t>NORRBOTTENS LÄN</t>
        </is>
      </c>
      <c r="E987" t="inlineStr">
        <is>
          <t>BODEN</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51828-2023</t>
        </is>
      </c>
      <c r="B988" s="1" t="n">
        <v>45223</v>
      </c>
      <c r="C988" s="1" t="n">
        <v>45832</v>
      </c>
      <c r="D988" t="inlineStr">
        <is>
          <t>NORRBOTTENS LÄN</t>
        </is>
      </c>
      <c r="E988" t="inlineStr">
        <is>
          <t>BODEN</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52073-2023</t>
        </is>
      </c>
      <c r="B989" s="1" t="n">
        <v>45223</v>
      </c>
      <c r="C989" s="1" t="n">
        <v>45832</v>
      </c>
      <c r="D989" t="inlineStr">
        <is>
          <t>NORRBOTTENS LÄN</t>
        </is>
      </c>
      <c r="E989" t="inlineStr">
        <is>
          <t>BODEN</t>
        </is>
      </c>
      <c r="F989" t="inlineStr">
        <is>
          <t>Sveaskog</t>
        </is>
      </c>
      <c r="G989" t="n">
        <v>13.2</v>
      </c>
      <c r="H989" t="n">
        <v>0</v>
      </c>
      <c r="I989" t="n">
        <v>0</v>
      </c>
      <c r="J989" t="n">
        <v>0</v>
      </c>
      <c r="K989" t="n">
        <v>0</v>
      </c>
      <c r="L989" t="n">
        <v>0</v>
      </c>
      <c r="M989" t="n">
        <v>0</v>
      </c>
      <c r="N989" t="n">
        <v>0</v>
      </c>
      <c r="O989" t="n">
        <v>0</v>
      </c>
      <c r="P989" t="n">
        <v>0</v>
      </c>
      <c r="Q989" t="n">
        <v>0</v>
      </c>
      <c r="R989" s="2" t="inlineStr"/>
    </row>
    <row r="990" ht="15" customHeight="1">
      <c r="A990" t="inlineStr">
        <is>
          <t>A 52396-2023</t>
        </is>
      </c>
      <c r="B990" s="1" t="n">
        <v>45225</v>
      </c>
      <c r="C990" s="1" t="n">
        <v>45832</v>
      </c>
      <c r="D990" t="inlineStr">
        <is>
          <t>NORRBOTTENS LÄN</t>
        </is>
      </c>
      <c r="E990" t="inlineStr">
        <is>
          <t>BODEN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52395-2023</t>
        </is>
      </c>
      <c r="B991" s="1" t="n">
        <v>45225</v>
      </c>
      <c r="C991" s="1" t="n">
        <v>45832</v>
      </c>
      <c r="D991" t="inlineStr">
        <is>
          <t>NORRBOTTENS LÄN</t>
        </is>
      </c>
      <c r="E991" t="inlineStr">
        <is>
          <t>BODEN</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52976-2023</t>
        </is>
      </c>
      <c r="B992" s="1" t="n">
        <v>45226</v>
      </c>
      <c r="C992" s="1" t="n">
        <v>45832</v>
      </c>
      <c r="D992" t="inlineStr">
        <is>
          <t>NORRBOTTENS LÄN</t>
        </is>
      </c>
      <c r="E992" t="inlineStr">
        <is>
          <t>BODEN</t>
        </is>
      </c>
      <c r="F992" t="inlineStr">
        <is>
          <t>Sveaskog</t>
        </is>
      </c>
      <c r="G992" t="n">
        <v>7.5</v>
      </c>
      <c r="H992" t="n">
        <v>0</v>
      </c>
      <c r="I992" t="n">
        <v>0</v>
      </c>
      <c r="J992" t="n">
        <v>0</v>
      </c>
      <c r="K992" t="n">
        <v>0</v>
      </c>
      <c r="L992" t="n">
        <v>0</v>
      </c>
      <c r="M992" t="n">
        <v>0</v>
      </c>
      <c r="N992" t="n">
        <v>0</v>
      </c>
      <c r="O992" t="n">
        <v>0</v>
      </c>
      <c r="P992" t="n">
        <v>0</v>
      </c>
      <c r="Q992" t="n">
        <v>0</v>
      </c>
      <c r="R992" s="2" t="inlineStr"/>
    </row>
    <row r="993" ht="15" customHeight="1">
      <c r="A993" t="inlineStr">
        <is>
          <t>A 55027-2023</t>
        </is>
      </c>
      <c r="B993" s="1" t="n">
        <v>45229</v>
      </c>
      <c r="C993" s="1" t="n">
        <v>45832</v>
      </c>
      <c r="D993" t="inlineStr">
        <is>
          <t>NORRBOTTENS LÄN</t>
        </is>
      </c>
      <c r="E993" t="inlineStr">
        <is>
          <t>BODEN</t>
        </is>
      </c>
      <c r="G993" t="n">
        <v>7.7</v>
      </c>
      <c r="H993" t="n">
        <v>0</v>
      </c>
      <c r="I993" t="n">
        <v>0</v>
      </c>
      <c r="J993" t="n">
        <v>0</v>
      </c>
      <c r="K993" t="n">
        <v>0</v>
      </c>
      <c r="L993" t="n">
        <v>0</v>
      </c>
      <c r="M993" t="n">
        <v>0</v>
      </c>
      <c r="N993" t="n">
        <v>0</v>
      </c>
      <c r="O993" t="n">
        <v>0</v>
      </c>
      <c r="P993" t="n">
        <v>0</v>
      </c>
      <c r="Q993" t="n">
        <v>0</v>
      </c>
      <c r="R993" s="2" t="inlineStr"/>
    </row>
    <row r="994" ht="15" customHeight="1">
      <c r="A994" t="inlineStr">
        <is>
          <t>A 54012-2023</t>
        </is>
      </c>
      <c r="B994" s="1" t="n">
        <v>45231</v>
      </c>
      <c r="C994" s="1" t="n">
        <v>45832</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54153-2023</t>
        </is>
      </c>
      <c r="B995" s="1" t="n">
        <v>45232</v>
      </c>
      <c r="C995" s="1" t="n">
        <v>45832</v>
      </c>
      <c r="D995" t="inlineStr">
        <is>
          <t>NORRBOTTENS LÄN</t>
        </is>
      </c>
      <c r="E995" t="inlineStr">
        <is>
          <t>BODEN</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54142-2023</t>
        </is>
      </c>
      <c r="B996" s="1" t="n">
        <v>45232</v>
      </c>
      <c r="C996" s="1" t="n">
        <v>45832</v>
      </c>
      <c r="D996" t="inlineStr">
        <is>
          <t>NORRBOTTENS LÄN</t>
        </is>
      </c>
      <c r="E996" t="inlineStr">
        <is>
          <t>BODEN</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54250-2023</t>
        </is>
      </c>
      <c r="B997" s="1" t="n">
        <v>45232</v>
      </c>
      <c r="C997" s="1" t="n">
        <v>45832</v>
      </c>
      <c r="D997" t="inlineStr">
        <is>
          <t>NORRBOTTENS LÄN</t>
        </is>
      </c>
      <c r="E997" t="inlineStr">
        <is>
          <t>BODEN</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54267-2023</t>
        </is>
      </c>
      <c r="B998" s="1" t="n">
        <v>45232</v>
      </c>
      <c r="C998" s="1" t="n">
        <v>45832</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54139-2023</t>
        </is>
      </c>
      <c r="B999" s="1" t="n">
        <v>45232</v>
      </c>
      <c r="C999" s="1" t="n">
        <v>45832</v>
      </c>
      <c r="D999" t="inlineStr">
        <is>
          <t>NORRBOTTENS LÄN</t>
        </is>
      </c>
      <c r="E999" t="inlineStr">
        <is>
          <t>BODEN</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54269-2023</t>
        </is>
      </c>
      <c r="B1000" s="1" t="n">
        <v>45232</v>
      </c>
      <c r="C1000" s="1" t="n">
        <v>45832</v>
      </c>
      <c r="D1000" t="inlineStr">
        <is>
          <t>NORRBOTTENS LÄN</t>
        </is>
      </c>
      <c r="E1000" t="inlineStr">
        <is>
          <t>BODEN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54327-2023</t>
        </is>
      </c>
      <c r="B1001" s="1" t="n">
        <v>45232</v>
      </c>
      <c r="C1001" s="1" t="n">
        <v>45832</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54616-2023</t>
        </is>
      </c>
      <c r="B1002" s="1" t="n">
        <v>45233</v>
      </c>
      <c r="C1002" s="1" t="n">
        <v>45832</v>
      </c>
      <c r="D1002" t="inlineStr">
        <is>
          <t>NORRBOTTENS LÄN</t>
        </is>
      </c>
      <c r="E1002" t="inlineStr">
        <is>
          <t>BODEN</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56382-2023</t>
        </is>
      </c>
      <c r="B1003" s="1" t="n">
        <v>45236</v>
      </c>
      <c r="C1003" s="1" t="n">
        <v>45832</v>
      </c>
      <c r="D1003" t="inlineStr">
        <is>
          <t>NORRBOTTENS LÄN</t>
        </is>
      </c>
      <c r="E1003" t="inlineStr">
        <is>
          <t>BODEN</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55317-2023</t>
        </is>
      </c>
      <c r="B1004" s="1" t="n">
        <v>45237</v>
      </c>
      <c r="C1004" s="1" t="n">
        <v>45832</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55629-2023</t>
        </is>
      </c>
      <c r="B1005" s="1" t="n">
        <v>45238</v>
      </c>
      <c r="C1005" s="1" t="n">
        <v>45832</v>
      </c>
      <c r="D1005" t="inlineStr">
        <is>
          <t>NORRBOTTENS LÄN</t>
        </is>
      </c>
      <c r="E1005" t="inlineStr">
        <is>
          <t>BODEN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55630-2023</t>
        </is>
      </c>
      <c r="B1006" s="1" t="n">
        <v>45238</v>
      </c>
      <c r="C1006" s="1" t="n">
        <v>45832</v>
      </c>
      <c r="D1006" t="inlineStr">
        <is>
          <t>NORRBOTTENS LÄN</t>
        </is>
      </c>
      <c r="E1006" t="inlineStr">
        <is>
          <t>BODEN</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55628-2023</t>
        </is>
      </c>
      <c r="B1007" s="1" t="n">
        <v>45238</v>
      </c>
      <c r="C1007" s="1" t="n">
        <v>45832</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56035-2023</t>
        </is>
      </c>
      <c r="B1008" s="1" t="n">
        <v>45240</v>
      </c>
      <c r="C1008" s="1" t="n">
        <v>45832</v>
      </c>
      <c r="D1008" t="inlineStr">
        <is>
          <t>NORRBOTTENS LÄN</t>
        </is>
      </c>
      <c r="E1008" t="inlineStr">
        <is>
          <t>BODEN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56045-2023</t>
        </is>
      </c>
      <c r="B1009" s="1" t="n">
        <v>45240</v>
      </c>
      <c r="C1009" s="1" t="n">
        <v>45832</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56474-2023</t>
        </is>
      </c>
      <c r="B1010" s="1" t="n">
        <v>45243</v>
      </c>
      <c r="C1010" s="1" t="n">
        <v>45832</v>
      </c>
      <c r="D1010" t="inlineStr">
        <is>
          <t>NORRBOTTENS LÄN</t>
        </is>
      </c>
      <c r="E1010" t="inlineStr">
        <is>
          <t>BODEN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56837-2023</t>
        </is>
      </c>
      <c r="B1011" s="1" t="n">
        <v>45244</v>
      </c>
      <c r="C1011" s="1" t="n">
        <v>45832</v>
      </c>
      <c r="D1011" t="inlineStr">
        <is>
          <t>NORRBOTTENS LÄN</t>
        </is>
      </c>
      <c r="E1011" t="inlineStr">
        <is>
          <t>BODEN</t>
        </is>
      </c>
      <c r="F1011" t="inlineStr">
        <is>
          <t>Övriga statliga verk och myndigheter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57225-2023</t>
        </is>
      </c>
      <c r="B1012" s="1" t="n">
        <v>45245</v>
      </c>
      <c r="C1012" s="1" t="n">
        <v>45832</v>
      </c>
      <c r="D1012" t="inlineStr">
        <is>
          <t>NORRBOTTENS LÄN</t>
        </is>
      </c>
      <c r="E1012" t="inlineStr">
        <is>
          <t>BODEN</t>
        </is>
      </c>
      <c r="F1012" t="inlineStr">
        <is>
          <t>Sveaskog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57226-2023</t>
        </is>
      </c>
      <c r="B1013" s="1" t="n">
        <v>45245</v>
      </c>
      <c r="C1013" s="1" t="n">
        <v>45832</v>
      </c>
      <c r="D1013" t="inlineStr">
        <is>
          <t>NORRBOTTENS LÄN</t>
        </is>
      </c>
      <c r="E1013" t="inlineStr">
        <is>
          <t>BODEN</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58331-2023</t>
        </is>
      </c>
      <c r="B1014" s="1" t="n">
        <v>45245</v>
      </c>
      <c r="C1014" s="1" t="n">
        <v>45832</v>
      </c>
      <c r="D1014" t="inlineStr">
        <is>
          <t>NORRBOTTENS LÄN</t>
        </is>
      </c>
      <c r="E1014" t="inlineStr">
        <is>
          <t>BODEN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57579-2023</t>
        </is>
      </c>
      <c r="B1015" s="1" t="n">
        <v>45246</v>
      </c>
      <c r="C1015" s="1" t="n">
        <v>45832</v>
      </c>
      <c r="D1015" t="inlineStr">
        <is>
          <t>NORRBOTTENS LÄN</t>
        </is>
      </c>
      <c r="E1015" t="inlineStr">
        <is>
          <t>BODEN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57563-2023</t>
        </is>
      </c>
      <c r="B1016" s="1" t="n">
        <v>45246</v>
      </c>
      <c r="C1016" s="1" t="n">
        <v>45832</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57968-2023</t>
        </is>
      </c>
      <c r="B1017" s="1" t="n">
        <v>45247</v>
      </c>
      <c r="C1017" s="1" t="n">
        <v>45832</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58044-2023</t>
        </is>
      </c>
      <c r="B1018" s="1" t="n">
        <v>45247</v>
      </c>
      <c r="C1018" s="1" t="n">
        <v>45832</v>
      </c>
      <c r="D1018" t="inlineStr">
        <is>
          <t>NORRBOTTENS LÄN</t>
        </is>
      </c>
      <c r="E1018" t="inlineStr">
        <is>
          <t>BODEN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58099-2023</t>
        </is>
      </c>
      <c r="B1019" s="1" t="n">
        <v>45248</v>
      </c>
      <c r="C1019" s="1" t="n">
        <v>45832</v>
      </c>
      <c r="D1019" t="inlineStr">
        <is>
          <t>NORRBOTTENS LÄN</t>
        </is>
      </c>
      <c r="E1019" t="inlineStr">
        <is>
          <t>BODEN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58843-2023</t>
        </is>
      </c>
      <c r="B1020" s="1" t="n">
        <v>45252</v>
      </c>
      <c r="C1020" s="1" t="n">
        <v>45832</v>
      </c>
      <c r="D1020" t="inlineStr">
        <is>
          <t>NORRBOTTENS LÄN</t>
        </is>
      </c>
      <c r="E1020" t="inlineStr">
        <is>
          <t>BODEN</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58844-2023</t>
        </is>
      </c>
      <c r="B1021" s="1" t="n">
        <v>45252</v>
      </c>
      <c r="C1021" s="1" t="n">
        <v>45832</v>
      </c>
      <c r="D1021" t="inlineStr">
        <is>
          <t>NORRBOTTENS LÄN</t>
        </is>
      </c>
      <c r="E1021" t="inlineStr">
        <is>
          <t>BODEN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58848-2023</t>
        </is>
      </c>
      <c r="B1022" s="1" t="n">
        <v>45252</v>
      </c>
      <c r="C1022" s="1" t="n">
        <v>45832</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59247-2023</t>
        </is>
      </c>
      <c r="B1023" s="1" t="n">
        <v>45252</v>
      </c>
      <c r="C1023" s="1" t="n">
        <v>45832</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59365-2023</t>
        </is>
      </c>
      <c r="B1024" s="1" t="n">
        <v>45253</v>
      </c>
      <c r="C1024" s="1" t="n">
        <v>45832</v>
      </c>
      <c r="D1024" t="inlineStr">
        <is>
          <t>NORRBOTTENS LÄN</t>
        </is>
      </c>
      <c r="E1024" t="inlineStr">
        <is>
          <t>BODEN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59532-2023</t>
        </is>
      </c>
      <c r="B1025" s="1" t="n">
        <v>45254</v>
      </c>
      <c r="C1025" s="1" t="n">
        <v>45832</v>
      </c>
      <c r="D1025" t="inlineStr">
        <is>
          <t>NORRBOTTENS LÄN</t>
        </is>
      </c>
      <c r="E1025" t="inlineStr">
        <is>
          <t>BODEN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59584-2023</t>
        </is>
      </c>
      <c r="B1026" s="1" t="n">
        <v>45254</v>
      </c>
      <c r="C1026" s="1" t="n">
        <v>45832</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59588-2023</t>
        </is>
      </c>
      <c r="B1027" s="1" t="n">
        <v>45254</v>
      </c>
      <c r="C1027" s="1" t="n">
        <v>45832</v>
      </c>
      <c r="D1027" t="inlineStr">
        <is>
          <t>NORRBOTTENS LÄN</t>
        </is>
      </c>
      <c r="E1027" t="inlineStr">
        <is>
          <t>BODEN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59893-2023</t>
        </is>
      </c>
      <c r="B1028" s="1" t="n">
        <v>45254</v>
      </c>
      <c r="C1028" s="1" t="n">
        <v>45832</v>
      </c>
      <c r="D1028" t="inlineStr">
        <is>
          <t>NORRBOTTENS LÄN</t>
        </is>
      </c>
      <c r="E1028" t="inlineStr">
        <is>
          <t>BODEN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59890-2023</t>
        </is>
      </c>
      <c r="B1029" s="1" t="n">
        <v>45254</v>
      </c>
      <c r="C1029" s="1" t="n">
        <v>45832</v>
      </c>
      <c r="D1029" t="inlineStr">
        <is>
          <t>NORRBOTTENS LÄN</t>
        </is>
      </c>
      <c r="E1029" t="inlineStr">
        <is>
          <t>BODEN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59688-2023</t>
        </is>
      </c>
      <c r="B1030" s="1" t="n">
        <v>45256</v>
      </c>
      <c r="C1030" s="1" t="n">
        <v>45832</v>
      </c>
      <c r="D1030" t="inlineStr">
        <is>
          <t>NORRBOTTENS LÄN</t>
        </is>
      </c>
      <c r="E1030" t="inlineStr">
        <is>
          <t>BODEN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59880-2023</t>
        </is>
      </c>
      <c r="B1031" s="1" t="n">
        <v>45257</v>
      </c>
      <c r="C1031" s="1" t="n">
        <v>45832</v>
      </c>
      <c r="D1031" t="inlineStr">
        <is>
          <t>NORRBOTTENS LÄN</t>
        </is>
      </c>
      <c r="E1031" t="inlineStr">
        <is>
          <t>BODEN</t>
        </is>
      </c>
      <c r="F1031" t="inlineStr">
        <is>
          <t>Naturvårdsverket</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59877-2023</t>
        </is>
      </c>
      <c r="B1032" s="1" t="n">
        <v>45257</v>
      </c>
      <c r="C1032" s="1" t="n">
        <v>45832</v>
      </c>
      <c r="D1032" t="inlineStr">
        <is>
          <t>NORRBOTTENS LÄN</t>
        </is>
      </c>
      <c r="E1032" t="inlineStr">
        <is>
          <t>BODEN</t>
        </is>
      </c>
      <c r="F1032" t="inlineStr">
        <is>
          <t>Naturvårdsverket</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59983-2023</t>
        </is>
      </c>
      <c r="B1033" s="1" t="n">
        <v>45257</v>
      </c>
      <c r="C1033" s="1" t="n">
        <v>45832</v>
      </c>
      <c r="D1033" t="inlineStr">
        <is>
          <t>NORRBOTTENS LÄN</t>
        </is>
      </c>
      <c r="E1033" t="inlineStr">
        <is>
          <t>BODEN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59987-2023</t>
        </is>
      </c>
      <c r="B1034" s="1" t="n">
        <v>45257</v>
      </c>
      <c r="C1034" s="1" t="n">
        <v>45832</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59984-2023</t>
        </is>
      </c>
      <c r="B1035" s="1" t="n">
        <v>45257</v>
      </c>
      <c r="C1035" s="1" t="n">
        <v>45832</v>
      </c>
      <c r="D1035" t="inlineStr">
        <is>
          <t>NORRBOTTENS LÄN</t>
        </is>
      </c>
      <c r="E1035" t="inlineStr">
        <is>
          <t>BODEN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59988-2023</t>
        </is>
      </c>
      <c r="B1036" s="1" t="n">
        <v>45257</v>
      </c>
      <c r="C1036" s="1" t="n">
        <v>45832</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60578-2023</t>
        </is>
      </c>
      <c r="B1037" s="1" t="n">
        <v>45260</v>
      </c>
      <c r="C1037" s="1" t="n">
        <v>45832</v>
      </c>
      <c r="D1037" t="inlineStr">
        <is>
          <t>NORRBOTTENS LÄN</t>
        </is>
      </c>
      <c r="E1037" t="inlineStr">
        <is>
          <t>BODEN</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60567-2023</t>
        </is>
      </c>
      <c r="B1038" s="1" t="n">
        <v>45259</v>
      </c>
      <c r="C1038" s="1" t="n">
        <v>45832</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61154-2023</t>
        </is>
      </c>
      <c r="B1039" s="1" t="n">
        <v>45260</v>
      </c>
      <c r="C1039" s="1" t="n">
        <v>45832</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61128-2023</t>
        </is>
      </c>
      <c r="B1040" s="1" t="n">
        <v>45260</v>
      </c>
      <c r="C1040" s="1" t="n">
        <v>45832</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61156-2023</t>
        </is>
      </c>
      <c r="B1041" s="1" t="n">
        <v>45260</v>
      </c>
      <c r="C1041" s="1" t="n">
        <v>45832</v>
      </c>
      <c r="D1041" t="inlineStr">
        <is>
          <t>NORRBOTTENS LÄN</t>
        </is>
      </c>
      <c r="E1041" t="inlineStr">
        <is>
          <t>BODEN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61155-2023</t>
        </is>
      </c>
      <c r="B1042" s="1" t="n">
        <v>45260</v>
      </c>
      <c r="C1042" s="1" t="n">
        <v>45832</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61241-2023</t>
        </is>
      </c>
      <c r="B1043" s="1" t="n">
        <v>45260</v>
      </c>
      <c r="C1043" s="1" t="n">
        <v>45832</v>
      </c>
      <c r="D1043" t="inlineStr">
        <is>
          <t>NORRBOTTENS LÄN</t>
        </is>
      </c>
      <c r="E1043" t="inlineStr">
        <is>
          <t>BODEN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61141-2023</t>
        </is>
      </c>
      <c r="B1044" s="1" t="n">
        <v>45260</v>
      </c>
      <c r="C1044" s="1" t="n">
        <v>45832</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61185-2023</t>
        </is>
      </c>
      <c r="B1045" s="1" t="n">
        <v>45264</v>
      </c>
      <c r="C1045" s="1" t="n">
        <v>45832</v>
      </c>
      <c r="D1045" t="inlineStr">
        <is>
          <t>NORRBOTTENS LÄN</t>
        </is>
      </c>
      <c r="E1045" t="inlineStr">
        <is>
          <t>BODEN</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61260-2023</t>
        </is>
      </c>
      <c r="B1046" s="1" t="n">
        <v>45264</v>
      </c>
      <c r="C1046" s="1" t="n">
        <v>45832</v>
      </c>
      <c r="D1046" t="inlineStr">
        <is>
          <t>NORRBOTTENS LÄN</t>
        </is>
      </c>
      <c r="E1046" t="inlineStr">
        <is>
          <t>BODEN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61184-2023</t>
        </is>
      </c>
      <c r="B1047" s="1" t="n">
        <v>45264</v>
      </c>
      <c r="C1047" s="1" t="n">
        <v>45832</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61488-2023</t>
        </is>
      </c>
      <c r="B1048" s="1" t="n">
        <v>45264</v>
      </c>
      <c r="C1048" s="1" t="n">
        <v>45832</v>
      </c>
      <c r="D1048" t="inlineStr">
        <is>
          <t>NORRBOTTENS LÄN</t>
        </is>
      </c>
      <c r="E1048" t="inlineStr">
        <is>
          <t>BODEN</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61487-2023</t>
        </is>
      </c>
      <c r="B1049" s="1" t="n">
        <v>45264</v>
      </c>
      <c r="C1049" s="1" t="n">
        <v>45832</v>
      </c>
      <c r="D1049" t="inlineStr">
        <is>
          <t>NORRBOTTENS LÄN</t>
        </is>
      </c>
      <c r="E1049" t="inlineStr">
        <is>
          <t>BODEN</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61501-2023</t>
        </is>
      </c>
      <c r="B1050" s="1" t="n">
        <v>45264</v>
      </c>
      <c r="C1050" s="1" t="n">
        <v>45832</v>
      </c>
      <c r="D1050" t="inlineStr">
        <is>
          <t>NORRBOTTENS LÄN</t>
        </is>
      </c>
      <c r="E1050" t="inlineStr">
        <is>
          <t>BODEN</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61509-2023</t>
        </is>
      </c>
      <c r="B1051" s="1" t="n">
        <v>45265</v>
      </c>
      <c r="C1051" s="1" t="n">
        <v>45832</v>
      </c>
      <c r="D1051" t="inlineStr">
        <is>
          <t>NORRBOTTENS LÄN</t>
        </is>
      </c>
      <c r="E1051" t="inlineStr">
        <is>
          <t>BODEN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61770-2023</t>
        </is>
      </c>
      <c r="B1052" s="1" t="n">
        <v>45265</v>
      </c>
      <c r="C1052" s="1" t="n">
        <v>45832</v>
      </c>
      <c r="D1052" t="inlineStr">
        <is>
          <t>NORRBOTTENS LÄN</t>
        </is>
      </c>
      <c r="E1052" t="inlineStr">
        <is>
          <t>BODEN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61775-2023</t>
        </is>
      </c>
      <c r="B1053" s="1" t="n">
        <v>45265</v>
      </c>
      <c r="C1053" s="1" t="n">
        <v>45832</v>
      </c>
      <c r="D1053" t="inlineStr">
        <is>
          <t>NORRBOTTENS LÄN</t>
        </is>
      </c>
      <c r="E1053" t="inlineStr">
        <is>
          <t>BODEN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62396-2023</t>
        </is>
      </c>
      <c r="B1054" s="1" t="n">
        <v>45268</v>
      </c>
      <c r="C1054" s="1" t="n">
        <v>45832</v>
      </c>
      <c r="D1054" t="inlineStr">
        <is>
          <t>NORRBOTTENS LÄN</t>
        </is>
      </c>
      <c r="E1054" t="inlineStr">
        <is>
          <t>BODEN</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62894-2023</t>
        </is>
      </c>
      <c r="B1055" s="1" t="n">
        <v>45272</v>
      </c>
      <c r="C1055" s="1" t="n">
        <v>45832</v>
      </c>
      <c r="D1055" t="inlineStr">
        <is>
          <t>NORRBOTTENS LÄN</t>
        </is>
      </c>
      <c r="E1055" t="inlineStr">
        <is>
          <t>BODEN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63705-2023</t>
        </is>
      </c>
      <c r="B1056" s="1" t="n">
        <v>45275</v>
      </c>
      <c r="C1056" s="1" t="n">
        <v>45832</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63824-2023</t>
        </is>
      </c>
      <c r="B1057" s="1" t="n">
        <v>45278</v>
      </c>
      <c r="C1057" s="1" t="n">
        <v>45832</v>
      </c>
      <c r="D1057" t="inlineStr">
        <is>
          <t>NORRBOTTENS LÄN</t>
        </is>
      </c>
      <c r="E1057" t="inlineStr">
        <is>
          <t>BODEN</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64649-2023</t>
        </is>
      </c>
      <c r="B1058" s="1" t="n">
        <v>45281</v>
      </c>
      <c r="C1058" s="1" t="n">
        <v>45832</v>
      </c>
      <c r="D1058" t="inlineStr">
        <is>
          <t>NORRBOTTENS LÄN</t>
        </is>
      </c>
      <c r="E1058" t="inlineStr">
        <is>
          <t>BODEN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64653-2023</t>
        </is>
      </c>
      <c r="B1059" s="1" t="n">
        <v>45281</v>
      </c>
      <c r="C1059" s="1" t="n">
        <v>45832</v>
      </c>
      <c r="D1059" t="inlineStr">
        <is>
          <t>NORRBOTTENS LÄN</t>
        </is>
      </c>
      <c r="E1059" t="inlineStr">
        <is>
          <t>BODEN</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64893-2023</t>
        </is>
      </c>
      <c r="B1060" s="1" t="n">
        <v>45282</v>
      </c>
      <c r="C1060" s="1" t="n">
        <v>45832</v>
      </c>
      <c r="D1060" t="inlineStr">
        <is>
          <t>NORRBOTTENS LÄN</t>
        </is>
      </c>
      <c r="E1060" t="inlineStr">
        <is>
          <t>BODEN</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64975-2023</t>
        </is>
      </c>
      <c r="B1061" s="1" t="n">
        <v>45285</v>
      </c>
      <c r="C1061" s="1" t="n">
        <v>45832</v>
      </c>
      <c r="D1061" t="inlineStr">
        <is>
          <t>NORRBOTTENS LÄN</t>
        </is>
      </c>
      <c r="E1061" t="inlineStr">
        <is>
          <t>BODEN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65241-2023</t>
        </is>
      </c>
      <c r="B1062" s="1" t="n">
        <v>45289</v>
      </c>
      <c r="C1062" s="1" t="n">
        <v>45832</v>
      </c>
      <c r="D1062" t="inlineStr">
        <is>
          <t>NORRBOTTENS LÄN</t>
        </is>
      </c>
      <c r="E1062" t="inlineStr">
        <is>
          <t>BODEN</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65234-2023</t>
        </is>
      </c>
      <c r="B1063" s="1" t="n">
        <v>45289</v>
      </c>
      <c r="C1063" s="1" t="n">
        <v>45832</v>
      </c>
      <c r="D1063" t="inlineStr">
        <is>
          <t>NORRBOTTENS LÄN</t>
        </is>
      </c>
      <c r="E1063" t="inlineStr">
        <is>
          <t>BODEN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581-2024</t>
        </is>
      </c>
      <c r="B1064" s="1" t="n">
        <v>45299</v>
      </c>
      <c r="C1064" s="1" t="n">
        <v>45832</v>
      </c>
      <c r="D1064" t="inlineStr">
        <is>
          <t>NORRBOTTENS LÄN</t>
        </is>
      </c>
      <c r="E1064" t="inlineStr">
        <is>
          <t>BODEN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849-2024</t>
        </is>
      </c>
      <c r="B1065" s="1" t="n">
        <v>45300</v>
      </c>
      <c r="C1065" s="1" t="n">
        <v>45832</v>
      </c>
      <c r="D1065" t="inlineStr">
        <is>
          <t>NORRBOTTENS LÄN</t>
        </is>
      </c>
      <c r="E1065" t="inlineStr">
        <is>
          <t>BODEN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1049-2024</t>
        </is>
      </c>
      <c r="B1066" s="1" t="n">
        <v>45301</v>
      </c>
      <c r="C1066" s="1" t="n">
        <v>45832</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1081-2024</t>
        </is>
      </c>
      <c r="B1067" s="1" t="n">
        <v>45301</v>
      </c>
      <c r="C1067" s="1" t="n">
        <v>45832</v>
      </c>
      <c r="D1067" t="inlineStr">
        <is>
          <t>NORRBOTTENS LÄN</t>
        </is>
      </c>
      <c r="E1067" t="inlineStr">
        <is>
          <t>BODEN</t>
        </is>
      </c>
      <c r="F1067" t="inlineStr">
        <is>
          <t>Övriga statliga verk och myndigheter</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1174-2024</t>
        </is>
      </c>
      <c r="B1068" s="1" t="n">
        <v>45302</v>
      </c>
      <c r="C1068" s="1" t="n">
        <v>45832</v>
      </c>
      <c r="D1068" t="inlineStr">
        <is>
          <t>NORRBOTTENS LÄN</t>
        </is>
      </c>
      <c r="E1068" t="inlineStr">
        <is>
          <t>BODEN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2069-2024</t>
        </is>
      </c>
      <c r="B1069" s="1" t="n">
        <v>45309</v>
      </c>
      <c r="C1069" s="1" t="n">
        <v>45832</v>
      </c>
      <c r="D1069" t="inlineStr">
        <is>
          <t>NORRBOTTENS LÄN</t>
        </is>
      </c>
      <c r="E1069" t="inlineStr">
        <is>
          <t>BODEN</t>
        </is>
      </c>
      <c r="F1069" t="inlineStr">
        <is>
          <t>Naturvårdsverket</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2426-2024</t>
        </is>
      </c>
      <c r="B1070" s="1" t="n">
        <v>45310</v>
      </c>
      <c r="C1070" s="1" t="n">
        <v>45832</v>
      </c>
      <c r="D1070" t="inlineStr">
        <is>
          <t>NORRBOTTENS LÄN</t>
        </is>
      </c>
      <c r="E1070" t="inlineStr">
        <is>
          <t>BODEN</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2583-2024</t>
        </is>
      </c>
      <c r="B1071" s="1" t="n">
        <v>45313</v>
      </c>
      <c r="C1071" s="1" t="n">
        <v>45832</v>
      </c>
      <c r="D1071" t="inlineStr">
        <is>
          <t>NORRBOTTENS LÄN</t>
        </is>
      </c>
      <c r="E1071" t="inlineStr">
        <is>
          <t>BODEN</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2682-2024</t>
        </is>
      </c>
      <c r="B1072" s="1" t="n">
        <v>45314</v>
      </c>
      <c r="C1072" s="1" t="n">
        <v>45832</v>
      </c>
      <c r="D1072" t="inlineStr">
        <is>
          <t>NORRBOTTENS LÄN</t>
        </is>
      </c>
      <c r="E1072" t="inlineStr">
        <is>
          <t>BODEN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3019-2024</t>
        </is>
      </c>
      <c r="B1073" s="1" t="n">
        <v>45315</v>
      </c>
      <c r="C1073" s="1" t="n">
        <v>45832</v>
      </c>
      <c r="D1073" t="inlineStr">
        <is>
          <t>NORRBOTTENS LÄN</t>
        </is>
      </c>
      <c r="E1073" t="inlineStr">
        <is>
          <t>BODEN</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3090-2024</t>
        </is>
      </c>
      <c r="B1074" s="1" t="n">
        <v>45316</v>
      </c>
      <c r="C1074" s="1" t="n">
        <v>45832</v>
      </c>
      <c r="D1074" t="inlineStr">
        <is>
          <t>NORRBOTTENS LÄN</t>
        </is>
      </c>
      <c r="E1074" t="inlineStr">
        <is>
          <t>BODEN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3146-2024</t>
        </is>
      </c>
      <c r="B1075" s="1" t="n">
        <v>45316</v>
      </c>
      <c r="C1075" s="1" t="n">
        <v>45832</v>
      </c>
      <c r="D1075" t="inlineStr">
        <is>
          <t>NORRBOTTENS LÄN</t>
        </is>
      </c>
      <c r="E1075" t="inlineStr">
        <is>
          <t>BODEN</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4053-2024</t>
        </is>
      </c>
      <c r="B1076" s="1" t="n">
        <v>45323</v>
      </c>
      <c r="C1076" s="1" t="n">
        <v>45832</v>
      </c>
      <c r="D1076" t="inlineStr">
        <is>
          <t>NORRBOTTENS LÄN</t>
        </is>
      </c>
      <c r="E1076" t="inlineStr">
        <is>
          <t>BODEN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4055-2024</t>
        </is>
      </c>
      <c r="B1077" s="1" t="n">
        <v>45323</v>
      </c>
      <c r="C1077" s="1" t="n">
        <v>45832</v>
      </c>
      <c r="D1077" t="inlineStr">
        <is>
          <t>NORRBOTTENS LÄN</t>
        </is>
      </c>
      <c r="E1077" t="inlineStr">
        <is>
          <t>BODEN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5099-2024</t>
        </is>
      </c>
      <c r="B1078" s="1" t="n">
        <v>45330</v>
      </c>
      <c r="C1078" s="1" t="n">
        <v>45832</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5193-2024</t>
        </is>
      </c>
      <c r="B1079" s="1" t="n">
        <v>45330</v>
      </c>
      <c r="C1079" s="1" t="n">
        <v>45832</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6084-2024</t>
        </is>
      </c>
      <c r="B1080" s="1" t="n">
        <v>45336</v>
      </c>
      <c r="C1080" s="1" t="n">
        <v>45832</v>
      </c>
      <c r="D1080" t="inlineStr">
        <is>
          <t>NORRBOTTENS LÄN</t>
        </is>
      </c>
      <c r="E1080" t="inlineStr">
        <is>
          <t>BODEN</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6396-2024</t>
        </is>
      </c>
      <c r="B1081" s="1" t="n">
        <v>45338</v>
      </c>
      <c r="C1081" s="1" t="n">
        <v>45832</v>
      </c>
      <c r="D1081" t="inlineStr">
        <is>
          <t>NORRBOTTENS LÄN</t>
        </is>
      </c>
      <c r="E1081" t="inlineStr">
        <is>
          <t>BODEN</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6382-2024</t>
        </is>
      </c>
      <c r="B1082" s="1" t="n">
        <v>45338</v>
      </c>
      <c r="C1082" s="1" t="n">
        <v>45832</v>
      </c>
      <c r="D1082" t="inlineStr">
        <is>
          <t>NORRBOTTENS LÄN</t>
        </is>
      </c>
      <c r="E1082" t="inlineStr">
        <is>
          <t>BODEN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6517-2024</t>
        </is>
      </c>
      <c r="B1083" s="1" t="n">
        <v>45341</v>
      </c>
      <c r="C1083" s="1" t="n">
        <v>45832</v>
      </c>
      <c r="D1083" t="inlineStr">
        <is>
          <t>NORRBOTTENS LÄN</t>
        </is>
      </c>
      <c r="E1083" t="inlineStr">
        <is>
          <t>BODEN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6606-2024</t>
        </is>
      </c>
      <c r="B1084" s="1" t="n">
        <v>45341</v>
      </c>
      <c r="C1084" s="1" t="n">
        <v>45832</v>
      </c>
      <c r="D1084" t="inlineStr">
        <is>
          <t>NORRBOTTENS LÄN</t>
        </is>
      </c>
      <c r="E1084" t="inlineStr">
        <is>
          <t>BODEN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6638-2024</t>
        </is>
      </c>
      <c r="B1085" s="1" t="n">
        <v>45341</v>
      </c>
      <c r="C1085" s="1" t="n">
        <v>45832</v>
      </c>
      <c r="D1085" t="inlineStr">
        <is>
          <t>NORRBOTTENS LÄN</t>
        </is>
      </c>
      <c r="E1085" t="inlineStr">
        <is>
          <t>BODEN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7442-2024</t>
        </is>
      </c>
      <c r="B1086" s="1" t="n">
        <v>45345</v>
      </c>
      <c r="C1086" s="1" t="n">
        <v>45832</v>
      </c>
      <c r="D1086" t="inlineStr">
        <is>
          <t>NORRBOTTENS LÄN</t>
        </is>
      </c>
      <c r="E1086" t="inlineStr">
        <is>
          <t>BODEN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8171-2024</t>
        </is>
      </c>
      <c r="B1087" s="1" t="n">
        <v>45349</v>
      </c>
      <c r="C1087" s="1" t="n">
        <v>45832</v>
      </c>
      <c r="D1087" t="inlineStr">
        <is>
          <t>NORRBOTTENS LÄN</t>
        </is>
      </c>
      <c r="E1087" t="inlineStr">
        <is>
          <t>BODEN</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8029-2024</t>
        </is>
      </c>
      <c r="B1088" s="1" t="n">
        <v>45350</v>
      </c>
      <c r="C1088" s="1" t="n">
        <v>45832</v>
      </c>
      <c r="D1088" t="inlineStr">
        <is>
          <t>NORRBOTTENS LÄN</t>
        </is>
      </c>
      <c r="E1088" t="inlineStr">
        <is>
          <t>BODEN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8028-2024</t>
        </is>
      </c>
      <c r="B1089" s="1" t="n">
        <v>45350</v>
      </c>
      <c r="C1089" s="1" t="n">
        <v>45832</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8232-2024</t>
        </is>
      </c>
      <c r="B1090" s="1" t="n">
        <v>45351</v>
      </c>
      <c r="C1090" s="1" t="n">
        <v>45832</v>
      </c>
      <c r="D1090" t="inlineStr">
        <is>
          <t>NORRBOTTENS LÄN</t>
        </is>
      </c>
      <c r="E1090" t="inlineStr">
        <is>
          <t>BODEN</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8870-2024</t>
        </is>
      </c>
      <c r="B1091" s="1" t="n">
        <v>45356</v>
      </c>
      <c r="C1091" s="1" t="n">
        <v>45832</v>
      </c>
      <c r="D1091" t="inlineStr">
        <is>
          <t>NORRBOTTENS LÄN</t>
        </is>
      </c>
      <c r="E1091" t="inlineStr">
        <is>
          <t>BODEN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8871-2024</t>
        </is>
      </c>
      <c r="B1092" s="1" t="n">
        <v>45356</v>
      </c>
      <c r="C1092" s="1" t="n">
        <v>45832</v>
      </c>
      <c r="D1092" t="inlineStr">
        <is>
          <t>NORRBOTTENS LÄN</t>
        </is>
      </c>
      <c r="E1092" t="inlineStr">
        <is>
          <t>BODEN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8782-2024</t>
        </is>
      </c>
      <c r="B1093" s="1" t="n">
        <v>45356</v>
      </c>
      <c r="C1093" s="1" t="n">
        <v>45832</v>
      </c>
      <c r="D1093" t="inlineStr">
        <is>
          <t>NORRBOTTENS LÄN</t>
        </is>
      </c>
      <c r="E1093" t="inlineStr">
        <is>
          <t>BODEN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8869-2024</t>
        </is>
      </c>
      <c r="B1094" s="1" t="n">
        <v>45357</v>
      </c>
      <c r="C1094" s="1" t="n">
        <v>45832</v>
      </c>
      <c r="D1094" t="inlineStr">
        <is>
          <t>NORRBOTTENS LÄN</t>
        </is>
      </c>
      <c r="E1094" t="inlineStr">
        <is>
          <t>BODEN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8873-2024</t>
        </is>
      </c>
      <c r="B1095" s="1" t="n">
        <v>45356</v>
      </c>
      <c r="C1095" s="1" t="n">
        <v>45832</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8868-2024</t>
        </is>
      </c>
      <c r="B1096" s="1" t="n">
        <v>45357</v>
      </c>
      <c r="C1096" s="1" t="n">
        <v>45832</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8872-2024</t>
        </is>
      </c>
      <c r="B1097" s="1" t="n">
        <v>45356</v>
      </c>
      <c r="C1097" s="1" t="n">
        <v>45832</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9318-2024</t>
        </is>
      </c>
      <c r="B1098" s="1" t="n">
        <v>45358</v>
      </c>
      <c r="C1098" s="1" t="n">
        <v>45832</v>
      </c>
      <c r="D1098" t="inlineStr">
        <is>
          <t>NORRBOTTENS LÄN</t>
        </is>
      </c>
      <c r="E1098" t="inlineStr">
        <is>
          <t>BODEN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9322-2024</t>
        </is>
      </c>
      <c r="B1099" s="1" t="n">
        <v>45358</v>
      </c>
      <c r="C1099" s="1" t="n">
        <v>45832</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9319-2024</t>
        </is>
      </c>
      <c r="B1100" s="1" t="n">
        <v>45358</v>
      </c>
      <c r="C1100" s="1" t="n">
        <v>45832</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9320-2024</t>
        </is>
      </c>
      <c r="B1101" s="1" t="n">
        <v>45358</v>
      </c>
      <c r="C1101" s="1" t="n">
        <v>45832</v>
      </c>
      <c r="D1101" t="inlineStr">
        <is>
          <t>NORRBOTTENS LÄN</t>
        </is>
      </c>
      <c r="E1101" t="inlineStr">
        <is>
          <t>BODEN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9321-2024</t>
        </is>
      </c>
      <c r="B1102" s="1" t="n">
        <v>45358</v>
      </c>
      <c r="C1102" s="1" t="n">
        <v>45832</v>
      </c>
      <c r="D1102" t="inlineStr">
        <is>
          <t>NORRBOTTENS LÄN</t>
        </is>
      </c>
      <c r="E1102" t="inlineStr">
        <is>
          <t>BODEN</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10730-2024</t>
        </is>
      </c>
      <c r="B1103" s="1" t="n">
        <v>45369</v>
      </c>
      <c r="C1103" s="1" t="n">
        <v>45832</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10921-2024</t>
        </is>
      </c>
      <c r="B1104" s="1" t="n">
        <v>45370</v>
      </c>
      <c r="C1104" s="1" t="n">
        <v>45832</v>
      </c>
      <c r="D1104" t="inlineStr">
        <is>
          <t>NORRBOTTENS LÄN</t>
        </is>
      </c>
      <c r="E1104" t="inlineStr">
        <is>
          <t>BODEN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11534-2024</t>
        </is>
      </c>
      <c r="B1105" s="1" t="n">
        <v>45372</v>
      </c>
      <c r="C1105" s="1" t="n">
        <v>45832</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11554-2024</t>
        </is>
      </c>
      <c r="B1106" s="1" t="n">
        <v>45373</v>
      </c>
      <c r="C1106" s="1" t="n">
        <v>45832</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11769-2024</t>
        </is>
      </c>
      <c r="B1107" s="1" t="n">
        <v>45373</v>
      </c>
      <c r="C1107" s="1" t="n">
        <v>45832</v>
      </c>
      <c r="D1107" t="inlineStr">
        <is>
          <t>NORRBOTTENS LÄN</t>
        </is>
      </c>
      <c r="E1107" t="inlineStr">
        <is>
          <t>BODEN</t>
        </is>
      </c>
      <c r="F1107" t="inlineStr">
        <is>
          <t>SCA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11866-2024</t>
        </is>
      </c>
      <c r="B1108" s="1" t="n">
        <v>45373</v>
      </c>
      <c r="C1108" s="1" t="n">
        <v>45832</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11725-2024</t>
        </is>
      </c>
      <c r="B1109" s="1" t="n">
        <v>45373</v>
      </c>
      <c r="C1109" s="1" t="n">
        <v>45832</v>
      </c>
      <c r="D1109" t="inlineStr">
        <is>
          <t>NORRBOTTENS LÄN</t>
        </is>
      </c>
      <c r="E1109" t="inlineStr">
        <is>
          <t>BODEN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11858-2024</t>
        </is>
      </c>
      <c r="B1110" s="1" t="n">
        <v>45376</v>
      </c>
      <c r="C1110" s="1" t="n">
        <v>45832</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11965-2024</t>
        </is>
      </c>
      <c r="B1111" s="1" t="n">
        <v>45376</v>
      </c>
      <c r="C1111" s="1" t="n">
        <v>45832</v>
      </c>
      <c r="D1111" t="inlineStr">
        <is>
          <t>NORRBOTTENS LÄN</t>
        </is>
      </c>
      <c r="E1111" t="inlineStr">
        <is>
          <t>BODEN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12557-2024</t>
        </is>
      </c>
      <c r="B1112" s="1" t="n">
        <v>45379</v>
      </c>
      <c r="C1112" s="1" t="n">
        <v>45832</v>
      </c>
      <c r="D1112" t="inlineStr">
        <is>
          <t>NORRBOTTENS LÄN</t>
        </is>
      </c>
      <c r="E1112" t="inlineStr">
        <is>
          <t>BODEN</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12554-2024</t>
        </is>
      </c>
      <c r="B1113" s="1" t="n">
        <v>45379</v>
      </c>
      <c r="C1113" s="1" t="n">
        <v>45832</v>
      </c>
      <c r="D1113" t="inlineStr">
        <is>
          <t>NORRBOTTENS LÄN</t>
        </is>
      </c>
      <c r="E1113" t="inlineStr">
        <is>
          <t>BODEN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12558-2024</t>
        </is>
      </c>
      <c r="B1114" s="1" t="n">
        <v>45379</v>
      </c>
      <c r="C1114" s="1" t="n">
        <v>45832</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12562-2024</t>
        </is>
      </c>
      <c r="B1115" s="1" t="n">
        <v>45379</v>
      </c>
      <c r="C1115" s="1" t="n">
        <v>45832</v>
      </c>
      <c r="D1115" t="inlineStr">
        <is>
          <t>NORRBOTTENS LÄN</t>
        </is>
      </c>
      <c r="E1115" t="inlineStr">
        <is>
          <t>BODEN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13376-2024</t>
        </is>
      </c>
      <c r="B1116" s="1" t="n">
        <v>45387</v>
      </c>
      <c r="C1116" s="1" t="n">
        <v>45832</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13394-2024</t>
        </is>
      </c>
      <c r="B1117" s="1" t="n">
        <v>45387</v>
      </c>
      <c r="C1117" s="1" t="n">
        <v>45832</v>
      </c>
      <c r="D1117" t="inlineStr">
        <is>
          <t>NORRBOTTENS LÄN</t>
        </is>
      </c>
      <c r="E1117" t="inlineStr">
        <is>
          <t>BODEN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13925-2024</t>
        </is>
      </c>
      <c r="B1118" s="1" t="n">
        <v>45392</v>
      </c>
      <c r="C1118" s="1" t="n">
        <v>45832</v>
      </c>
      <c r="D1118" t="inlineStr">
        <is>
          <t>NORRBOTTENS LÄN</t>
        </is>
      </c>
      <c r="E1118" t="inlineStr">
        <is>
          <t>BODEN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13926-2024</t>
        </is>
      </c>
      <c r="B1119" s="1" t="n">
        <v>45392</v>
      </c>
      <c r="C1119" s="1" t="n">
        <v>45832</v>
      </c>
      <c r="D1119" t="inlineStr">
        <is>
          <t>NORRBOTTENS LÄN</t>
        </is>
      </c>
      <c r="E1119" t="inlineStr">
        <is>
          <t>BODEN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14802-2024</t>
        </is>
      </c>
      <c r="B1120" s="1" t="n">
        <v>45397</v>
      </c>
      <c r="C1120" s="1" t="n">
        <v>45832</v>
      </c>
      <c r="D1120" t="inlineStr">
        <is>
          <t>NORRBOTTENS LÄN</t>
        </is>
      </c>
      <c r="E1120" t="inlineStr">
        <is>
          <t>BODEN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14801-2024</t>
        </is>
      </c>
      <c r="B1121" s="1" t="n">
        <v>45397</v>
      </c>
      <c r="C1121" s="1" t="n">
        <v>45832</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15668-2024</t>
        </is>
      </c>
      <c r="B1122" s="1" t="n">
        <v>45401</v>
      </c>
      <c r="C1122" s="1" t="n">
        <v>45832</v>
      </c>
      <c r="D1122" t="inlineStr">
        <is>
          <t>NORRBOTTENS LÄN</t>
        </is>
      </c>
      <c r="E1122" t="inlineStr">
        <is>
          <t>BODEN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15586-2024</t>
        </is>
      </c>
      <c r="B1123" s="1" t="n">
        <v>45401</v>
      </c>
      <c r="C1123" s="1" t="n">
        <v>45832</v>
      </c>
      <c r="D1123" t="inlineStr">
        <is>
          <t>NORRBOTTENS LÄN</t>
        </is>
      </c>
      <c r="E1123" t="inlineStr">
        <is>
          <t>BODEN</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16222-2024</t>
        </is>
      </c>
      <c r="B1124" s="1" t="n">
        <v>45406</v>
      </c>
      <c r="C1124" s="1" t="n">
        <v>45832</v>
      </c>
      <c r="D1124" t="inlineStr">
        <is>
          <t>NORRBOTTENS LÄN</t>
        </is>
      </c>
      <c r="E1124" t="inlineStr">
        <is>
          <t>BODEN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16226-2024</t>
        </is>
      </c>
      <c r="B1125" s="1" t="n">
        <v>45407</v>
      </c>
      <c r="C1125" s="1" t="n">
        <v>45832</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16220-2024</t>
        </is>
      </c>
      <c r="B1126" s="1" t="n">
        <v>45407</v>
      </c>
      <c r="C1126" s="1" t="n">
        <v>45832</v>
      </c>
      <c r="D1126" t="inlineStr">
        <is>
          <t>NORRBOTTENS LÄN</t>
        </is>
      </c>
      <c r="E1126" t="inlineStr">
        <is>
          <t>BODEN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16215-2024</t>
        </is>
      </c>
      <c r="B1127" s="1" t="n">
        <v>45406</v>
      </c>
      <c r="C1127" s="1" t="n">
        <v>45832</v>
      </c>
      <c r="D1127" t="inlineStr">
        <is>
          <t>NORRBOTTENS LÄN</t>
        </is>
      </c>
      <c r="E1127" t="inlineStr">
        <is>
          <t>BODEN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16625-2024</t>
        </is>
      </c>
      <c r="B1128" s="1" t="n">
        <v>45408</v>
      </c>
      <c r="C1128" s="1" t="n">
        <v>45832</v>
      </c>
      <c r="D1128" t="inlineStr">
        <is>
          <t>NORRBOTTENS LÄN</t>
        </is>
      </c>
      <c r="E1128" t="inlineStr">
        <is>
          <t>BODEN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16700-2024</t>
        </is>
      </c>
      <c r="B1129" s="1" t="n">
        <v>45409</v>
      </c>
      <c r="C1129" s="1" t="n">
        <v>45832</v>
      </c>
      <c r="D1129" t="inlineStr">
        <is>
          <t>NORRBOTTENS LÄN</t>
        </is>
      </c>
      <c r="E1129" t="inlineStr">
        <is>
          <t>BODEN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16699-2024</t>
        </is>
      </c>
      <c r="B1130" s="1" t="n">
        <v>45409</v>
      </c>
      <c r="C1130" s="1" t="n">
        <v>45832</v>
      </c>
      <c r="D1130" t="inlineStr">
        <is>
          <t>NORRBOTTENS LÄN</t>
        </is>
      </c>
      <c r="E1130" t="inlineStr">
        <is>
          <t>BODEN</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16965-2024</t>
        </is>
      </c>
      <c r="B1131" s="1" t="n">
        <v>45411</v>
      </c>
      <c r="C1131" s="1" t="n">
        <v>45832</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16972-2024</t>
        </is>
      </c>
      <c r="B1132" s="1" t="n">
        <v>45411</v>
      </c>
      <c r="C1132" s="1" t="n">
        <v>45832</v>
      </c>
      <c r="D1132" t="inlineStr">
        <is>
          <t>NORRBOTTENS LÄN</t>
        </is>
      </c>
      <c r="E1132" t="inlineStr">
        <is>
          <t>BODEN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16988-2024</t>
        </is>
      </c>
      <c r="B1133" s="1" t="n">
        <v>45412</v>
      </c>
      <c r="C1133" s="1" t="n">
        <v>45832</v>
      </c>
      <c r="D1133" t="inlineStr">
        <is>
          <t>NORRBOTTENS LÄN</t>
        </is>
      </c>
      <c r="E1133" t="inlineStr">
        <is>
          <t>BODEN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17412-2024</t>
        </is>
      </c>
      <c r="B1134" s="1" t="n">
        <v>45414</v>
      </c>
      <c r="C1134" s="1" t="n">
        <v>45832</v>
      </c>
      <c r="D1134" t="inlineStr">
        <is>
          <t>NORRBOTTENS LÄN</t>
        </is>
      </c>
      <c r="E1134" t="inlineStr">
        <is>
          <t>BODEN</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17413-2024</t>
        </is>
      </c>
      <c r="B1135" s="1" t="n">
        <v>45415</v>
      </c>
      <c r="C1135" s="1" t="n">
        <v>45832</v>
      </c>
      <c r="D1135" t="inlineStr">
        <is>
          <t>NORRBOTTENS LÄN</t>
        </is>
      </c>
      <c r="E1135" t="inlineStr">
        <is>
          <t>BODEN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17962-2024</t>
        </is>
      </c>
      <c r="B1136" s="1" t="n">
        <v>45419</v>
      </c>
      <c r="C1136" s="1" t="n">
        <v>45832</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17961-2024</t>
        </is>
      </c>
      <c r="B1137" s="1" t="n">
        <v>45419</v>
      </c>
      <c r="C1137" s="1" t="n">
        <v>45832</v>
      </c>
      <c r="D1137" t="inlineStr">
        <is>
          <t>NORRBOTTENS LÄN</t>
        </is>
      </c>
      <c r="E1137" t="inlineStr">
        <is>
          <t>BODEN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18566-2024</t>
        </is>
      </c>
      <c r="B1138" s="1" t="n">
        <v>45425</v>
      </c>
      <c r="C1138" s="1" t="n">
        <v>45832</v>
      </c>
      <c r="D1138" t="inlineStr">
        <is>
          <t>NORRBOTTENS LÄN</t>
        </is>
      </c>
      <c r="E1138" t="inlineStr">
        <is>
          <t>BODEN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18569-2024</t>
        </is>
      </c>
      <c r="B1139" s="1" t="n">
        <v>45425</v>
      </c>
      <c r="C1139" s="1" t="n">
        <v>45832</v>
      </c>
      <c r="D1139" t="inlineStr">
        <is>
          <t>NORRBOTTENS LÄN</t>
        </is>
      </c>
      <c r="E1139" t="inlineStr">
        <is>
          <t>BODEN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18870-2024</t>
        </is>
      </c>
      <c r="B1140" s="1" t="n">
        <v>45426</v>
      </c>
      <c r="C1140" s="1" t="n">
        <v>45832</v>
      </c>
      <c r="D1140" t="inlineStr">
        <is>
          <t>NORRBOTTENS LÄN</t>
        </is>
      </c>
      <c r="E1140" t="inlineStr">
        <is>
          <t>BODEN</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18871-2024</t>
        </is>
      </c>
      <c r="B1141" s="1" t="n">
        <v>45426</v>
      </c>
      <c r="C1141" s="1" t="n">
        <v>45832</v>
      </c>
      <c r="D1141" t="inlineStr">
        <is>
          <t>NORRBOTTENS LÄN</t>
        </is>
      </c>
      <c r="E1141" t="inlineStr">
        <is>
          <t>BODEN</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19060-2024</t>
        </is>
      </c>
      <c r="B1142" s="1" t="n">
        <v>45428</v>
      </c>
      <c r="C1142" s="1" t="n">
        <v>45832</v>
      </c>
      <c r="D1142" t="inlineStr">
        <is>
          <t>NORRBOTTENS LÄN</t>
        </is>
      </c>
      <c r="E1142" t="inlineStr">
        <is>
          <t>BODEN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19068-2024</t>
        </is>
      </c>
      <c r="B1143" s="1" t="n">
        <v>45428</v>
      </c>
      <c r="C1143" s="1" t="n">
        <v>45832</v>
      </c>
      <c r="D1143" t="inlineStr">
        <is>
          <t>NORRBOTTENS LÄN</t>
        </is>
      </c>
      <c r="E1143" t="inlineStr">
        <is>
          <t>BODEN</t>
        </is>
      </c>
      <c r="G1143" t="n">
        <v>22.1</v>
      </c>
      <c r="H1143" t="n">
        <v>0</v>
      </c>
      <c r="I1143" t="n">
        <v>0</v>
      </c>
      <c r="J1143" t="n">
        <v>0</v>
      </c>
      <c r="K1143" t="n">
        <v>0</v>
      </c>
      <c r="L1143" t="n">
        <v>0</v>
      </c>
      <c r="M1143" t="n">
        <v>0</v>
      </c>
      <c r="N1143" t="n">
        <v>0</v>
      </c>
      <c r="O1143" t="n">
        <v>0</v>
      </c>
      <c r="P1143" t="n">
        <v>0</v>
      </c>
      <c r="Q1143" t="n">
        <v>0</v>
      </c>
      <c r="R1143" s="2" t="inlineStr"/>
    </row>
    <row r="1144" ht="15" customHeight="1">
      <c r="A1144" t="inlineStr">
        <is>
          <t>A 19069-2024</t>
        </is>
      </c>
      <c r="B1144" s="1" t="n">
        <v>45428</v>
      </c>
      <c r="C1144" s="1" t="n">
        <v>45832</v>
      </c>
      <c r="D1144" t="inlineStr">
        <is>
          <t>NORRBOTTENS LÄN</t>
        </is>
      </c>
      <c r="E1144" t="inlineStr">
        <is>
          <t>BODEN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19162-2024</t>
        </is>
      </c>
      <c r="B1145" s="1" t="n">
        <v>45428</v>
      </c>
      <c r="C1145" s="1" t="n">
        <v>45832</v>
      </c>
      <c r="D1145" t="inlineStr">
        <is>
          <t>NORRBOTTENS LÄN</t>
        </is>
      </c>
      <c r="E1145" t="inlineStr">
        <is>
          <t>BODEN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19505-2024</t>
        </is>
      </c>
      <c r="B1146" s="1" t="n">
        <v>45429</v>
      </c>
      <c r="C1146" s="1" t="n">
        <v>45832</v>
      </c>
      <c r="D1146" t="inlineStr">
        <is>
          <t>NORRBOTTENS LÄN</t>
        </is>
      </c>
      <c r="E1146" t="inlineStr">
        <is>
          <t>BODEN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19528-2024</t>
        </is>
      </c>
      <c r="B1147" s="1" t="n">
        <v>45429</v>
      </c>
      <c r="C1147" s="1" t="n">
        <v>45832</v>
      </c>
      <c r="D1147" t="inlineStr">
        <is>
          <t>NORRBOTTENS LÄN</t>
        </is>
      </c>
      <c r="E1147" t="inlineStr">
        <is>
          <t>BODEN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19533-2024</t>
        </is>
      </c>
      <c r="B1148" s="1" t="n">
        <v>45429</v>
      </c>
      <c r="C1148" s="1" t="n">
        <v>45832</v>
      </c>
      <c r="D1148" t="inlineStr">
        <is>
          <t>NORRBOTTENS LÄN</t>
        </is>
      </c>
      <c r="E1148" t="inlineStr">
        <is>
          <t>BODEN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19565-2024</t>
        </is>
      </c>
      <c r="B1149" s="1" t="n">
        <v>45429</v>
      </c>
      <c r="C1149" s="1" t="n">
        <v>45832</v>
      </c>
      <c r="D1149" t="inlineStr">
        <is>
          <t>NORRBOTTENS LÄN</t>
        </is>
      </c>
      <c r="E1149" t="inlineStr">
        <is>
          <t>BODEN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21335-2024</t>
        </is>
      </c>
      <c r="B1150" s="1" t="n">
        <v>45429</v>
      </c>
      <c r="C1150" s="1" t="n">
        <v>45832</v>
      </c>
      <c r="D1150" t="inlineStr">
        <is>
          <t>NORRBOTTENS LÄN</t>
        </is>
      </c>
      <c r="E1150" t="inlineStr">
        <is>
          <t>BODEN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19564-2024</t>
        </is>
      </c>
      <c r="B1151" s="1" t="n">
        <v>45429</v>
      </c>
      <c r="C1151" s="1" t="n">
        <v>45832</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19563-2024</t>
        </is>
      </c>
      <c r="B1152" s="1" t="n">
        <v>45430</v>
      </c>
      <c r="C1152" s="1" t="n">
        <v>45832</v>
      </c>
      <c r="D1152" t="inlineStr">
        <is>
          <t>NORRBOTTENS LÄN</t>
        </is>
      </c>
      <c r="E1152" t="inlineStr">
        <is>
          <t>BODEN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19575-2024</t>
        </is>
      </c>
      <c r="B1153" s="1" t="n">
        <v>45430</v>
      </c>
      <c r="C1153" s="1" t="n">
        <v>45832</v>
      </c>
      <c r="D1153" t="inlineStr">
        <is>
          <t>NORRBOTTENS LÄN</t>
        </is>
      </c>
      <c r="E1153" t="inlineStr">
        <is>
          <t>BODEN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21329-2024</t>
        </is>
      </c>
      <c r="B1154" s="1" t="n">
        <v>45440</v>
      </c>
      <c r="C1154" s="1" t="n">
        <v>45832</v>
      </c>
      <c r="D1154" t="inlineStr">
        <is>
          <t>NORRBOTTENS LÄN</t>
        </is>
      </c>
      <c r="E1154" t="inlineStr">
        <is>
          <t>BODEN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21525-2024</t>
        </is>
      </c>
      <c r="B1155" s="1" t="n">
        <v>45441</v>
      </c>
      <c r="C1155" s="1" t="n">
        <v>45832</v>
      </c>
      <c r="D1155" t="inlineStr">
        <is>
          <t>NORRBOTTENS LÄN</t>
        </is>
      </c>
      <c r="E1155" t="inlineStr">
        <is>
          <t>BODEN</t>
        </is>
      </c>
      <c r="G1155" t="n">
        <v>24.3</v>
      </c>
      <c r="H1155" t="n">
        <v>0</v>
      </c>
      <c r="I1155" t="n">
        <v>0</v>
      </c>
      <c r="J1155" t="n">
        <v>0</v>
      </c>
      <c r="K1155" t="n">
        <v>0</v>
      </c>
      <c r="L1155" t="n">
        <v>0</v>
      </c>
      <c r="M1155" t="n">
        <v>0</v>
      </c>
      <c r="N1155" t="n">
        <v>0</v>
      </c>
      <c r="O1155" t="n">
        <v>0</v>
      </c>
      <c r="P1155" t="n">
        <v>0</v>
      </c>
      <c r="Q1155" t="n">
        <v>0</v>
      </c>
      <c r="R1155" s="2" t="inlineStr"/>
    </row>
    <row r="1156" ht="15" customHeight="1">
      <c r="A1156" t="inlineStr">
        <is>
          <t>A 21908-2024</t>
        </is>
      </c>
      <c r="B1156" s="1" t="n">
        <v>45443</v>
      </c>
      <c r="C1156" s="1" t="n">
        <v>45832</v>
      </c>
      <c r="D1156" t="inlineStr">
        <is>
          <t>NORRBOTTENS LÄN</t>
        </is>
      </c>
      <c r="E1156" t="inlineStr">
        <is>
          <t>BODEN</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22447-2024</t>
        </is>
      </c>
      <c r="B1157" s="1" t="n">
        <v>45447</v>
      </c>
      <c r="C1157" s="1" t="n">
        <v>45832</v>
      </c>
      <c r="D1157" t="inlineStr">
        <is>
          <t>NORRBOTTENS LÄN</t>
        </is>
      </c>
      <c r="E1157" t="inlineStr">
        <is>
          <t>BODEN</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22409-2024</t>
        </is>
      </c>
      <c r="B1158" s="1" t="n">
        <v>45446</v>
      </c>
      <c r="C1158" s="1" t="n">
        <v>45832</v>
      </c>
      <c r="D1158" t="inlineStr">
        <is>
          <t>NORRBOTTENS LÄN</t>
        </is>
      </c>
      <c r="E1158" t="inlineStr">
        <is>
          <t>BODEN</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22892-2024</t>
        </is>
      </c>
      <c r="B1159" s="1" t="n">
        <v>45448</v>
      </c>
      <c r="C1159" s="1" t="n">
        <v>45832</v>
      </c>
      <c r="D1159" t="inlineStr">
        <is>
          <t>NORRBOTTENS LÄN</t>
        </is>
      </c>
      <c r="E1159" t="inlineStr">
        <is>
          <t>BODEN</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22893-2024</t>
        </is>
      </c>
      <c r="B1160" s="1" t="n">
        <v>45448</v>
      </c>
      <c r="C1160" s="1" t="n">
        <v>45832</v>
      </c>
      <c r="D1160" t="inlineStr">
        <is>
          <t>NORRBOTTENS LÄN</t>
        </is>
      </c>
      <c r="E1160" t="inlineStr">
        <is>
          <t>BODEN</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23232-2024</t>
        </is>
      </c>
      <c r="B1161" s="1" t="n">
        <v>45453</v>
      </c>
      <c r="C1161" s="1" t="n">
        <v>45832</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23231-2024</t>
        </is>
      </c>
      <c r="B1162" s="1" t="n">
        <v>45453</v>
      </c>
      <c r="C1162" s="1" t="n">
        <v>45832</v>
      </c>
      <c r="D1162" t="inlineStr">
        <is>
          <t>NORRBOTTENS LÄN</t>
        </is>
      </c>
      <c r="E1162" t="inlineStr">
        <is>
          <t>BODEN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23686-2024</t>
        </is>
      </c>
      <c r="B1163" s="1" t="n">
        <v>45454</v>
      </c>
      <c r="C1163" s="1" t="n">
        <v>45832</v>
      </c>
      <c r="D1163" t="inlineStr">
        <is>
          <t>NORRBOTTENS LÄN</t>
        </is>
      </c>
      <c r="E1163" t="inlineStr">
        <is>
          <t>BODEN</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23706-2024</t>
        </is>
      </c>
      <c r="B1164" s="1" t="n">
        <v>45454</v>
      </c>
      <c r="C1164" s="1" t="n">
        <v>45832</v>
      </c>
      <c r="D1164" t="inlineStr">
        <is>
          <t>NORRBOTTENS LÄN</t>
        </is>
      </c>
      <c r="E1164" t="inlineStr">
        <is>
          <t>BODEN</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23677-2024</t>
        </is>
      </c>
      <c r="B1165" s="1" t="n">
        <v>45454</v>
      </c>
      <c r="C1165" s="1" t="n">
        <v>45832</v>
      </c>
      <c r="D1165" t="inlineStr">
        <is>
          <t>NORRBOTTENS LÄN</t>
        </is>
      </c>
      <c r="E1165" t="inlineStr">
        <is>
          <t>BODEN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23923-2024</t>
        </is>
      </c>
      <c r="B1166" s="1" t="n">
        <v>45456</v>
      </c>
      <c r="C1166" s="1" t="n">
        <v>45832</v>
      </c>
      <c r="D1166" t="inlineStr">
        <is>
          <t>NORRBOTTENS LÄN</t>
        </is>
      </c>
      <c r="E1166" t="inlineStr">
        <is>
          <t>BODEN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24193-2024</t>
        </is>
      </c>
      <c r="B1167" s="1" t="n">
        <v>45456</v>
      </c>
      <c r="C1167" s="1" t="n">
        <v>45832</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24192-2024</t>
        </is>
      </c>
      <c r="B1168" s="1" t="n">
        <v>45456</v>
      </c>
      <c r="C1168" s="1" t="n">
        <v>45832</v>
      </c>
      <c r="D1168" t="inlineStr">
        <is>
          <t>NORRBOTTENS LÄN</t>
        </is>
      </c>
      <c r="E1168" t="inlineStr">
        <is>
          <t>BODEN</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24435-2024</t>
        </is>
      </c>
      <c r="B1169" s="1" t="n">
        <v>45457</v>
      </c>
      <c r="C1169" s="1" t="n">
        <v>45832</v>
      </c>
      <c r="D1169" t="inlineStr">
        <is>
          <t>NORRBOTTENS LÄN</t>
        </is>
      </c>
      <c r="E1169" t="inlineStr">
        <is>
          <t>BODEN</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24434-2024</t>
        </is>
      </c>
      <c r="B1170" s="1" t="n">
        <v>45457</v>
      </c>
      <c r="C1170" s="1" t="n">
        <v>45832</v>
      </c>
      <c r="D1170" t="inlineStr">
        <is>
          <t>NORRBOTTENS LÄN</t>
        </is>
      </c>
      <c r="E1170" t="inlineStr">
        <is>
          <t>BODEN</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24433-2024</t>
        </is>
      </c>
      <c r="B1171" s="1" t="n">
        <v>45457</v>
      </c>
      <c r="C1171" s="1" t="n">
        <v>45832</v>
      </c>
      <c r="D1171" t="inlineStr">
        <is>
          <t>NORRBOTTENS LÄN</t>
        </is>
      </c>
      <c r="E1171" t="inlineStr">
        <is>
          <t>BODEN</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24500-2024</t>
        </is>
      </c>
      <c r="B1172" s="1" t="n">
        <v>45459</v>
      </c>
      <c r="C1172" s="1" t="n">
        <v>45832</v>
      </c>
      <c r="D1172" t="inlineStr">
        <is>
          <t>NORRBOTTENS LÄN</t>
        </is>
      </c>
      <c r="E1172" t="inlineStr">
        <is>
          <t>BODEN</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24744-2024</t>
        </is>
      </c>
      <c r="B1173" s="1" t="n">
        <v>45460</v>
      </c>
      <c r="C1173" s="1" t="n">
        <v>45832</v>
      </c>
      <c r="D1173" t="inlineStr">
        <is>
          <t>NORRBOTTENS LÄN</t>
        </is>
      </c>
      <c r="E1173" t="inlineStr">
        <is>
          <t>BODEN</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24733-2024</t>
        </is>
      </c>
      <c r="B1174" s="1" t="n">
        <v>45460</v>
      </c>
      <c r="C1174" s="1" t="n">
        <v>45832</v>
      </c>
      <c r="D1174" t="inlineStr">
        <is>
          <t>NORRBOTTENS LÄN</t>
        </is>
      </c>
      <c r="E1174" t="inlineStr">
        <is>
          <t>BODEN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24872-2024</t>
        </is>
      </c>
      <c r="B1175" s="1" t="n">
        <v>45461</v>
      </c>
      <c r="C1175" s="1" t="n">
        <v>45832</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25038-2024</t>
        </is>
      </c>
      <c r="B1176" s="1" t="n">
        <v>45461</v>
      </c>
      <c r="C1176" s="1" t="n">
        <v>45832</v>
      </c>
      <c r="D1176" t="inlineStr">
        <is>
          <t>NORRBOTTENS LÄN</t>
        </is>
      </c>
      <c r="E1176" t="inlineStr">
        <is>
          <t>BODEN</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25367-2024</t>
        </is>
      </c>
      <c r="B1177" s="1" t="n">
        <v>45462</v>
      </c>
      <c r="C1177" s="1" t="n">
        <v>45832</v>
      </c>
      <c r="D1177" t="inlineStr">
        <is>
          <t>NORRBOTTENS LÄN</t>
        </is>
      </c>
      <c r="E1177" t="inlineStr">
        <is>
          <t>BODEN</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25341-2024</t>
        </is>
      </c>
      <c r="B1178" s="1" t="n">
        <v>45462</v>
      </c>
      <c r="C1178" s="1" t="n">
        <v>45832</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25394-2024</t>
        </is>
      </c>
      <c r="B1179" s="1" t="n">
        <v>45463</v>
      </c>
      <c r="C1179" s="1" t="n">
        <v>45832</v>
      </c>
      <c r="D1179" t="inlineStr">
        <is>
          <t>NORRBOTTENS LÄN</t>
        </is>
      </c>
      <c r="E1179" t="inlineStr">
        <is>
          <t>BODEN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25554-2024</t>
        </is>
      </c>
      <c r="B1180" s="1" t="n">
        <v>45463</v>
      </c>
      <c r="C1180" s="1" t="n">
        <v>45832</v>
      </c>
      <c r="D1180" t="inlineStr">
        <is>
          <t>NORRBOTTENS LÄN</t>
        </is>
      </c>
      <c r="E1180" t="inlineStr">
        <is>
          <t>BODEN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25575-2024</t>
        </is>
      </c>
      <c r="B1181" s="1" t="n">
        <v>45463</v>
      </c>
      <c r="C1181" s="1" t="n">
        <v>45832</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25559-2024</t>
        </is>
      </c>
      <c r="B1182" s="1" t="n">
        <v>45463</v>
      </c>
      <c r="C1182" s="1" t="n">
        <v>45832</v>
      </c>
      <c r="D1182" t="inlineStr">
        <is>
          <t>NORRBOTTENS LÄN</t>
        </is>
      </c>
      <c r="E1182" t="inlineStr">
        <is>
          <t>BODEN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25535-2024</t>
        </is>
      </c>
      <c r="B1183" s="1" t="n">
        <v>45463</v>
      </c>
      <c r="C1183" s="1" t="n">
        <v>45832</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25735-2024</t>
        </is>
      </c>
      <c r="B1184" s="1" t="n">
        <v>45464</v>
      </c>
      <c r="C1184" s="1" t="n">
        <v>45832</v>
      </c>
      <c r="D1184" t="inlineStr">
        <is>
          <t>NORRBOTTENS LÄN</t>
        </is>
      </c>
      <c r="E1184" t="inlineStr">
        <is>
          <t>BODEN</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25825-2024</t>
        </is>
      </c>
      <c r="B1185" s="1" t="n">
        <v>45467</v>
      </c>
      <c r="C1185" s="1" t="n">
        <v>45832</v>
      </c>
      <c r="D1185" t="inlineStr">
        <is>
          <t>NORRBOTTENS LÄN</t>
        </is>
      </c>
      <c r="E1185" t="inlineStr">
        <is>
          <t>BODEN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25951-2024</t>
        </is>
      </c>
      <c r="B1186" s="1" t="n">
        <v>45467</v>
      </c>
      <c r="C1186" s="1" t="n">
        <v>45832</v>
      </c>
      <c r="D1186" t="inlineStr">
        <is>
          <t>NORRBOTTENS LÄN</t>
        </is>
      </c>
      <c r="E1186" t="inlineStr">
        <is>
          <t>BODEN</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26806-2024</t>
        </is>
      </c>
      <c r="B1187" s="1" t="n">
        <v>45470</v>
      </c>
      <c r="C1187" s="1" t="n">
        <v>45832</v>
      </c>
      <c r="D1187" t="inlineStr">
        <is>
          <t>NORRBOTTENS LÄN</t>
        </is>
      </c>
      <c r="E1187" t="inlineStr">
        <is>
          <t>BODEN</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26820-2024</t>
        </is>
      </c>
      <c r="B1188" s="1" t="n">
        <v>45470</v>
      </c>
      <c r="C1188" s="1" t="n">
        <v>45832</v>
      </c>
      <c r="D1188" t="inlineStr">
        <is>
          <t>NORRBOTTENS LÄN</t>
        </is>
      </c>
      <c r="E1188" t="inlineStr">
        <is>
          <t>BODEN</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27019-2024</t>
        </is>
      </c>
      <c r="B1189" s="1" t="n">
        <v>45471</v>
      </c>
      <c r="C1189" s="1" t="n">
        <v>45832</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27009-2024</t>
        </is>
      </c>
      <c r="B1190" s="1" t="n">
        <v>45471</v>
      </c>
      <c r="C1190" s="1" t="n">
        <v>45832</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27014-2024</t>
        </is>
      </c>
      <c r="B1191" s="1" t="n">
        <v>45471</v>
      </c>
      <c r="C1191" s="1" t="n">
        <v>45832</v>
      </c>
      <c r="D1191" t="inlineStr">
        <is>
          <t>NORRBOTTENS LÄN</t>
        </is>
      </c>
      <c r="E1191" t="inlineStr">
        <is>
          <t>BODEN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27006-2024</t>
        </is>
      </c>
      <c r="B1192" s="1" t="n">
        <v>45471</v>
      </c>
      <c r="C1192" s="1" t="n">
        <v>45832</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27636-2024</t>
        </is>
      </c>
      <c r="B1193" s="1" t="n">
        <v>45474</v>
      </c>
      <c r="C1193" s="1" t="n">
        <v>45832</v>
      </c>
      <c r="D1193" t="inlineStr">
        <is>
          <t>NORRBOTTENS LÄN</t>
        </is>
      </c>
      <c r="E1193" t="inlineStr">
        <is>
          <t>BODEN</t>
        </is>
      </c>
      <c r="F1193" t="inlineStr">
        <is>
          <t>SCA</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27524-2024</t>
        </is>
      </c>
      <c r="B1194" s="1" t="n">
        <v>45474</v>
      </c>
      <c r="C1194" s="1" t="n">
        <v>45832</v>
      </c>
      <c r="D1194" t="inlineStr">
        <is>
          <t>NORRBOTTENS LÄN</t>
        </is>
      </c>
      <c r="E1194" t="inlineStr">
        <is>
          <t>BODEN</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28074-2024</t>
        </is>
      </c>
      <c r="B1195" s="1" t="n">
        <v>45476</v>
      </c>
      <c r="C1195" s="1" t="n">
        <v>45832</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28078-2024</t>
        </is>
      </c>
      <c r="B1196" s="1" t="n">
        <v>45476</v>
      </c>
      <c r="C1196" s="1" t="n">
        <v>45832</v>
      </c>
      <c r="D1196" t="inlineStr">
        <is>
          <t>NORRBOTTENS LÄN</t>
        </is>
      </c>
      <c r="E1196" t="inlineStr">
        <is>
          <t>BODEN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28134-2024</t>
        </is>
      </c>
      <c r="B1197" s="1" t="n">
        <v>45476</v>
      </c>
      <c r="C1197" s="1" t="n">
        <v>45832</v>
      </c>
      <c r="D1197" t="inlineStr">
        <is>
          <t>NORRBOTTENS LÄN</t>
        </is>
      </c>
      <c r="E1197" t="inlineStr">
        <is>
          <t>BODEN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28079-2024</t>
        </is>
      </c>
      <c r="B1198" s="1" t="n">
        <v>45476</v>
      </c>
      <c r="C1198" s="1" t="n">
        <v>45832</v>
      </c>
      <c r="D1198" t="inlineStr">
        <is>
          <t>NORRBOTTENS LÄN</t>
        </is>
      </c>
      <c r="E1198" t="inlineStr">
        <is>
          <t>BODEN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28067-2024</t>
        </is>
      </c>
      <c r="B1199" s="1" t="n">
        <v>45476</v>
      </c>
      <c r="C1199" s="1" t="n">
        <v>45832</v>
      </c>
      <c r="D1199" t="inlineStr">
        <is>
          <t>NORRBOTTENS LÄN</t>
        </is>
      </c>
      <c r="E1199" t="inlineStr">
        <is>
          <t>BODEN</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28651-2024</t>
        </is>
      </c>
      <c r="B1200" s="1" t="n">
        <v>45478</v>
      </c>
      <c r="C1200" s="1" t="n">
        <v>45832</v>
      </c>
      <c r="D1200" t="inlineStr">
        <is>
          <t>NORRBOTTENS LÄN</t>
        </is>
      </c>
      <c r="E1200" t="inlineStr">
        <is>
          <t>BODEN</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28772-2024</t>
        </is>
      </c>
      <c r="B1201" s="1" t="n">
        <v>45478</v>
      </c>
      <c r="C1201" s="1" t="n">
        <v>45832</v>
      </c>
      <c r="D1201" t="inlineStr">
        <is>
          <t>NORRBOTTENS LÄN</t>
        </is>
      </c>
      <c r="E1201" t="inlineStr">
        <is>
          <t>BODEN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28758-2024</t>
        </is>
      </c>
      <c r="B1202" s="1" t="n">
        <v>45478</v>
      </c>
      <c r="C1202" s="1" t="n">
        <v>45832</v>
      </c>
      <c r="D1202" t="inlineStr">
        <is>
          <t>NORRBOTTENS LÄN</t>
        </is>
      </c>
      <c r="E1202" t="inlineStr">
        <is>
          <t>BODEN</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28762-2024</t>
        </is>
      </c>
      <c r="B1203" s="1" t="n">
        <v>45478</v>
      </c>
      <c r="C1203" s="1" t="n">
        <v>45832</v>
      </c>
      <c r="D1203" t="inlineStr">
        <is>
          <t>NORRBOTTENS LÄN</t>
        </is>
      </c>
      <c r="E1203" t="inlineStr">
        <is>
          <t>BODEN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28767-2024</t>
        </is>
      </c>
      <c r="B1204" s="1" t="n">
        <v>45478</v>
      </c>
      <c r="C1204" s="1" t="n">
        <v>45832</v>
      </c>
      <c r="D1204" t="inlineStr">
        <is>
          <t>NORRBOTTENS LÄN</t>
        </is>
      </c>
      <c r="E1204" t="inlineStr">
        <is>
          <t>BODEN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28898-2024</t>
        </is>
      </c>
      <c r="B1205" s="1" t="n">
        <v>45480</v>
      </c>
      <c r="C1205" s="1" t="n">
        <v>45832</v>
      </c>
      <c r="D1205" t="inlineStr">
        <is>
          <t>NORRBOTTENS LÄN</t>
        </is>
      </c>
      <c r="E1205" t="inlineStr">
        <is>
          <t>BODEN</t>
        </is>
      </c>
      <c r="G1205" t="n">
        <v>42.8</v>
      </c>
      <c r="H1205" t="n">
        <v>0</v>
      </c>
      <c r="I1205" t="n">
        <v>0</v>
      </c>
      <c r="J1205" t="n">
        <v>0</v>
      </c>
      <c r="K1205" t="n">
        <v>0</v>
      </c>
      <c r="L1205" t="n">
        <v>0</v>
      </c>
      <c r="M1205" t="n">
        <v>0</v>
      </c>
      <c r="N1205" t="n">
        <v>0</v>
      </c>
      <c r="O1205" t="n">
        <v>0</v>
      </c>
      <c r="P1205" t="n">
        <v>0</v>
      </c>
      <c r="Q1205" t="n">
        <v>0</v>
      </c>
      <c r="R1205" s="2" t="inlineStr"/>
    </row>
    <row r="1206" ht="15" customHeight="1">
      <c r="A1206" t="inlineStr">
        <is>
          <t>A 29109-2024</t>
        </is>
      </c>
      <c r="B1206" s="1" t="n">
        <v>45482</v>
      </c>
      <c r="C1206" s="1" t="n">
        <v>45832</v>
      </c>
      <c r="D1206" t="inlineStr">
        <is>
          <t>NORRBOTTENS LÄN</t>
        </is>
      </c>
      <c r="E1206" t="inlineStr">
        <is>
          <t>BODEN</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29281-2024</t>
        </is>
      </c>
      <c r="B1207" s="1" t="n">
        <v>45483</v>
      </c>
      <c r="C1207" s="1" t="n">
        <v>45832</v>
      </c>
      <c r="D1207" t="inlineStr">
        <is>
          <t>NORRBOTTENS LÄN</t>
        </is>
      </c>
      <c r="E1207" t="inlineStr">
        <is>
          <t>BODEN</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29282-2024</t>
        </is>
      </c>
      <c r="B1208" s="1" t="n">
        <v>45483</v>
      </c>
      <c r="C1208" s="1" t="n">
        <v>45832</v>
      </c>
      <c r="D1208" t="inlineStr">
        <is>
          <t>NORRBOTTENS LÄN</t>
        </is>
      </c>
      <c r="E1208" t="inlineStr">
        <is>
          <t>BODEN</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29377-2024</t>
        </is>
      </c>
      <c r="B1209" s="1" t="n">
        <v>45483</v>
      </c>
      <c r="C1209" s="1" t="n">
        <v>45832</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29328-2024</t>
        </is>
      </c>
      <c r="B1210" s="1" t="n">
        <v>45483</v>
      </c>
      <c r="C1210" s="1" t="n">
        <v>45832</v>
      </c>
      <c r="D1210" t="inlineStr">
        <is>
          <t>NORRBOTTENS LÄN</t>
        </is>
      </c>
      <c r="E1210" t="inlineStr">
        <is>
          <t>BODEN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30186-2024</t>
        </is>
      </c>
      <c r="B1211" s="1" t="n">
        <v>45490</v>
      </c>
      <c r="C1211" s="1" t="n">
        <v>45832</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30152-2024</t>
        </is>
      </c>
      <c r="B1212" s="1" t="n">
        <v>45489</v>
      </c>
      <c r="C1212" s="1" t="n">
        <v>45832</v>
      </c>
      <c r="D1212" t="inlineStr">
        <is>
          <t>NORRBOTTENS LÄN</t>
        </is>
      </c>
      <c r="E1212" t="inlineStr">
        <is>
          <t>BODEN</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30093-2024</t>
        </is>
      </c>
      <c r="B1213" s="1" t="n">
        <v>45489</v>
      </c>
      <c r="C1213" s="1" t="n">
        <v>45832</v>
      </c>
      <c r="D1213" t="inlineStr">
        <is>
          <t>NORRBOTTENS LÄN</t>
        </is>
      </c>
      <c r="E1213" t="inlineStr">
        <is>
          <t>BODEN</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30363-2024</t>
        </is>
      </c>
      <c r="B1214" s="1" t="n">
        <v>45491</v>
      </c>
      <c r="C1214" s="1" t="n">
        <v>45832</v>
      </c>
      <c r="D1214" t="inlineStr">
        <is>
          <t>NORRBOTTENS LÄN</t>
        </is>
      </c>
      <c r="E1214" t="inlineStr">
        <is>
          <t>BODEN</t>
        </is>
      </c>
      <c r="F1214" t="inlineStr">
        <is>
          <t>Sveaskog</t>
        </is>
      </c>
      <c r="G1214" t="n">
        <v>19.5</v>
      </c>
      <c r="H1214" t="n">
        <v>0</v>
      </c>
      <c r="I1214" t="n">
        <v>0</v>
      </c>
      <c r="J1214" t="n">
        <v>0</v>
      </c>
      <c r="K1214" t="n">
        <v>0</v>
      </c>
      <c r="L1214" t="n">
        <v>0</v>
      </c>
      <c r="M1214" t="n">
        <v>0</v>
      </c>
      <c r="N1214" t="n">
        <v>0</v>
      </c>
      <c r="O1214" t="n">
        <v>0</v>
      </c>
      <c r="P1214" t="n">
        <v>0</v>
      </c>
      <c r="Q1214" t="n">
        <v>0</v>
      </c>
      <c r="R1214" s="2" t="inlineStr"/>
    </row>
    <row r="1215" ht="15" customHeight="1">
      <c r="A1215" t="inlineStr">
        <is>
          <t>A 30689-2024</t>
        </is>
      </c>
      <c r="B1215" s="1" t="n">
        <v>45496</v>
      </c>
      <c r="C1215" s="1" t="n">
        <v>45832</v>
      </c>
      <c r="D1215" t="inlineStr">
        <is>
          <t>NORRBOTTENS LÄN</t>
        </is>
      </c>
      <c r="E1215" t="inlineStr">
        <is>
          <t>BODEN</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31007-2024</t>
        </is>
      </c>
      <c r="B1216" s="1" t="n">
        <v>45499</v>
      </c>
      <c r="C1216" s="1" t="n">
        <v>45832</v>
      </c>
      <c r="D1216" t="inlineStr">
        <is>
          <t>NORRBOTTENS LÄN</t>
        </is>
      </c>
      <c r="E1216" t="inlineStr">
        <is>
          <t>BODEN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31045-2024</t>
        </is>
      </c>
      <c r="B1217" s="1" t="n">
        <v>45502</v>
      </c>
      <c r="C1217" s="1" t="n">
        <v>45832</v>
      </c>
      <c r="D1217" t="inlineStr">
        <is>
          <t>NORRBOTTENS LÄN</t>
        </is>
      </c>
      <c r="E1217" t="inlineStr">
        <is>
          <t>BODEN</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31456-2024</t>
        </is>
      </c>
      <c r="B1218" s="1" t="n">
        <v>45505</v>
      </c>
      <c r="C1218" s="1" t="n">
        <v>45832</v>
      </c>
      <c r="D1218" t="inlineStr">
        <is>
          <t>NORRBOTTENS LÄN</t>
        </is>
      </c>
      <c r="E1218" t="inlineStr">
        <is>
          <t>BODEN</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31490-2024</t>
        </is>
      </c>
      <c r="B1219" s="1" t="n">
        <v>45506</v>
      </c>
      <c r="C1219" s="1" t="n">
        <v>45832</v>
      </c>
      <c r="D1219" t="inlineStr">
        <is>
          <t>NORRBOTTENS LÄN</t>
        </is>
      </c>
      <c r="E1219" t="inlineStr">
        <is>
          <t>BODEN</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31589-2024</t>
        </is>
      </c>
      <c r="B1220" s="1" t="n">
        <v>45506</v>
      </c>
      <c r="C1220" s="1" t="n">
        <v>45832</v>
      </c>
      <c r="D1220" t="inlineStr">
        <is>
          <t>NORRBOTTENS LÄN</t>
        </is>
      </c>
      <c r="E1220" t="inlineStr">
        <is>
          <t>BODEN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31754-2024</t>
        </is>
      </c>
      <c r="B1221" s="1" t="n">
        <v>45509</v>
      </c>
      <c r="C1221" s="1" t="n">
        <v>45832</v>
      </c>
      <c r="D1221" t="inlineStr">
        <is>
          <t>NORRBOTTENS LÄN</t>
        </is>
      </c>
      <c r="E1221" t="inlineStr">
        <is>
          <t>BODEN</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31963-2024</t>
        </is>
      </c>
      <c r="B1222" s="1" t="n">
        <v>45510</v>
      </c>
      <c r="C1222" s="1" t="n">
        <v>45832</v>
      </c>
      <c r="D1222" t="inlineStr">
        <is>
          <t>NORRBOTTENS LÄN</t>
        </is>
      </c>
      <c r="E1222" t="inlineStr">
        <is>
          <t>BODEN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31961-2024</t>
        </is>
      </c>
      <c r="B1223" s="1" t="n">
        <v>45510</v>
      </c>
      <c r="C1223" s="1" t="n">
        <v>45832</v>
      </c>
      <c r="D1223" t="inlineStr">
        <is>
          <t>NORRBOTTENS LÄN</t>
        </is>
      </c>
      <c r="E1223" t="inlineStr">
        <is>
          <t>BODEN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32276-2024</t>
        </is>
      </c>
      <c r="B1224" s="1" t="n">
        <v>45512</v>
      </c>
      <c r="C1224" s="1" t="n">
        <v>45832</v>
      </c>
      <c r="D1224" t="inlineStr">
        <is>
          <t>NORRBOTTENS LÄN</t>
        </is>
      </c>
      <c r="E1224" t="inlineStr">
        <is>
          <t>BODEN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32347-2024</t>
        </is>
      </c>
      <c r="B1225" s="1" t="n">
        <v>45512</v>
      </c>
      <c r="C1225" s="1" t="n">
        <v>45832</v>
      </c>
      <c r="D1225" t="inlineStr">
        <is>
          <t>NORRBOTTENS LÄN</t>
        </is>
      </c>
      <c r="E1225" t="inlineStr">
        <is>
          <t>BODEN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32906-2024</t>
        </is>
      </c>
      <c r="B1226" s="1" t="n">
        <v>45516</v>
      </c>
      <c r="C1226" s="1" t="n">
        <v>45832</v>
      </c>
      <c r="D1226" t="inlineStr">
        <is>
          <t>NORRBOTTENS LÄN</t>
        </is>
      </c>
      <c r="E1226" t="inlineStr">
        <is>
          <t>BODEN</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32913-2024</t>
        </is>
      </c>
      <c r="B1227" s="1" t="n">
        <v>45517</v>
      </c>
      <c r="C1227" s="1" t="n">
        <v>45832</v>
      </c>
      <c r="D1227" t="inlineStr">
        <is>
          <t>NORRBOTTENS LÄN</t>
        </is>
      </c>
      <c r="E1227" t="inlineStr">
        <is>
          <t>BODEN</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32912-2024</t>
        </is>
      </c>
      <c r="B1228" s="1" t="n">
        <v>45516</v>
      </c>
      <c r="C1228" s="1" t="n">
        <v>45832</v>
      </c>
      <c r="D1228" t="inlineStr">
        <is>
          <t>NORRBOTTENS LÄN</t>
        </is>
      </c>
      <c r="E1228" t="inlineStr">
        <is>
          <t>BODEN</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33289-2024</t>
        </is>
      </c>
      <c r="B1229" s="1" t="n">
        <v>45518</v>
      </c>
      <c r="C1229" s="1" t="n">
        <v>45832</v>
      </c>
      <c r="D1229" t="inlineStr">
        <is>
          <t>NORRBOTTENS LÄN</t>
        </is>
      </c>
      <c r="E1229" t="inlineStr">
        <is>
          <t>BODEN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33604-2024</t>
        </is>
      </c>
      <c r="B1230" s="1" t="n">
        <v>45520</v>
      </c>
      <c r="C1230" s="1" t="n">
        <v>45832</v>
      </c>
      <c r="D1230" t="inlineStr">
        <is>
          <t>NORRBOTTENS LÄN</t>
        </is>
      </c>
      <c r="E1230" t="inlineStr">
        <is>
          <t>BODEN</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33915-2024</t>
        </is>
      </c>
      <c r="B1231" s="1" t="n">
        <v>45523</v>
      </c>
      <c r="C1231" s="1" t="n">
        <v>45832</v>
      </c>
      <c r="D1231" t="inlineStr">
        <is>
          <t>NORRBOTTENS LÄN</t>
        </is>
      </c>
      <c r="E1231" t="inlineStr">
        <is>
          <t>BODEN</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34495-2024</t>
        </is>
      </c>
      <c r="B1232" s="1" t="n">
        <v>45525</v>
      </c>
      <c r="C1232" s="1" t="n">
        <v>45832</v>
      </c>
      <c r="D1232" t="inlineStr">
        <is>
          <t>NORRBOTTENS LÄN</t>
        </is>
      </c>
      <c r="E1232" t="inlineStr">
        <is>
          <t>BODEN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34403-2024</t>
        </is>
      </c>
      <c r="B1233" s="1" t="n">
        <v>45525</v>
      </c>
      <c r="C1233" s="1" t="n">
        <v>45832</v>
      </c>
      <c r="D1233" t="inlineStr">
        <is>
          <t>NORRBOTTENS LÄN</t>
        </is>
      </c>
      <c r="E1233" t="inlineStr">
        <is>
          <t>BODEN</t>
        </is>
      </c>
      <c r="F1233" t="inlineStr">
        <is>
          <t>Kommuner</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34774-2024</t>
        </is>
      </c>
      <c r="B1234" s="1" t="n">
        <v>45526</v>
      </c>
      <c r="C1234" s="1" t="n">
        <v>45832</v>
      </c>
      <c r="D1234" t="inlineStr">
        <is>
          <t>NORRBOTTENS LÄN</t>
        </is>
      </c>
      <c r="E1234" t="inlineStr">
        <is>
          <t>BODEN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34969-2024</t>
        </is>
      </c>
      <c r="B1235" s="1" t="n">
        <v>45527</v>
      </c>
      <c r="C1235" s="1" t="n">
        <v>45832</v>
      </c>
      <c r="D1235" t="inlineStr">
        <is>
          <t>NORRBOTTENS LÄN</t>
        </is>
      </c>
      <c r="E1235" t="inlineStr">
        <is>
          <t>BODEN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35115-2024</t>
        </is>
      </c>
      <c r="B1236" s="1" t="n">
        <v>45530</v>
      </c>
      <c r="C1236" s="1" t="n">
        <v>45832</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35356-2024</t>
        </is>
      </c>
      <c r="B1237" s="1" t="n">
        <v>45531</v>
      </c>
      <c r="C1237" s="1" t="n">
        <v>45832</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35427-2024</t>
        </is>
      </c>
      <c r="B1238" s="1" t="n">
        <v>45531</v>
      </c>
      <c r="C1238" s="1" t="n">
        <v>45832</v>
      </c>
      <c r="D1238" t="inlineStr">
        <is>
          <t>NORRBOTTENS LÄN</t>
        </is>
      </c>
      <c r="E1238" t="inlineStr">
        <is>
          <t>BODEN</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35425-2024</t>
        </is>
      </c>
      <c r="B1239" s="1" t="n">
        <v>45531</v>
      </c>
      <c r="C1239" s="1" t="n">
        <v>45832</v>
      </c>
      <c r="D1239" t="inlineStr">
        <is>
          <t>NORRBOTTENS LÄN</t>
        </is>
      </c>
      <c r="E1239" t="inlineStr">
        <is>
          <t>BODEN</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35676-2024</t>
        </is>
      </c>
      <c r="B1240" s="1" t="n">
        <v>45532</v>
      </c>
      <c r="C1240" s="1" t="n">
        <v>45832</v>
      </c>
      <c r="D1240" t="inlineStr">
        <is>
          <t>NORRBOTTENS LÄN</t>
        </is>
      </c>
      <c r="E1240" t="inlineStr">
        <is>
          <t>BODEN</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35744-2024</t>
        </is>
      </c>
      <c r="B1241" s="1" t="n">
        <v>45532</v>
      </c>
      <c r="C1241" s="1" t="n">
        <v>45832</v>
      </c>
      <c r="D1241" t="inlineStr">
        <is>
          <t>NORRBOTTENS LÄN</t>
        </is>
      </c>
      <c r="E1241" t="inlineStr">
        <is>
          <t>BODEN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36249-2024</t>
        </is>
      </c>
      <c r="B1242" s="1" t="n">
        <v>45534</v>
      </c>
      <c r="C1242" s="1" t="n">
        <v>45832</v>
      </c>
      <c r="D1242" t="inlineStr">
        <is>
          <t>NORRBOTTENS LÄN</t>
        </is>
      </c>
      <c r="E1242" t="inlineStr">
        <is>
          <t>BODEN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36630-2024</t>
        </is>
      </c>
      <c r="B1243" s="1" t="n">
        <v>45537</v>
      </c>
      <c r="C1243" s="1" t="n">
        <v>45832</v>
      </c>
      <c r="D1243" t="inlineStr">
        <is>
          <t>NORRBOTTENS LÄN</t>
        </is>
      </c>
      <c r="E1243" t="inlineStr">
        <is>
          <t>BODEN</t>
        </is>
      </c>
      <c r="F1243" t="inlineStr">
        <is>
          <t>SCA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36438-2024</t>
        </is>
      </c>
      <c r="B1244" s="1" t="n">
        <v>45537</v>
      </c>
      <c r="C1244" s="1" t="n">
        <v>45832</v>
      </c>
      <c r="D1244" t="inlineStr">
        <is>
          <t>NORRBOTTENS LÄN</t>
        </is>
      </c>
      <c r="E1244" t="inlineStr">
        <is>
          <t>BODEN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36981-2024</t>
        </is>
      </c>
      <c r="B1245" s="1" t="n">
        <v>45539</v>
      </c>
      <c r="C1245" s="1" t="n">
        <v>45832</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37114-2024</t>
        </is>
      </c>
      <c r="B1246" s="1" t="n">
        <v>45539</v>
      </c>
      <c r="C1246" s="1" t="n">
        <v>45832</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37446-2024</t>
        </is>
      </c>
      <c r="B1247" s="1" t="n">
        <v>45540</v>
      </c>
      <c r="C1247" s="1" t="n">
        <v>45832</v>
      </c>
      <c r="D1247" t="inlineStr">
        <is>
          <t>NORRBOTTENS LÄN</t>
        </is>
      </c>
      <c r="E1247" t="inlineStr">
        <is>
          <t>BODEN</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37473-2024</t>
        </is>
      </c>
      <c r="B1248" s="1" t="n">
        <v>45540</v>
      </c>
      <c r="C1248" s="1" t="n">
        <v>45832</v>
      </c>
      <c r="D1248" t="inlineStr">
        <is>
          <t>NORRBOTTENS LÄN</t>
        </is>
      </c>
      <c r="E1248" t="inlineStr">
        <is>
          <t>BODEN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37791-2024</t>
        </is>
      </c>
      <c r="B1249" s="1" t="n">
        <v>45543</v>
      </c>
      <c r="C1249" s="1" t="n">
        <v>45832</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37872-2024</t>
        </is>
      </c>
      <c r="B1250" s="1" t="n">
        <v>45544</v>
      </c>
      <c r="C1250" s="1" t="n">
        <v>45832</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37976-2024</t>
        </is>
      </c>
      <c r="B1251" s="1" t="n">
        <v>45544</v>
      </c>
      <c r="C1251" s="1" t="n">
        <v>45832</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37984-2024</t>
        </is>
      </c>
      <c r="B1252" s="1" t="n">
        <v>45544</v>
      </c>
      <c r="C1252" s="1" t="n">
        <v>45832</v>
      </c>
      <c r="D1252" t="inlineStr">
        <is>
          <t>NORRBOTTENS LÄN</t>
        </is>
      </c>
      <c r="E1252" t="inlineStr">
        <is>
          <t>BODEN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37993-2024</t>
        </is>
      </c>
      <c r="B1253" s="1" t="n">
        <v>45544</v>
      </c>
      <c r="C1253" s="1" t="n">
        <v>45832</v>
      </c>
      <c r="D1253" t="inlineStr">
        <is>
          <t>NORRBOTTENS LÄN</t>
        </is>
      </c>
      <c r="E1253" t="inlineStr">
        <is>
          <t>BODEN</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37866-2024</t>
        </is>
      </c>
      <c r="B1254" s="1" t="n">
        <v>45544</v>
      </c>
      <c r="C1254" s="1" t="n">
        <v>45832</v>
      </c>
      <c r="D1254" t="inlineStr">
        <is>
          <t>NORRBOTTENS LÄN</t>
        </is>
      </c>
      <c r="E1254" t="inlineStr">
        <is>
          <t>BODEN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38411-2024</t>
        </is>
      </c>
      <c r="B1255" s="1" t="n">
        <v>45546</v>
      </c>
      <c r="C1255" s="1" t="n">
        <v>45832</v>
      </c>
      <c r="D1255" t="inlineStr">
        <is>
          <t>NORRBOTTENS LÄN</t>
        </is>
      </c>
      <c r="E1255" t="inlineStr">
        <is>
          <t>BODEN</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38652-2024</t>
        </is>
      </c>
      <c r="B1256" s="1" t="n">
        <v>45546</v>
      </c>
      <c r="C1256" s="1" t="n">
        <v>45832</v>
      </c>
      <c r="D1256" t="inlineStr">
        <is>
          <t>NORRBOTTENS LÄN</t>
        </is>
      </c>
      <c r="E1256" t="inlineStr">
        <is>
          <t>BODEN</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38651-2024</t>
        </is>
      </c>
      <c r="B1257" s="1" t="n">
        <v>45546</v>
      </c>
      <c r="C1257" s="1" t="n">
        <v>45832</v>
      </c>
      <c r="D1257" t="inlineStr">
        <is>
          <t>NORRBOTTENS LÄN</t>
        </is>
      </c>
      <c r="E1257" t="inlineStr">
        <is>
          <t>BODEN</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38653-2024</t>
        </is>
      </c>
      <c r="B1258" s="1" t="n">
        <v>45546</v>
      </c>
      <c r="C1258" s="1" t="n">
        <v>45832</v>
      </c>
      <c r="D1258" t="inlineStr">
        <is>
          <t>NORRBOTTENS LÄN</t>
        </is>
      </c>
      <c r="E1258" t="inlineStr">
        <is>
          <t>BODEN</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38680-2024</t>
        </is>
      </c>
      <c r="B1259" s="1" t="n">
        <v>45547</v>
      </c>
      <c r="C1259" s="1" t="n">
        <v>45832</v>
      </c>
      <c r="D1259" t="inlineStr">
        <is>
          <t>NORRBOTTENS LÄN</t>
        </is>
      </c>
      <c r="E1259" t="inlineStr">
        <is>
          <t>BODEN</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38994-2024</t>
        </is>
      </c>
      <c r="B1260" s="1" t="n">
        <v>45548</v>
      </c>
      <c r="C1260" s="1" t="n">
        <v>45832</v>
      </c>
      <c r="D1260" t="inlineStr">
        <is>
          <t>NORRBOTTENS LÄN</t>
        </is>
      </c>
      <c r="E1260" t="inlineStr">
        <is>
          <t>BODEN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39272-2024</t>
        </is>
      </c>
      <c r="B1261" s="1" t="n">
        <v>45551</v>
      </c>
      <c r="C1261" s="1" t="n">
        <v>45832</v>
      </c>
      <c r="D1261" t="inlineStr">
        <is>
          <t>NORRBOTTENS LÄN</t>
        </is>
      </c>
      <c r="E1261" t="inlineStr">
        <is>
          <t>BODEN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39339-2024</t>
        </is>
      </c>
      <c r="B1262" s="1" t="n">
        <v>45551</v>
      </c>
      <c r="C1262" s="1" t="n">
        <v>45832</v>
      </c>
      <c r="D1262" t="inlineStr">
        <is>
          <t>NORRBOTTENS LÄN</t>
        </is>
      </c>
      <c r="E1262" t="inlineStr">
        <is>
          <t>BODEN</t>
        </is>
      </c>
      <c r="F1262" t="inlineStr">
        <is>
          <t>Sveaskog</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39773-2024</t>
        </is>
      </c>
      <c r="B1263" s="1" t="n">
        <v>45552</v>
      </c>
      <c r="C1263" s="1" t="n">
        <v>45832</v>
      </c>
      <c r="D1263" t="inlineStr">
        <is>
          <t>NORRBOTTENS LÄN</t>
        </is>
      </c>
      <c r="E1263" t="inlineStr">
        <is>
          <t>BODEN</t>
        </is>
      </c>
      <c r="F1263" t="inlineStr">
        <is>
          <t>Övriga statliga verk och myndigheter</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39987-2024</t>
        </is>
      </c>
      <c r="B1264" s="1" t="n">
        <v>45553</v>
      </c>
      <c r="C1264" s="1" t="n">
        <v>45832</v>
      </c>
      <c r="D1264" t="inlineStr">
        <is>
          <t>NORRBOTTENS LÄN</t>
        </is>
      </c>
      <c r="E1264" t="inlineStr">
        <is>
          <t>BODEN</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40585-2024</t>
        </is>
      </c>
      <c r="B1265" s="1" t="n">
        <v>45555</v>
      </c>
      <c r="C1265" s="1" t="n">
        <v>45832</v>
      </c>
      <c r="D1265" t="inlineStr">
        <is>
          <t>NORRBOTTENS LÄN</t>
        </is>
      </c>
      <c r="E1265" t="inlineStr">
        <is>
          <t>BODEN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40682-2024</t>
        </is>
      </c>
      <c r="B1266" s="1" t="n">
        <v>45558</v>
      </c>
      <c r="C1266" s="1" t="n">
        <v>45832</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40675-2024</t>
        </is>
      </c>
      <c r="B1267" s="1" t="n">
        <v>45558</v>
      </c>
      <c r="C1267" s="1" t="n">
        <v>45832</v>
      </c>
      <c r="D1267" t="inlineStr">
        <is>
          <t>NORRBOTTENS LÄN</t>
        </is>
      </c>
      <c r="E1267" t="inlineStr">
        <is>
          <t>BODEN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40680-2024</t>
        </is>
      </c>
      <c r="B1268" s="1" t="n">
        <v>45558</v>
      </c>
      <c r="C1268" s="1" t="n">
        <v>45832</v>
      </c>
      <c r="D1268" t="inlineStr">
        <is>
          <t>NORRBOTTENS LÄN</t>
        </is>
      </c>
      <c r="E1268" t="inlineStr">
        <is>
          <t>BODEN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40728-2024</t>
        </is>
      </c>
      <c r="B1269" s="1" t="n">
        <v>45558</v>
      </c>
      <c r="C1269" s="1" t="n">
        <v>45832</v>
      </c>
      <c r="D1269" t="inlineStr">
        <is>
          <t>NORRBOTTENS LÄN</t>
        </is>
      </c>
      <c r="E1269" t="inlineStr">
        <is>
          <t>BODEN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41115-2024</t>
        </is>
      </c>
      <c r="B1270" s="1" t="n">
        <v>45559</v>
      </c>
      <c r="C1270" s="1" t="n">
        <v>45832</v>
      </c>
      <c r="D1270" t="inlineStr">
        <is>
          <t>NORRBOTTENS LÄN</t>
        </is>
      </c>
      <c r="E1270" t="inlineStr">
        <is>
          <t>BODEN</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41316-2024</t>
        </is>
      </c>
      <c r="B1271" s="1" t="n">
        <v>45559</v>
      </c>
      <c r="C1271" s="1" t="n">
        <v>45832</v>
      </c>
      <c r="D1271" t="inlineStr">
        <is>
          <t>NORRBOTTENS LÄN</t>
        </is>
      </c>
      <c r="E1271" t="inlineStr">
        <is>
          <t>BODEN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41466-2024</t>
        </is>
      </c>
      <c r="B1272" s="1" t="n">
        <v>45560</v>
      </c>
      <c r="C1272" s="1" t="n">
        <v>45832</v>
      </c>
      <c r="D1272" t="inlineStr">
        <is>
          <t>NORRBOTTENS LÄN</t>
        </is>
      </c>
      <c r="E1272" t="inlineStr">
        <is>
          <t>BODEN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41485-2024</t>
        </is>
      </c>
      <c r="B1273" s="1" t="n">
        <v>45560</v>
      </c>
      <c r="C1273" s="1" t="n">
        <v>45832</v>
      </c>
      <c r="D1273" t="inlineStr">
        <is>
          <t>NORRBOTTENS LÄN</t>
        </is>
      </c>
      <c r="E1273" t="inlineStr">
        <is>
          <t>BODEN</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41487-2024</t>
        </is>
      </c>
      <c r="B1274" s="1" t="n">
        <v>45560</v>
      </c>
      <c r="C1274" s="1" t="n">
        <v>45832</v>
      </c>
      <c r="D1274" t="inlineStr">
        <is>
          <t>NORRBOTTENS LÄN</t>
        </is>
      </c>
      <c r="E1274" t="inlineStr">
        <is>
          <t>BODEN</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41949-2024</t>
        </is>
      </c>
      <c r="B1275" s="1" t="n">
        <v>45561</v>
      </c>
      <c r="C1275" s="1" t="n">
        <v>45832</v>
      </c>
      <c r="D1275" t="inlineStr">
        <is>
          <t>NORRBOTTENS LÄN</t>
        </is>
      </c>
      <c r="E1275" t="inlineStr">
        <is>
          <t>BODEN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41957-2024</t>
        </is>
      </c>
      <c r="B1276" s="1" t="n">
        <v>45561</v>
      </c>
      <c r="C1276" s="1" t="n">
        <v>45832</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41947-2024</t>
        </is>
      </c>
      <c r="B1277" s="1" t="n">
        <v>45561</v>
      </c>
      <c r="C1277" s="1" t="n">
        <v>45832</v>
      </c>
      <c r="D1277" t="inlineStr">
        <is>
          <t>NORRBOTTENS LÄN</t>
        </is>
      </c>
      <c r="E1277" t="inlineStr">
        <is>
          <t>BODEN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41955-2024</t>
        </is>
      </c>
      <c r="B1278" s="1" t="n">
        <v>45561</v>
      </c>
      <c r="C1278" s="1" t="n">
        <v>45832</v>
      </c>
      <c r="D1278" t="inlineStr">
        <is>
          <t>NORRBOTTENS LÄN</t>
        </is>
      </c>
      <c r="E1278" t="inlineStr">
        <is>
          <t>BODEN</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41789-2024</t>
        </is>
      </c>
      <c r="B1279" s="1" t="n">
        <v>45561</v>
      </c>
      <c r="C1279" s="1" t="n">
        <v>45832</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42196-2024</t>
        </is>
      </c>
      <c r="B1280" s="1" t="n">
        <v>45562</v>
      </c>
      <c r="C1280" s="1" t="n">
        <v>45832</v>
      </c>
      <c r="D1280" t="inlineStr">
        <is>
          <t>NORRBOTTENS LÄN</t>
        </is>
      </c>
      <c r="E1280" t="inlineStr">
        <is>
          <t>BODEN</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43410-2024</t>
        </is>
      </c>
      <c r="B1281" s="1" t="n">
        <v>45568</v>
      </c>
      <c r="C1281" s="1" t="n">
        <v>45832</v>
      </c>
      <c r="D1281" t="inlineStr">
        <is>
          <t>NORRBOTTENS LÄN</t>
        </is>
      </c>
      <c r="E1281" t="inlineStr">
        <is>
          <t>BODEN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44153-2024</t>
        </is>
      </c>
      <c r="B1282" s="1" t="n">
        <v>45572</v>
      </c>
      <c r="C1282" s="1" t="n">
        <v>45832</v>
      </c>
      <c r="D1282" t="inlineStr">
        <is>
          <t>NORRBOTTENS LÄN</t>
        </is>
      </c>
      <c r="E1282" t="inlineStr">
        <is>
          <t>BODEN</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43941-2024</t>
        </is>
      </c>
      <c r="B1283" s="1" t="n">
        <v>45572</v>
      </c>
      <c r="C1283" s="1" t="n">
        <v>45832</v>
      </c>
      <c r="D1283" t="inlineStr">
        <is>
          <t>NORRBOTTENS LÄN</t>
        </is>
      </c>
      <c r="E1283" t="inlineStr">
        <is>
          <t>BODEN</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43920-2024</t>
        </is>
      </c>
      <c r="B1284" s="1" t="n">
        <v>45572</v>
      </c>
      <c r="C1284" s="1" t="n">
        <v>45832</v>
      </c>
      <c r="D1284" t="inlineStr">
        <is>
          <t>NORRBOTTENS LÄN</t>
        </is>
      </c>
      <c r="E1284" t="inlineStr">
        <is>
          <t>BODEN</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43969-2024</t>
        </is>
      </c>
      <c r="B1285" s="1" t="n">
        <v>45572</v>
      </c>
      <c r="C1285" s="1" t="n">
        <v>45832</v>
      </c>
      <c r="D1285" t="inlineStr">
        <is>
          <t>NORRBOTTENS LÄN</t>
        </is>
      </c>
      <c r="E1285" t="inlineStr">
        <is>
          <t>BODEN</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44567-2024</t>
        </is>
      </c>
      <c r="B1286" s="1" t="n">
        <v>45574</v>
      </c>
      <c r="C1286" s="1" t="n">
        <v>45832</v>
      </c>
      <c r="D1286" t="inlineStr">
        <is>
          <t>NORRBOTTENS LÄN</t>
        </is>
      </c>
      <c r="E1286" t="inlineStr">
        <is>
          <t>BODEN</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44553-2024</t>
        </is>
      </c>
      <c r="B1287" s="1" t="n">
        <v>45574</v>
      </c>
      <c r="C1287" s="1" t="n">
        <v>45832</v>
      </c>
      <c r="D1287" t="inlineStr">
        <is>
          <t>NORRBOTTENS LÄN</t>
        </is>
      </c>
      <c r="E1287" t="inlineStr">
        <is>
          <t>BODEN</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44625-2024</t>
        </is>
      </c>
      <c r="B1288" s="1" t="n">
        <v>45574</v>
      </c>
      <c r="C1288" s="1" t="n">
        <v>45832</v>
      </c>
      <c r="D1288" t="inlineStr">
        <is>
          <t>NORRBOTTENS LÄN</t>
        </is>
      </c>
      <c r="E1288" t="inlineStr">
        <is>
          <t>BODEN</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44708-2024</t>
        </is>
      </c>
      <c r="B1289" s="1" t="n">
        <v>45574</v>
      </c>
      <c r="C1289" s="1" t="n">
        <v>45832</v>
      </c>
      <c r="D1289" t="inlineStr">
        <is>
          <t>NORRBOTTENS LÄN</t>
        </is>
      </c>
      <c r="E1289" t="inlineStr">
        <is>
          <t>BODEN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45110-2024</t>
        </is>
      </c>
      <c r="B1290" s="1" t="n">
        <v>45575</v>
      </c>
      <c r="C1290" s="1" t="n">
        <v>45832</v>
      </c>
      <c r="D1290" t="inlineStr">
        <is>
          <t>NORRBOTTENS LÄN</t>
        </is>
      </c>
      <c r="E1290" t="inlineStr">
        <is>
          <t>BODEN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46367-2024</t>
        </is>
      </c>
      <c r="B1291" s="1" t="n">
        <v>45582</v>
      </c>
      <c r="C1291" s="1" t="n">
        <v>45832</v>
      </c>
      <c r="D1291" t="inlineStr">
        <is>
          <t>NORRBOTTENS LÄN</t>
        </is>
      </c>
      <c r="E1291" t="inlineStr">
        <is>
          <t>BODEN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46684-2024</t>
        </is>
      </c>
      <c r="B1292" s="1" t="n">
        <v>45583</v>
      </c>
      <c r="C1292" s="1" t="n">
        <v>45832</v>
      </c>
      <c r="D1292" t="inlineStr">
        <is>
          <t>NORRBOTTENS LÄN</t>
        </is>
      </c>
      <c r="E1292" t="inlineStr">
        <is>
          <t>BODEN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46844-2024</t>
        </is>
      </c>
      <c r="B1293" s="1" t="n">
        <v>45583</v>
      </c>
      <c r="C1293" s="1" t="n">
        <v>45832</v>
      </c>
      <c r="D1293" t="inlineStr">
        <is>
          <t>NORRBOTTENS LÄN</t>
        </is>
      </c>
      <c r="E1293" t="inlineStr">
        <is>
          <t>BODEN</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46901-2024</t>
        </is>
      </c>
      <c r="B1294" s="1" t="n">
        <v>45583</v>
      </c>
      <c r="C1294" s="1" t="n">
        <v>45832</v>
      </c>
      <c r="D1294" t="inlineStr">
        <is>
          <t>NORRBOTTENS LÄN</t>
        </is>
      </c>
      <c r="E1294" t="inlineStr">
        <is>
          <t>BODEN</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46900-2024</t>
        </is>
      </c>
      <c r="B1295" s="1" t="n">
        <v>45583</v>
      </c>
      <c r="C1295" s="1" t="n">
        <v>45832</v>
      </c>
      <c r="D1295" t="inlineStr">
        <is>
          <t>NORRBOTTENS LÄN</t>
        </is>
      </c>
      <c r="E1295" t="inlineStr">
        <is>
          <t>BODEN</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46903-2024</t>
        </is>
      </c>
      <c r="B1296" s="1" t="n">
        <v>45583</v>
      </c>
      <c r="C1296" s="1" t="n">
        <v>45832</v>
      </c>
      <c r="D1296" t="inlineStr">
        <is>
          <t>NORRBOTTENS LÄN</t>
        </is>
      </c>
      <c r="E1296" t="inlineStr">
        <is>
          <t>BODEN</t>
        </is>
      </c>
      <c r="F1296" t="inlineStr">
        <is>
          <t>SCA</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46975-2024</t>
        </is>
      </c>
      <c r="B1297" s="1" t="n">
        <v>45586</v>
      </c>
      <c r="C1297" s="1" t="n">
        <v>45832</v>
      </c>
      <c r="D1297" t="inlineStr">
        <is>
          <t>NORRBOTTENS LÄN</t>
        </is>
      </c>
      <c r="E1297" t="inlineStr">
        <is>
          <t>BODEN</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47024-2024</t>
        </is>
      </c>
      <c r="B1298" s="1" t="n">
        <v>45586</v>
      </c>
      <c r="C1298" s="1" t="n">
        <v>45832</v>
      </c>
      <c r="D1298" t="inlineStr">
        <is>
          <t>NORRBOTTENS LÄN</t>
        </is>
      </c>
      <c r="E1298" t="inlineStr">
        <is>
          <t>BODEN</t>
        </is>
      </c>
      <c r="F1298" t="inlineStr">
        <is>
          <t>Sveaskog</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46974-2024</t>
        </is>
      </c>
      <c r="B1299" s="1" t="n">
        <v>45586</v>
      </c>
      <c r="C1299" s="1" t="n">
        <v>45832</v>
      </c>
      <c r="D1299" t="inlineStr">
        <is>
          <t>NORRBOTTENS LÄN</t>
        </is>
      </c>
      <c r="E1299" t="inlineStr">
        <is>
          <t>BODEN</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47042-2024</t>
        </is>
      </c>
      <c r="B1300" s="1" t="n">
        <v>45586</v>
      </c>
      <c r="C1300" s="1" t="n">
        <v>45832</v>
      </c>
      <c r="D1300" t="inlineStr">
        <is>
          <t>NORRBOTTENS LÄN</t>
        </is>
      </c>
      <c r="E1300" t="inlineStr">
        <is>
          <t>BODEN</t>
        </is>
      </c>
      <c r="G1300" t="n">
        <v>27.9</v>
      </c>
      <c r="H1300" t="n">
        <v>0</v>
      </c>
      <c r="I1300" t="n">
        <v>0</v>
      </c>
      <c r="J1300" t="n">
        <v>0</v>
      </c>
      <c r="K1300" t="n">
        <v>0</v>
      </c>
      <c r="L1300" t="n">
        <v>0</v>
      </c>
      <c r="M1300" t="n">
        <v>0</v>
      </c>
      <c r="N1300" t="n">
        <v>0</v>
      </c>
      <c r="O1300" t="n">
        <v>0</v>
      </c>
      <c r="P1300" t="n">
        <v>0</v>
      </c>
      <c r="Q1300" t="n">
        <v>0</v>
      </c>
      <c r="R1300" s="2" t="inlineStr"/>
    </row>
    <row r="1301" ht="15" customHeight="1">
      <c r="A1301" t="inlineStr">
        <is>
          <t>A 47125-2024</t>
        </is>
      </c>
      <c r="B1301" s="1" t="n">
        <v>45586</v>
      </c>
      <c r="C1301" s="1" t="n">
        <v>45832</v>
      </c>
      <c r="D1301" t="inlineStr">
        <is>
          <t>NORRBOTTENS LÄN</t>
        </is>
      </c>
      <c r="E1301" t="inlineStr">
        <is>
          <t>BODEN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47423-2024</t>
        </is>
      </c>
      <c r="B1302" s="1" t="n">
        <v>45587</v>
      </c>
      <c r="C1302" s="1" t="n">
        <v>45832</v>
      </c>
      <c r="D1302" t="inlineStr">
        <is>
          <t>NORRBOTTENS LÄN</t>
        </is>
      </c>
      <c r="E1302" t="inlineStr">
        <is>
          <t>BODEN</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47424-2024</t>
        </is>
      </c>
      <c r="B1303" s="1" t="n">
        <v>45587</v>
      </c>
      <c r="C1303" s="1" t="n">
        <v>45832</v>
      </c>
      <c r="D1303" t="inlineStr">
        <is>
          <t>NORRBOTTENS LÄN</t>
        </is>
      </c>
      <c r="E1303" t="inlineStr">
        <is>
          <t>BODEN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48107-2024</t>
        </is>
      </c>
      <c r="B1304" s="1" t="n">
        <v>45589</v>
      </c>
      <c r="C1304" s="1" t="n">
        <v>45832</v>
      </c>
      <c r="D1304" t="inlineStr">
        <is>
          <t>NORRBOTTENS LÄN</t>
        </is>
      </c>
      <c r="E1304" t="inlineStr">
        <is>
          <t>BODEN</t>
        </is>
      </c>
      <c r="F1304" t="inlineStr">
        <is>
          <t>Övriga Aktiebolag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47922-2024</t>
        </is>
      </c>
      <c r="B1305" s="1" t="n">
        <v>45589</v>
      </c>
      <c r="C1305" s="1" t="n">
        <v>45832</v>
      </c>
      <c r="D1305" t="inlineStr">
        <is>
          <t>NORRBOTTENS LÄN</t>
        </is>
      </c>
      <c r="E1305" t="inlineStr">
        <is>
          <t>BODEN</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47926-2024</t>
        </is>
      </c>
      <c r="B1306" s="1" t="n">
        <v>45589</v>
      </c>
      <c r="C1306" s="1" t="n">
        <v>45832</v>
      </c>
      <c r="D1306" t="inlineStr">
        <is>
          <t>NORRBOTTENS LÄN</t>
        </is>
      </c>
      <c r="E1306" t="inlineStr">
        <is>
          <t>BODEN</t>
        </is>
      </c>
      <c r="F1306" t="inlineStr">
        <is>
          <t>Naturvårdsverket</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47929-2024</t>
        </is>
      </c>
      <c r="B1307" s="1" t="n">
        <v>45589</v>
      </c>
      <c r="C1307" s="1" t="n">
        <v>45832</v>
      </c>
      <c r="D1307" t="inlineStr">
        <is>
          <t>NORRBOTTENS LÄN</t>
        </is>
      </c>
      <c r="E1307" t="inlineStr">
        <is>
          <t>BODEN</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47924-2024</t>
        </is>
      </c>
      <c r="B1308" s="1" t="n">
        <v>45589</v>
      </c>
      <c r="C1308" s="1" t="n">
        <v>45832</v>
      </c>
      <c r="D1308" t="inlineStr">
        <is>
          <t>NORRBOTTENS LÄN</t>
        </is>
      </c>
      <c r="E1308" t="inlineStr">
        <is>
          <t>BODEN</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47920-2024</t>
        </is>
      </c>
      <c r="B1309" s="1" t="n">
        <v>45589</v>
      </c>
      <c r="C1309" s="1" t="n">
        <v>45832</v>
      </c>
      <c r="D1309" t="inlineStr">
        <is>
          <t>NORRBOTTENS LÄN</t>
        </is>
      </c>
      <c r="E1309" t="inlineStr">
        <is>
          <t>BODEN</t>
        </is>
      </c>
      <c r="F1309" t="inlineStr">
        <is>
          <t>Naturvårdsverket</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47927-2024</t>
        </is>
      </c>
      <c r="B1310" s="1" t="n">
        <v>45589</v>
      </c>
      <c r="C1310" s="1" t="n">
        <v>45832</v>
      </c>
      <c r="D1310" t="inlineStr">
        <is>
          <t>NORRBOTTENS LÄN</t>
        </is>
      </c>
      <c r="E1310" t="inlineStr">
        <is>
          <t>BODEN</t>
        </is>
      </c>
      <c r="F1310" t="inlineStr">
        <is>
          <t>Naturvårdsverket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48420-2024</t>
        </is>
      </c>
      <c r="B1311" s="1" t="n">
        <v>45590</v>
      </c>
      <c r="C1311" s="1" t="n">
        <v>45832</v>
      </c>
      <c r="D1311" t="inlineStr">
        <is>
          <t>NORRBOTTENS LÄN</t>
        </is>
      </c>
      <c r="E1311" t="inlineStr">
        <is>
          <t>BODEN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48426-2024</t>
        </is>
      </c>
      <c r="B1312" s="1" t="n">
        <v>45590</v>
      </c>
      <c r="C1312" s="1" t="n">
        <v>45832</v>
      </c>
      <c r="D1312" t="inlineStr">
        <is>
          <t>NORRBOTTENS LÄN</t>
        </is>
      </c>
      <c r="E1312" t="inlineStr">
        <is>
          <t>BODEN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48431-2024</t>
        </is>
      </c>
      <c r="B1313" s="1" t="n">
        <v>45590</v>
      </c>
      <c r="C1313" s="1" t="n">
        <v>45832</v>
      </c>
      <c r="D1313" t="inlineStr">
        <is>
          <t>NORRBOTTENS LÄN</t>
        </is>
      </c>
      <c r="E1313" t="inlineStr">
        <is>
          <t>BODEN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48433-2024</t>
        </is>
      </c>
      <c r="B1314" s="1" t="n">
        <v>45590</v>
      </c>
      <c r="C1314" s="1" t="n">
        <v>45832</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48427-2024</t>
        </is>
      </c>
      <c r="B1315" s="1" t="n">
        <v>45590</v>
      </c>
      <c r="C1315" s="1" t="n">
        <v>45832</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48415-2024</t>
        </is>
      </c>
      <c r="B1316" s="1" t="n">
        <v>45590</v>
      </c>
      <c r="C1316" s="1" t="n">
        <v>45832</v>
      </c>
      <c r="D1316" t="inlineStr">
        <is>
          <t>NORRBOTTENS LÄN</t>
        </is>
      </c>
      <c r="E1316" t="inlineStr">
        <is>
          <t>BODEN</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48471-2024</t>
        </is>
      </c>
      <c r="B1317" s="1" t="n">
        <v>45591</v>
      </c>
      <c r="C1317" s="1" t="n">
        <v>45832</v>
      </c>
      <c r="D1317" t="inlineStr">
        <is>
          <t>NORRBOTTENS LÄN</t>
        </is>
      </c>
      <c r="E1317" t="inlineStr">
        <is>
          <t>BODEN</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48472-2024</t>
        </is>
      </c>
      <c r="B1318" s="1" t="n">
        <v>45591</v>
      </c>
      <c r="C1318" s="1" t="n">
        <v>45832</v>
      </c>
      <c r="D1318" t="inlineStr">
        <is>
          <t>NORRBOTTENS LÄN</t>
        </is>
      </c>
      <c r="E1318" t="inlineStr">
        <is>
          <t>BODEN</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48592-2024</t>
        </is>
      </c>
      <c r="B1319" s="1" t="n">
        <v>45593</v>
      </c>
      <c r="C1319" s="1" t="n">
        <v>45832</v>
      </c>
      <c r="D1319" t="inlineStr">
        <is>
          <t>NORRBOTTENS LÄN</t>
        </is>
      </c>
      <c r="E1319" t="inlineStr">
        <is>
          <t>BODEN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48942-2024</t>
        </is>
      </c>
      <c r="B1320" s="1" t="n">
        <v>45594</v>
      </c>
      <c r="C1320" s="1" t="n">
        <v>45832</v>
      </c>
      <c r="D1320" t="inlineStr">
        <is>
          <t>NORRBOTTENS LÄN</t>
        </is>
      </c>
      <c r="E1320" t="inlineStr">
        <is>
          <t>BODEN</t>
        </is>
      </c>
      <c r="F1320" t="inlineStr">
        <is>
          <t>Övriga Aktiebolag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49994-2024</t>
        </is>
      </c>
      <c r="B1321" s="1" t="n">
        <v>45594</v>
      </c>
      <c r="C1321" s="1" t="n">
        <v>45832</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48945-2024</t>
        </is>
      </c>
      <c r="B1322" s="1" t="n">
        <v>45594</v>
      </c>
      <c r="C1322" s="1" t="n">
        <v>45832</v>
      </c>
      <c r="D1322" t="inlineStr">
        <is>
          <t>NORRBOTTENS LÄN</t>
        </is>
      </c>
      <c r="E1322" t="inlineStr">
        <is>
          <t>BODEN</t>
        </is>
      </c>
      <c r="F1322" t="inlineStr">
        <is>
          <t>Övriga Aktiebolag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48981-2024</t>
        </is>
      </c>
      <c r="B1323" s="1" t="n">
        <v>45594</v>
      </c>
      <c r="C1323" s="1" t="n">
        <v>45832</v>
      </c>
      <c r="D1323" t="inlineStr">
        <is>
          <t>NORRBOTTENS LÄN</t>
        </is>
      </c>
      <c r="E1323" t="inlineStr">
        <is>
          <t>BODEN</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49273-2024</t>
        </is>
      </c>
      <c r="B1324" s="1" t="n">
        <v>45595</v>
      </c>
      <c r="C1324" s="1" t="n">
        <v>45832</v>
      </c>
      <c r="D1324" t="inlineStr">
        <is>
          <t>NORRBOTTENS LÄN</t>
        </is>
      </c>
      <c r="E1324" t="inlineStr">
        <is>
          <t>BODEN</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49728-2024</t>
        </is>
      </c>
      <c r="B1325" s="1" t="n">
        <v>45596</v>
      </c>
      <c r="C1325" s="1" t="n">
        <v>45832</v>
      </c>
      <c r="D1325" t="inlineStr">
        <is>
          <t>NORRBOTTENS LÄN</t>
        </is>
      </c>
      <c r="E1325" t="inlineStr">
        <is>
          <t>BODEN</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49729-2024</t>
        </is>
      </c>
      <c r="B1326" s="1" t="n">
        <v>45596</v>
      </c>
      <c r="C1326" s="1" t="n">
        <v>45832</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49730-2024</t>
        </is>
      </c>
      <c r="B1327" s="1" t="n">
        <v>45596</v>
      </c>
      <c r="C1327" s="1" t="n">
        <v>45832</v>
      </c>
      <c r="D1327" t="inlineStr">
        <is>
          <t>NORRBOTTENS LÄN</t>
        </is>
      </c>
      <c r="E1327" t="inlineStr">
        <is>
          <t>BODEN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50103-2024</t>
        </is>
      </c>
      <c r="B1328" s="1" t="n">
        <v>45600</v>
      </c>
      <c r="C1328" s="1" t="n">
        <v>45832</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50107-2024</t>
        </is>
      </c>
      <c r="B1329" s="1" t="n">
        <v>45600</v>
      </c>
      <c r="C1329" s="1" t="n">
        <v>45832</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50085-2024</t>
        </is>
      </c>
      <c r="B1330" s="1" t="n">
        <v>45600</v>
      </c>
      <c r="C1330" s="1" t="n">
        <v>45832</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50114-2024</t>
        </is>
      </c>
      <c r="B1331" s="1" t="n">
        <v>45600</v>
      </c>
      <c r="C1331" s="1" t="n">
        <v>45832</v>
      </c>
      <c r="D1331" t="inlineStr">
        <is>
          <t>NORRBOTTENS LÄN</t>
        </is>
      </c>
      <c r="E1331" t="inlineStr">
        <is>
          <t>BODEN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50253-2024</t>
        </is>
      </c>
      <c r="B1332" s="1" t="n">
        <v>45600</v>
      </c>
      <c r="C1332" s="1" t="n">
        <v>45832</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50505-2024</t>
        </is>
      </c>
      <c r="B1333" s="1" t="n">
        <v>45601</v>
      </c>
      <c r="C1333" s="1" t="n">
        <v>45832</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51294-2024</t>
        </is>
      </c>
      <c r="B1334" s="1" t="n">
        <v>45603</v>
      </c>
      <c r="C1334" s="1" t="n">
        <v>45832</v>
      </c>
      <c r="D1334" t="inlineStr">
        <is>
          <t>NORRBOTTENS LÄN</t>
        </is>
      </c>
      <c r="E1334" t="inlineStr">
        <is>
          <t>BODEN</t>
        </is>
      </c>
      <c r="G1334" t="n">
        <v>17.3</v>
      </c>
      <c r="H1334" t="n">
        <v>0</v>
      </c>
      <c r="I1334" t="n">
        <v>0</v>
      </c>
      <c r="J1334" t="n">
        <v>0</v>
      </c>
      <c r="K1334" t="n">
        <v>0</v>
      </c>
      <c r="L1334" t="n">
        <v>0</v>
      </c>
      <c r="M1334" t="n">
        <v>0</v>
      </c>
      <c r="N1334" t="n">
        <v>0</v>
      </c>
      <c r="O1334" t="n">
        <v>0</v>
      </c>
      <c r="P1334" t="n">
        <v>0</v>
      </c>
      <c r="Q1334" t="n">
        <v>0</v>
      </c>
      <c r="R1334" s="2" t="inlineStr"/>
    </row>
    <row r="1335" ht="15" customHeight="1">
      <c r="A1335" t="inlineStr">
        <is>
          <t>A 51279-2024</t>
        </is>
      </c>
      <c r="B1335" s="1" t="n">
        <v>45603</v>
      </c>
      <c r="C1335" s="1" t="n">
        <v>45832</v>
      </c>
      <c r="D1335" t="inlineStr">
        <is>
          <t>NORRBOTTENS LÄN</t>
        </is>
      </c>
      <c r="E1335" t="inlineStr">
        <is>
          <t>BODEN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51280-2024</t>
        </is>
      </c>
      <c r="B1336" s="1" t="n">
        <v>45603</v>
      </c>
      <c r="C1336" s="1" t="n">
        <v>45832</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51607-2024</t>
        </is>
      </c>
      <c r="B1337" s="1" t="n">
        <v>45604</v>
      </c>
      <c r="C1337" s="1" t="n">
        <v>45832</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51614-2024</t>
        </is>
      </c>
      <c r="B1338" s="1" t="n">
        <v>45604</v>
      </c>
      <c r="C1338" s="1" t="n">
        <v>45832</v>
      </c>
      <c r="D1338" t="inlineStr">
        <is>
          <t>NORRBOTTENS LÄN</t>
        </is>
      </c>
      <c r="E1338" t="inlineStr">
        <is>
          <t>BODEN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52248-2024</t>
        </is>
      </c>
      <c r="B1339" s="1" t="n">
        <v>45608</v>
      </c>
      <c r="C1339" s="1" t="n">
        <v>45832</v>
      </c>
      <c r="D1339" t="inlineStr">
        <is>
          <t>NORRBOTTENS LÄN</t>
        </is>
      </c>
      <c r="E1339" t="inlineStr">
        <is>
          <t>BODEN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52247-2024</t>
        </is>
      </c>
      <c r="B1340" s="1" t="n">
        <v>45608</v>
      </c>
      <c r="C1340" s="1" t="n">
        <v>45832</v>
      </c>
      <c r="D1340" t="inlineStr">
        <is>
          <t>NORRBOTTENS LÄN</t>
        </is>
      </c>
      <c r="E1340" t="inlineStr">
        <is>
          <t>BODEN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52246-2024</t>
        </is>
      </c>
      <c r="B1341" s="1" t="n">
        <v>45608</v>
      </c>
      <c r="C1341" s="1" t="n">
        <v>45832</v>
      </c>
      <c r="D1341" t="inlineStr">
        <is>
          <t>NORRBOTTENS LÄN</t>
        </is>
      </c>
      <c r="E1341" t="inlineStr">
        <is>
          <t>BODEN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53630-2024</t>
        </is>
      </c>
      <c r="B1342" s="1" t="n">
        <v>45614</v>
      </c>
      <c r="C1342" s="1" t="n">
        <v>45832</v>
      </c>
      <c r="D1342" t="inlineStr">
        <is>
          <t>NORRBOTTENS LÄN</t>
        </is>
      </c>
      <c r="E1342" t="inlineStr">
        <is>
          <t>BODEN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54067-2024</t>
        </is>
      </c>
      <c r="B1343" s="1" t="n">
        <v>45616</v>
      </c>
      <c r="C1343" s="1" t="n">
        <v>45832</v>
      </c>
      <c r="D1343" t="inlineStr">
        <is>
          <t>NORRBOTTENS LÄN</t>
        </is>
      </c>
      <c r="E1343" t="inlineStr">
        <is>
          <t>BODEN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54060-2024</t>
        </is>
      </c>
      <c r="B1344" s="1" t="n">
        <v>45616</v>
      </c>
      <c r="C1344" s="1" t="n">
        <v>45832</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54722-2024</t>
        </is>
      </c>
      <c r="B1345" s="1" t="n">
        <v>45618</v>
      </c>
      <c r="C1345" s="1" t="n">
        <v>45832</v>
      </c>
      <c r="D1345" t="inlineStr">
        <is>
          <t>NORRBOTTENS LÄN</t>
        </is>
      </c>
      <c r="E1345" t="inlineStr">
        <is>
          <t>BODEN</t>
        </is>
      </c>
      <c r="F1345" t="inlineStr">
        <is>
          <t>Naturvårdsverket</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54718-2024</t>
        </is>
      </c>
      <c r="B1346" s="1" t="n">
        <v>45618</v>
      </c>
      <c r="C1346" s="1" t="n">
        <v>45832</v>
      </c>
      <c r="D1346" t="inlineStr">
        <is>
          <t>NORRBOTTENS LÄN</t>
        </is>
      </c>
      <c r="E1346" t="inlineStr">
        <is>
          <t>BODEN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54765-2024</t>
        </is>
      </c>
      <c r="B1347" s="1" t="n">
        <v>45618</v>
      </c>
      <c r="C1347" s="1" t="n">
        <v>45832</v>
      </c>
      <c r="D1347" t="inlineStr">
        <is>
          <t>NORRBOTTENS LÄN</t>
        </is>
      </c>
      <c r="E1347" t="inlineStr">
        <is>
          <t>BODEN</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55779-2024</t>
        </is>
      </c>
      <c r="B1348" s="1" t="n">
        <v>45623</v>
      </c>
      <c r="C1348" s="1" t="n">
        <v>45832</v>
      </c>
      <c r="D1348" t="inlineStr">
        <is>
          <t>NORRBOTTENS LÄN</t>
        </is>
      </c>
      <c r="E1348" t="inlineStr">
        <is>
          <t>BODEN</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56139-2024</t>
        </is>
      </c>
      <c r="B1349" s="1" t="n">
        <v>45624</v>
      </c>
      <c r="C1349" s="1" t="n">
        <v>45832</v>
      </c>
      <c r="D1349" t="inlineStr">
        <is>
          <t>NORRBOTTENS LÄN</t>
        </is>
      </c>
      <c r="E1349" t="inlineStr">
        <is>
          <t>BODEN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56457-2024</t>
        </is>
      </c>
      <c r="B1350" s="1" t="n">
        <v>45625</v>
      </c>
      <c r="C1350" s="1" t="n">
        <v>45832</v>
      </c>
      <c r="D1350" t="inlineStr">
        <is>
          <t>NORRBOTTENS LÄN</t>
        </is>
      </c>
      <c r="E1350" t="inlineStr">
        <is>
          <t>BODEN</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56581-2024</t>
        </is>
      </c>
      <c r="B1351" s="1" t="n">
        <v>45625</v>
      </c>
      <c r="C1351" s="1" t="n">
        <v>45832</v>
      </c>
      <c r="D1351" t="inlineStr">
        <is>
          <t>NORRBOTTENS LÄN</t>
        </is>
      </c>
      <c r="E1351" t="inlineStr">
        <is>
          <t>BODEN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56711-2024</t>
        </is>
      </c>
      <c r="B1352" s="1" t="n">
        <v>45628</v>
      </c>
      <c r="C1352" s="1" t="n">
        <v>45832</v>
      </c>
      <c r="D1352" t="inlineStr">
        <is>
          <t>NORRBOTTENS LÄN</t>
        </is>
      </c>
      <c r="E1352" t="inlineStr">
        <is>
          <t>BODEN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57062-2024</t>
        </is>
      </c>
      <c r="B1353" s="1" t="n">
        <v>45629</v>
      </c>
      <c r="C1353" s="1" t="n">
        <v>45832</v>
      </c>
      <c r="D1353" t="inlineStr">
        <is>
          <t>NORRBOTTENS LÄN</t>
        </is>
      </c>
      <c r="E1353" t="inlineStr">
        <is>
          <t>BODEN</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57691-2024</t>
        </is>
      </c>
      <c r="B1354" s="1" t="n">
        <v>45630</v>
      </c>
      <c r="C1354" s="1" t="n">
        <v>45832</v>
      </c>
      <c r="D1354" t="inlineStr">
        <is>
          <t>NORRBOTTENS LÄN</t>
        </is>
      </c>
      <c r="E1354" t="inlineStr">
        <is>
          <t>BODEN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57713-2024</t>
        </is>
      </c>
      <c r="B1355" s="1" t="n">
        <v>45630</v>
      </c>
      <c r="C1355" s="1" t="n">
        <v>45832</v>
      </c>
      <c r="D1355" t="inlineStr">
        <is>
          <t>NORRBOTTENS LÄN</t>
        </is>
      </c>
      <c r="E1355" t="inlineStr">
        <is>
          <t>BODEN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58363-2024</t>
        </is>
      </c>
      <c r="B1356" s="1" t="n">
        <v>45632</v>
      </c>
      <c r="C1356" s="1" t="n">
        <v>45832</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58291-2024</t>
        </is>
      </c>
      <c r="B1357" s="1" t="n">
        <v>45632</v>
      </c>
      <c r="C1357" s="1" t="n">
        <v>45832</v>
      </c>
      <c r="D1357" t="inlineStr">
        <is>
          <t>NORRBOTTENS LÄN</t>
        </is>
      </c>
      <c r="E1357" t="inlineStr">
        <is>
          <t>BODEN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58500-2024</t>
        </is>
      </c>
      <c r="B1358" s="1" t="n">
        <v>45635</v>
      </c>
      <c r="C1358" s="1" t="n">
        <v>45832</v>
      </c>
      <c r="D1358" t="inlineStr">
        <is>
          <t>NORRBOTTENS LÄN</t>
        </is>
      </c>
      <c r="E1358" t="inlineStr">
        <is>
          <t>BODEN</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58504-2024</t>
        </is>
      </c>
      <c r="B1359" s="1" t="n">
        <v>45635</v>
      </c>
      <c r="C1359" s="1" t="n">
        <v>45832</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58506-2024</t>
        </is>
      </c>
      <c r="B1360" s="1" t="n">
        <v>45635</v>
      </c>
      <c r="C1360" s="1" t="n">
        <v>45832</v>
      </c>
      <c r="D1360" t="inlineStr">
        <is>
          <t>NORRBOTTENS LÄN</t>
        </is>
      </c>
      <c r="E1360" t="inlineStr">
        <is>
          <t>BODEN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59435-2024</t>
        </is>
      </c>
      <c r="B1361" s="1" t="n">
        <v>45638</v>
      </c>
      <c r="C1361" s="1" t="n">
        <v>45832</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59722-2024</t>
        </is>
      </c>
      <c r="B1362" s="1" t="n">
        <v>45639</v>
      </c>
      <c r="C1362" s="1" t="n">
        <v>45832</v>
      </c>
      <c r="D1362" t="inlineStr">
        <is>
          <t>NORRBOTTENS LÄN</t>
        </is>
      </c>
      <c r="E1362" t="inlineStr">
        <is>
          <t>BODEN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60085-2024</t>
        </is>
      </c>
      <c r="B1363" s="1" t="n">
        <v>45639</v>
      </c>
      <c r="C1363" s="1" t="n">
        <v>45832</v>
      </c>
      <c r="D1363" t="inlineStr">
        <is>
          <t>NORRBOTTENS LÄN</t>
        </is>
      </c>
      <c r="E1363" t="inlineStr">
        <is>
          <t>BODEN</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60587-2024</t>
        </is>
      </c>
      <c r="B1364" s="1" t="n">
        <v>45642</v>
      </c>
      <c r="C1364" s="1" t="n">
        <v>45832</v>
      </c>
      <c r="D1364" t="inlineStr">
        <is>
          <t>NORRBOTTENS LÄN</t>
        </is>
      </c>
      <c r="E1364" t="inlineStr">
        <is>
          <t>BODEN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60337-2024</t>
        </is>
      </c>
      <c r="B1365" s="1" t="n">
        <v>45643</v>
      </c>
      <c r="C1365" s="1" t="n">
        <v>45832</v>
      </c>
      <c r="D1365" t="inlineStr">
        <is>
          <t>NORRBOTTENS LÄN</t>
        </is>
      </c>
      <c r="E1365" t="inlineStr">
        <is>
          <t>BODEN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60466-2024</t>
        </is>
      </c>
      <c r="B1366" s="1" t="n">
        <v>45643</v>
      </c>
      <c r="C1366" s="1" t="n">
        <v>45832</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60526-2024</t>
        </is>
      </c>
      <c r="B1367" s="1" t="n">
        <v>45643</v>
      </c>
      <c r="C1367" s="1" t="n">
        <v>45832</v>
      </c>
      <c r="D1367" t="inlineStr">
        <is>
          <t>NORRBOTTENS LÄN</t>
        </is>
      </c>
      <c r="E1367" t="inlineStr">
        <is>
          <t>BODEN</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60804-2024</t>
        </is>
      </c>
      <c r="B1368" s="1" t="n">
        <v>45644</v>
      </c>
      <c r="C1368" s="1" t="n">
        <v>45832</v>
      </c>
      <c r="D1368" t="inlineStr">
        <is>
          <t>NORRBOTTENS LÄN</t>
        </is>
      </c>
      <c r="E1368" t="inlineStr">
        <is>
          <t>BODEN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61128-2024</t>
        </is>
      </c>
      <c r="B1369" s="1" t="n">
        <v>45645</v>
      </c>
      <c r="C1369" s="1" t="n">
        <v>45832</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61031-2024</t>
        </is>
      </c>
      <c r="B1370" s="1" t="n">
        <v>45645</v>
      </c>
      <c r="C1370" s="1" t="n">
        <v>45832</v>
      </c>
      <c r="D1370" t="inlineStr">
        <is>
          <t>NORRBOTTENS LÄN</t>
        </is>
      </c>
      <c r="E1370" t="inlineStr">
        <is>
          <t>BODEN</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61210-2024</t>
        </is>
      </c>
      <c r="B1371" s="1" t="n">
        <v>45645</v>
      </c>
      <c r="C1371" s="1" t="n">
        <v>45832</v>
      </c>
      <c r="D1371" t="inlineStr">
        <is>
          <t>NORRBOTTENS LÄN</t>
        </is>
      </c>
      <c r="E1371" t="inlineStr">
        <is>
          <t>BODEN</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61214-2024</t>
        </is>
      </c>
      <c r="B1372" s="1" t="n">
        <v>45645</v>
      </c>
      <c r="C1372" s="1" t="n">
        <v>45832</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61162-2024</t>
        </is>
      </c>
      <c r="B1373" s="1" t="n">
        <v>45645</v>
      </c>
      <c r="C1373" s="1" t="n">
        <v>45832</v>
      </c>
      <c r="D1373" t="inlineStr">
        <is>
          <t>NORRBOTTENS LÄN</t>
        </is>
      </c>
      <c r="E1373" t="inlineStr">
        <is>
          <t>BODEN</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61513-2024</t>
        </is>
      </c>
      <c r="B1374" s="1" t="n">
        <v>45646</v>
      </c>
      <c r="C1374" s="1" t="n">
        <v>45832</v>
      </c>
      <c r="D1374" t="inlineStr">
        <is>
          <t>NORRBOTTENS LÄN</t>
        </is>
      </c>
      <c r="E1374" t="inlineStr">
        <is>
          <t>BODEN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61570-2024</t>
        </is>
      </c>
      <c r="B1375" s="1" t="n">
        <v>45646</v>
      </c>
      <c r="C1375" s="1" t="n">
        <v>45832</v>
      </c>
      <c r="D1375" t="inlineStr">
        <is>
          <t>NORRBOTTENS LÄN</t>
        </is>
      </c>
      <c r="E1375" t="inlineStr">
        <is>
          <t>BODEN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61568-2024</t>
        </is>
      </c>
      <c r="B1376" s="1" t="n">
        <v>45646</v>
      </c>
      <c r="C1376" s="1" t="n">
        <v>45832</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61588-2024</t>
        </is>
      </c>
      <c r="B1377" s="1" t="n">
        <v>45646</v>
      </c>
      <c r="C1377" s="1" t="n">
        <v>45832</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61603-2024</t>
        </is>
      </c>
      <c r="B1378" s="1" t="n">
        <v>45646</v>
      </c>
      <c r="C1378" s="1" t="n">
        <v>45832</v>
      </c>
      <c r="D1378" t="inlineStr">
        <is>
          <t>NORRBOTTENS LÄN</t>
        </is>
      </c>
      <c r="E1378" t="inlineStr">
        <is>
          <t>BODEN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61630-2024</t>
        </is>
      </c>
      <c r="B1379" s="1" t="n">
        <v>45646</v>
      </c>
      <c r="C1379" s="1" t="n">
        <v>45832</v>
      </c>
      <c r="D1379" t="inlineStr">
        <is>
          <t>NORRBOTTENS LÄN</t>
        </is>
      </c>
      <c r="E1379" t="inlineStr">
        <is>
          <t>BODEN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61632-2024</t>
        </is>
      </c>
      <c r="B1380" s="1" t="n">
        <v>45646</v>
      </c>
      <c r="C1380" s="1" t="n">
        <v>45832</v>
      </c>
      <c r="D1380" t="inlineStr">
        <is>
          <t>NORRBOTTENS LÄN</t>
        </is>
      </c>
      <c r="E1380" t="inlineStr">
        <is>
          <t>BODEN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62140-2024</t>
        </is>
      </c>
      <c r="B1381" s="1" t="n">
        <v>45646</v>
      </c>
      <c r="C1381" s="1" t="n">
        <v>45832</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61583-2024</t>
        </is>
      </c>
      <c r="B1382" s="1" t="n">
        <v>45646</v>
      </c>
      <c r="C1382" s="1" t="n">
        <v>45832</v>
      </c>
      <c r="D1382" t="inlineStr">
        <is>
          <t>NORRBOTTENS LÄN</t>
        </is>
      </c>
      <c r="E1382" t="inlineStr">
        <is>
          <t>BODEN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61587-2024</t>
        </is>
      </c>
      <c r="B1383" s="1" t="n">
        <v>45646</v>
      </c>
      <c r="C1383" s="1" t="n">
        <v>45832</v>
      </c>
      <c r="D1383" t="inlineStr">
        <is>
          <t>NORRBOTTENS LÄN</t>
        </is>
      </c>
      <c r="E1383" t="inlineStr">
        <is>
          <t>BODEN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61600-2024</t>
        </is>
      </c>
      <c r="B1384" s="1" t="n">
        <v>45646</v>
      </c>
      <c r="C1384" s="1" t="n">
        <v>45832</v>
      </c>
      <c r="D1384" t="inlineStr">
        <is>
          <t>NORRBOTTENS LÄN</t>
        </is>
      </c>
      <c r="E1384" t="inlineStr">
        <is>
          <t>BODEN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61617-2024</t>
        </is>
      </c>
      <c r="B1385" s="1" t="n">
        <v>45646</v>
      </c>
      <c r="C1385" s="1" t="n">
        <v>45832</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62137-2024</t>
        </is>
      </c>
      <c r="B1386" s="1" t="n">
        <v>45646</v>
      </c>
      <c r="C1386" s="1" t="n">
        <v>45832</v>
      </c>
      <c r="D1386" t="inlineStr">
        <is>
          <t>NORRBOTTENS LÄN</t>
        </is>
      </c>
      <c r="E1386" t="inlineStr">
        <is>
          <t>BODEN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61743-2024</t>
        </is>
      </c>
      <c r="B1387" s="1" t="n">
        <v>45649</v>
      </c>
      <c r="C1387" s="1" t="n">
        <v>45832</v>
      </c>
      <c r="D1387" t="inlineStr">
        <is>
          <t>NORRBOTTENS LÄN</t>
        </is>
      </c>
      <c r="E1387" t="inlineStr">
        <is>
          <t>BODEN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61771-2024</t>
        </is>
      </c>
      <c r="B1388" s="1" t="n">
        <v>45649</v>
      </c>
      <c r="C1388" s="1" t="n">
        <v>45832</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184-2025</t>
        </is>
      </c>
      <c r="B1389" s="1" t="n">
        <v>45649</v>
      </c>
      <c r="C1389" s="1" t="n">
        <v>45832</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61772-2024</t>
        </is>
      </c>
      <c r="B1390" s="1" t="n">
        <v>45649</v>
      </c>
      <c r="C1390" s="1" t="n">
        <v>45832</v>
      </c>
      <c r="D1390" t="inlineStr">
        <is>
          <t>NORRBOTTENS LÄN</t>
        </is>
      </c>
      <c r="E1390" t="inlineStr">
        <is>
          <t>BODEN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61768-2024</t>
        </is>
      </c>
      <c r="B1391" s="1" t="n">
        <v>45649</v>
      </c>
      <c r="C1391" s="1" t="n">
        <v>45832</v>
      </c>
      <c r="D1391" t="inlineStr">
        <is>
          <t>NORRBOTTENS LÄN</t>
        </is>
      </c>
      <c r="E1391" t="inlineStr">
        <is>
          <t>BODEN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61756-2024</t>
        </is>
      </c>
      <c r="B1392" s="1" t="n">
        <v>45649</v>
      </c>
      <c r="C1392" s="1" t="n">
        <v>45832</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61748-2024</t>
        </is>
      </c>
      <c r="B1393" s="1" t="n">
        <v>45649</v>
      </c>
      <c r="C1393" s="1" t="n">
        <v>45832</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185-2025</t>
        </is>
      </c>
      <c r="B1394" s="1" t="n">
        <v>45649</v>
      </c>
      <c r="C1394" s="1" t="n">
        <v>45832</v>
      </c>
      <c r="D1394" t="inlineStr">
        <is>
          <t>NORRBOTTENS LÄN</t>
        </is>
      </c>
      <c r="E1394" t="inlineStr">
        <is>
          <t>BODEN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61770-2024</t>
        </is>
      </c>
      <c r="B1395" s="1" t="n">
        <v>45649</v>
      </c>
      <c r="C1395" s="1" t="n">
        <v>45832</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61750-2024</t>
        </is>
      </c>
      <c r="B1396" s="1" t="n">
        <v>45649</v>
      </c>
      <c r="C1396" s="1" t="n">
        <v>45832</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61773-2024</t>
        </is>
      </c>
      <c r="B1397" s="1" t="n">
        <v>45649</v>
      </c>
      <c r="C1397" s="1" t="n">
        <v>45832</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61757-2024</t>
        </is>
      </c>
      <c r="B1398" s="1" t="n">
        <v>45649</v>
      </c>
      <c r="C1398" s="1" t="n">
        <v>45832</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61911-2024</t>
        </is>
      </c>
      <c r="B1399" s="1" t="n">
        <v>45653</v>
      </c>
      <c r="C1399" s="1" t="n">
        <v>45832</v>
      </c>
      <c r="D1399" t="inlineStr">
        <is>
          <t>NORRBOTTENS LÄN</t>
        </is>
      </c>
      <c r="E1399" t="inlineStr">
        <is>
          <t>BODEN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61930-2024</t>
        </is>
      </c>
      <c r="B1400" s="1" t="n">
        <v>45653</v>
      </c>
      <c r="C1400" s="1" t="n">
        <v>45832</v>
      </c>
      <c r="D1400" t="inlineStr">
        <is>
          <t>NORRBOTTENS LÄN</t>
        </is>
      </c>
      <c r="E1400" t="inlineStr">
        <is>
          <t>BODEN</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61936-2024</t>
        </is>
      </c>
      <c r="B1401" s="1" t="n">
        <v>45653</v>
      </c>
      <c r="C1401" s="1" t="n">
        <v>45832</v>
      </c>
      <c r="D1401" t="inlineStr">
        <is>
          <t>NORRBOTTENS LÄN</t>
        </is>
      </c>
      <c r="E1401" t="inlineStr">
        <is>
          <t>BODEN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61949-2024</t>
        </is>
      </c>
      <c r="B1402" s="1" t="n">
        <v>45653</v>
      </c>
      <c r="C1402" s="1" t="n">
        <v>45832</v>
      </c>
      <c r="D1402" t="inlineStr">
        <is>
          <t>NORRBOTTENS LÄN</t>
        </is>
      </c>
      <c r="E1402" t="inlineStr">
        <is>
          <t>BODEN</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61969-2024</t>
        </is>
      </c>
      <c r="B1403" s="1" t="n">
        <v>45653</v>
      </c>
      <c r="C1403" s="1" t="n">
        <v>45832</v>
      </c>
      <c r="D1403" t="inlineStr">
        <is>
          <t>NORRBOTTENS LÄN</t>
        </is>
      </c>
      <c r="E1403" t="inlineStr">
        <is>
          <t>BODEN</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61932-2024</t>
        </is>
      </c>
      <c r="B1404" s="1" t="n">
        <v>45653</v>
      </c>
      <c r="C1404" s="1" t="n">
        <v>45832</v>
      </c>
      <c r="D1404" t="inlineStr">
        <is>
          <t>NORRBOTTENS LÄN</t>
        </is>
      </c>
      <c r="E1404" t="inlineStr">
        <is>
          <t>BODEN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61941-2024</t>
        </is>
      </c>
      <c r="B1405" s="1" t="n">
        <v>45653</v>
      </c>
      <c r="C1405" s="1" t="n">
        <v>45832</v>
      </c>
      <c r="D1405" t="inlineStr">
        <is>
          <t>NORRBOTTENS LÄN</t>
        </is>
      </c>
      <c r="E1405" t="inlineStr">
        <is>
          <t>BODEN</t>
        </is>
      </c>
      <c r="G1405" t="n">
        <v>17.6</v>
      </c>
      <c r="H1405" t="n">
        <v>0</v>
      </c>
      <c r="I1405" t="n">
        <v>0</v>
      </c>
      <c r="J1405" t="n">
        <v>0</v>
      </c>
      <c r="K1405" t="n">
        <v>0</v>
      </c>
      <c r="L1405" t="n">
        <v>0</v>
      </c>
      <c r="M1405" t="n">
        <v>0</v>
      </c>
      <c r="N1405" t="n">
        <v>0</v>
      </c>
      <c r="O1405" t="n">
        <v>0</v>
      </c>
      <c r="P1405" t="n">
        <v>0</v>
      </c>
      <c r="Q1405" t="n">
        <v>0</v>
      </c>
      <c r="R1405" s="2" t="inlineStr"/>
    </row>
    <row r="1406" ht="15" customHeight="1">
      <c r="A1406" t="inlineStr">
        <is>
          <t>A 61917-2024</t>
        </is>
      </c>
      <c r="B1406" s="1" t="n">
        <v>45653</v>
      </c>
      <c r="C1406" s="1" t="n">
        <v>45832</v>
      </c>
      <c r="D1406" t="inlineStr">
        <is>
          <t>NORRBOTTENS LÄN</t>
        </is>
      </c>
      <c r="E1406" t="inlineStr">
        <is>
          <t>BODEN</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61921-2024</t>
        </is>
      </c>
      <c r="B1407" s="1" t="n">
        <v>45653</v>
      </c>
      <c r="C1407" s="1" t="n">
        <v>45832</v>
      </c>
      <c r="D1407" t="inlineStr">
        <is>
          <t>NORRBOTTENS LÄN</t>
        </is>
      </c>
      <c r="E1407" t="inlineStr">
        <is>
          <t>BODEN</t>
        </is>
      </c>
      <c r="G1407" t="n">
        <v>61.4</v>
      </c>
      <c r="H1407" t="n">
        <v>0</v>
      </c>
      <c r="I1407" t="n">
        <v>0</v>
      </c>
      <c r="J1407" t="n">
        <v>0</v>
      </c>
      <c r="K1407" t="n">
        <v>0</v>
      </c>
      <c r="L1407" t="n">
        <v>0</v>
      </c>
      <c r="M1407" t="n">
        <v>0</v>
      </c>
      <c r="N1407" t="n">
        <v>0</v>
      </c>
      <c r="O1407" t="n">
        <v>0</v>
      </c>
      <c r="P1407" t="n">
        <v>0</v>
      </c>
      <c r="Q1407" t="n">
        <v>0</v>
      </c>
      <c r="R1407" s="2" t="inlineStr"/>
    </row>
    <row r="1408" ht="15" customHeight="1">
      <c r="A1408" t="inlineStr">
        <is>
          <t>A 61955-2024</t>
        </is>
      </c>
      <c r="B1408" s="1" t="n">
        <v>45653</v>
      </c>
      <c r="C1408" s="1" t="n">
        <v>45832</v>
      </c>
      <c r="D1408" t="inlineStr">
        <is>
          <t>NORRBOTTENS LÄN</t>
        </is>
      </c>
      <c r="E1408" t="inlineStr">
        <is>
          <t>BODEN</t>
        </is>
      </c>
      <c r="G1408" t="n">
        <v>16.8</v>
      </c>
      <c r="H1408" t="n">
        <v>0</v>
      </c>
      <c r="I1408" t="n">
        <v>0</v>
      </c>
      <c r="J1408" t="n">
        <v>0</v>
      </c>
      <c r="K1408" t="n">
        <v>0</v>
      </c>
      <c r="L1408" t="n">
        <v>0</v>
      </c>
      <c r="M1408" t="n">
        <v>0</v>
      </c>
      <c r="N1408" t="n">
        <v>0</v>
      </c>
      <c r="O1408" t="n">
        <v>0</v>
      </c>
      <c r="P1408" t="n">
        <v>0</v>
      </c>
      <c r="Q1408" t="n">
        <v>0</v>
      </c>
      <c r="R1408" s="2" t="inlineStr"/>
    </row>
    <row r="1409" ht="15" customHeight="1">
      <c r="A1409" t="inlineStr">
        <is>
          <t>A 436-2025</t>
        </is>
      </c>
      <c r="B1409" s="1" t="n">
        <v>45659</v>
      </c>
      <c r="C1409" s="1" t="n">
        <v>45832</v>
      </c>
      <c r="D1409" t="inlineStr">
        <is>
          <t>NORRBOTTENS LÄN</t>
        </is>
      </c>
      <c r="E1409" t="inlineStr">
        <is>
          <t>BODEN</t>
        </is>
      </c>
      <c r="G1409" t="n">
        <v>15.8</v>
      </c>
      <c r="H1409" t="n">
        <v>0</v>
      </c>
      <c r="I1409" t="n">
        <v>0</v>
      </c>
      <c r="J1409" t="n">
        <v>0</v>
      </c>
      <c r="K1409" t="n">
        <v>0</v>
      </c>
      <c r="L1409" t="n">
        <v>0</v>
      </c>
      <c r="M1409" t="n">
        <v>0</v>
      </c>
      <c r="N1409" t="n">
        <v>0</v>
      </c>
      <c r="O1409" t="n">
        <v>0</v>
      </c>
      <c r="P1409" t="n">
        <v>0</v>
      </c>
      <c r="Q1409" t="n">
        <v>0</v>
      </c>
      <c r="R1409" s="2" t="inlineStr"/>
    </row>
    <row r="1410" ht="15" customHeight="1">
      <c r="A1410" t="inlineStr">
        <is>
          <t>A 1805-2025</t>
        </is>
      </c>
      <c r="B1410" s="1" t="n">
        <v>45659</v>
      </c>
      <c r="C1410" s="1" t="n">
        <v>45832</v>
      </c>
      <c r="D1410" t="inlineStr">
        <is>
          <t>NORRBOTTENS LÄN</t>
        </is>
      </c>
      <c r="E1410" t="inlineStr">
        <is>
          <t>BODEN</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434-2025</t>
        </is>
      </c>
      <c r="B1411" s="1" t="n">
        <v>45664</v>
      </c>
      <c r="C1411" s="1" t="n">
        <v>45832</v>
      </c>
      <c r="D1411" t="inlineStr">
        <is>
          <t>NORRBOTTENS LÄN</t>
        </is>
      </c>
      <c r="E1411" t="inlineStr">
        <is>
          <t>BODEN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785-2025</t>
        </is>
      </c>
      <c r="B1412" s="1" t="n">
        <v>45665</v>
      </c>
      <c r="C1412" s="1" t="n">
        <v>45832</v>
      </c>
      <c r="D1412" t="inlineStr">
        <is>
          <t>NORRBOTTENS LÄN</t>
        </is>
      </c>
      <c r="E1412" t="inlineStr">
        <is>
          <t>BODEN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1130-2025</t>
        </is>
      </c>
      <c r="B1413" s="1" t="n">
        <v>45666</v>
      </c>
      <c r="C1413" s="1" t="n">
        <v>45832</v>
      </c>
      <c r="D1413" t="inlineStr">
        <is>
          <t>NORRBOTTENS LÄN</t>
        </is>
      </c>
      <c r="E1413" t="inlineStr">
        <is>
          <t>BODEN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1195-2025</t>
        </is>
      </c>
      <c r="B1414" s="1" t="n">
        <v>45667</v>
      </c>
      <c r="C1414" s="1" t="n">
        <v>45832</v>
      </c>
      <c r="D1414" t="inlineStr">
        <is>
          <t>NORRBOTTENS LÄN</t>
        </is>
      </c>
      <c r="E1414" t="inlineStr">
        <is>
          <t>BODEN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1192-2025</t>
        </is>
      </c>
      <c r="B1415" s="1" t="n">
        <v>45667</v>
      </c>
      <c r="C1415" s="1" t="n">
        <v>45832</v>
      </c>
      <c r="D1415" t="inlineStr">
        <is>
          <t>NORRBOTTENS LÄN</t>
        </is>
      </c>
      <c r="E1415" t="inlineStr">
        <is>
          <t>BODEN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1205-2025</t>
        </is>
      </c>
      <c r="B1416" s="1" t="n">
        <v>45667</v>
      </c>
      <c r="C1416" s="1" t="n">
        <v>45832</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1962-2025</t>
        </is>
      </c>
      <c r="B1417" s="1" t="n">
        <v>45672</v>
      </c>
      <c r="C1417" s="1" t="n">
        <v>45832</v>
      </c>
      <c r="D1417" t="inlineStr">
        <is>
          <t>NORRBOTTENS LÄN</t>
        </is>
      </c>
      <c r="E1417" t="inlineStr">
        <is>
          <t>BODEN</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1961-2025</t>
        </is>
      </c>
      <c r="B1418" s="1" t="n">
        <v>45672</v>
      </c>
      <c r="C1418" s="1" t="n">
        <v>45832</v>
      </c>
      <c r="D1418" t="inlineStr">
        <is>
          <t>NORRBOTTENS LÄN</t>
        </is>
      </c>
      <c r="E1418" t="inlineStr">
        <is>
          <t>BODEN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2204-2025</t>
        </is>
      </c>
      <c r="B1419" s="1" t="n">
        <v>45673</v>
      </c>
      <c r="C1419" s="1" t="n">
        <v>45832</v>
      </c>
      <c r="D1419" t="inlineStr">
        <is>
          <t>NORRBOTTENS LÄN</t>
        </is>
      </c>
      <c r="E1419" t="inlineStr">
        <is>
          <t>BODEN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2552-2025</t>
        </is>
      </c>
      <c r="B1420" s="1" t="n">
        <v>45674</v>
      </c>
      <c r="C1420" s="1" t="n">
        <v>45832</v>
      </c>
      <c r="D1420" t="inlineStr">
        <is>
          <t>NORRBOTTENS LÄN</t>
        </is>
      </c>
      <c r="E1420" t="inlineStr">
        <is>
          <t>BODEN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2601-2025</t>
        </is>
      </c>
      <c r="B1421" s="1" t="n">
        <v>45674</v>
      </c>
      <c r="C1421" s="1" t="n">
        <v>45832</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2547-2025</t>
        </is>
      </c>
      <c r="B1422" s="1" t="n">
        <v>45674</v>
      </c>
      <c r="C1422" s="1" t="n">
        <v>45832</v>
      </c>
      <c r="D1422" t="inlineStr">
        <is>
          <t>NORRBOTTENS LÄN</t>
        </is>
      </c>
      <c r="E1422" t="inlineStr">
        <is>
          <t>BODEN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2732-2025</t>
        </is>
      </c>
      <c r="B1423" s="1" t="n">
        <v>45677</v>
      </c>
      <c r="C1423" s="1" t="n">
        <v>45832</v>
      </c>
      <c r="D1423" t="inlineStr">
        <is>
          <t>NORRBOTTENS LÄN</t>
        </is>
      </c>
      <c r="E1423" t="inlineStr">
        <is>
          <t>BODEN</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3436-2025</t>
        </is>
      </c>
      <c r="B1424" s="1" t="n">
        <v>45680</v>
      </c>
      <c r="C1424" s="1" t="n">
        <v>45832</v>
      </c>
      <c r="D1424" t="inlineStr">
        <is>
          <t>NORRBOTTENS LÄN</t>
        </is>
      </c>
      <c r="E1424" t="inlineStr">
        <is>
          <t>BODEN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3459-2025</t>
        </is>
      </c>
      <c r="B1425" s="1" t="n">
        <v>45680</v>
      </c>
      <c r="C1425" s="1" t="n">
        <v>45832</v>
      </c>
      <c r="D1425" t="inlineStr">
        <is>
          <t>NORRBOTTENS LÄN</t>
        </is>
      </c>
      <c r="E1425" t="inlineStr">
        <is>
          <t>BODEN</t>
        </is>
      </c>
      <c r="F1425" t="inlineStr">
        <is>
          <t>Naturvårdsverket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3438-2025</t>
        </is>
      </c>
      <c r="B1426" s="1" t="n">
        <v>45680</v>
      </c>
      <c r="C1426" s="1" t="n">
        <v>45832</v>
      </c>
      <c r="D1426" t="inlineStr">
        <is>
          <t>NORRBOTTENS LÄN</t>
        </is>
      </c>
      <c r="E1426" t="inlineStr">
        <is>
          <t>BODEN</t>
        </is>
      </c>
      <c r="F1426" t="inlineStr">
        <is>
          <t>Naturvårdsverket</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3833-2025</t>
        </is>
      </c>
      <c r="B1427" s="1" t="n">
        <v>45682</v>
      </c>
      <c r="C1427" s="1" t="n">
        <v>45832</v>
      </c>
      <c r="D1427" t="inlineStr">
        <is>
          <t>NORRBOTTENS LÄN</t>
        </is>
      </c>
      <c r="E1427" t="inlineStr">
        <is>
          <t>BODEN</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3922-2025</t>
        </is>
      </c>
      <c r="B1428" s="1" t="n">
        <v>45684</v>
      </c>
      <c r="C1428" s="1" t="n">
        <v>45832</v>
      </c>
      <c r="D1428" t="inlineStr">
        <is>
          <t>NORRBOTTENS LÄN</t>
        </is>
      </c>
      <c r="E1428" t="inlineStr">
        <is>
          <t>BODEN</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4254-2025</t>
        </is>
      </c>
      <c r="B1429" s="1" t="n">
        <v>45685</v>
      </c>
      <c r="C1429" s="1" t="n">
        <v>45832</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4263-2025</t>
        </is>
      </c>
      <c r="B1430" s="1" t="n">
        <v>45685</v>
      </c>
      <c r="C1430" s="1" t="n">
        <v>45832</v>
      </c>
      <c r="D1430" t="inlineStr">
        <is>
          <t>NORRBOTTENS LÄN</t>
        </is>
      </c>
      <c r="E1430" t="inlineStr">
        <is>
          <t>BODEN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4395-2025</t>
        </is>
      </c>
      <c r="B1431" s="1" t="n">
        <v>45686</v>
      </c>
      <c r="C1431" s="1" t="n">
        <v>45832</v>
      </c>
      <c r="D1431" t="inlineStr">
        <is>
          <t>NORRBOTTENS LÄN</t>
        </is>
      </c>
      <c r="E1431" t="inlineStr">
        <is>
          <t>BODEN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4396-2025</t>
        </is>
      </c>
      <c r="B1432" s="1" t="n">
        <v>45686</v>
      </c>
      <c r="C1432" s="1" t="n">
        <v>45832</v>
      </c>
      <c r="D1432" t="inlineStr">
        <is>
          <t>NORRBOTTENS LÄN</t>
        </is>
      </c>
      <c r="E1432" t="inlineStr">
        <is>
          <t>BODEN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4394-2025</t>
        </is>
      </c>
      <c r="B1433" s="1" t="n">
        <v>45686</v>
      </c>
      <c r="C1433" s="1" t="n">
        <v>45832</v>
      </c>
      <c r="D1433" t="inlineStr">
        <is>
          <t>NORRBOTTENS LÄN</t>
        </is>
      </c>
      <c r="E1433" t="inlineStr">
        <is>
          <t>BODEN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4630-2025</t>
        </is>
      </c>
      <c r="B1434" s="1" t="n">
        <v>45687</v>
      </c>
      <c r="C1434" s="1" t="n">
        <v>45832</v>
      </c>
      <c r="D1434" t="inlineStr">
        <is>
          <t>NORRBOTTENS LÄN</t>
        </is>
      </c>
      <c r="E1434" t="inlineStr">
        <is>
          <t>BODEN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5129-2025</t>
        </is>
      </c>
      <c r="B1435" s="1" t="n">
        <v>45691</v>
      </c>
      <c r="C1435" s="1" t="n">
        <v>45832</v>
      </c>
      <c r="D1435" t="inlineStr">
        <is>
          <t>NORRBOTTENS LÄN</t>
        </is>
      </c>
      <c r="E1435" t="inlineStr">
        <is>
          <t>BODEN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5071-2025</t>
        </is>
      </c>
      <c r="B1436" s="1" t="n">
        <v>45691</v>
      </c>
      <c r="C1436" s="1" t="n">
        <v>45832</v>
      </c>
      <c r="D1436" t="inlineStr">
        <is>
          <t>NORRBOTTENS LÄN</t>
        </is>
      </c>
      <c r="E1436" t="inlineStr">
        <is>
          <t>BODEN</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v>
      </c>
      <c r="C1437" s="1" t="n">
        <v>45832</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5452-2025</t>
        </is>
      </c>
      <c r="B1438" s="1" t="n">
        <v>45692</v>
      </c>
      <c r="C1438" s="1" t="n">
        <v>45832</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5792-2025</t>
        </is>
      </c>
      <c r="B1439" s="1" t="n">
        <v>45694</v>
      </c>
      <c r="C1439" s="1" t="n">
        <v>45832</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5285-2025</t>
        </is>
      </c>
      <c r="B1440" s="1" t="n">
        <v>45694</v>
      </c>
      <c r="C1440" s="1" t="n">
        <v>45832</v>
      </c>
      <c r="D1440" t="inlineStr">
        <is>
          <t>NORRBOTTENS LÄN</t>
        </is>
      </c>
      <c r="E1440" t="inlineStr">
        <is>
          <t>BODEN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6084-2025</t>
        </is>
      </c>
      <c r="B1441" s="1" t="n">
        <v>45697</v>
      </c>
      <c r="C1441" s="1" t="n">
        <v>45832</v>
      </c>
      <c r="D1441" t="inlineStr">
        <is>
          <t>NORRBOTTENS LÄN</t>
        </is>
      </c>
      <c r="E1441" t="inlineStr">
        <is>
          <t>BODEN</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6119-2025</t>
        </is>
      </c>
      <c r="B1442" s="1" t="n">
        <v>45698</v>
      </c>
      <c r="C1442" s="1" t="n">
        <v>45832</v>
      </c>
      <c r="D1442" t="inlineStr">
        <is>
          <t>NORRBOTTENS LÄN</t>
        </is>
      </c>
      <c r="E1442" t="inlineStr">
        <is>
          <t>BODEN</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7283-2025</t>
        </is>
      </c>
      <c r="B1443" s="1" t="n">
        <v>45702</v>
      </c>
      <c r="C1443" s="1" t="n">
        <v>45832</v>
      </c>
      <c r="D1443" t="inlineStr">
        <is>
          <t>NORRBOTTENS LÄN</t>
        </is>
      </c>
      <c r="E1443" t="inlineStr">
        <is>
          <t>BODEN</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7525-2025</t>
        </is>
      </c>
      <c r="B1444" s="1" t="n">
        <v>45704</v>
      </c>
      <c r="C1444" s="1" t="n">
        <v>45832</v>
      </c>
      <c r="D1444" t="inlineStr">
        <is>
          <t>NORRBOTTENS LÄN</t>
        </is>
      </c>
      <c r="E1444" t="inlineStr">
        <is>
          <t>BODEN</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8016-2025</t>
        </is>
      </c>
      <c r="B1445" s="1" t="n">
        <v>45707</v>
      </c>
      <c r="C1445" s="1" t="n">
        <v>45832</v>
      </c>
      <c r="D1445" t="inlineStr">
        <is>
          <t>NORRBOTTENS LÄN</t>
        </is>
      </c>
      <c r="E1445" t="inlineStr">
        <is>
          <t>BODEN</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8008-2025</t>
        </is>
      </c>
      <c r="B1446" s="1" t="n">
        <v>45707</v>
      </c>
      <c r="C1446" s="1" t="n">
        <v>45832</v>
      </c>
      <c r="D1446" t="inlineStr">
        <is>
          <t>NORRBOTTENS LÄN</t>
        </is>
      </c>
      <c r="E1446" t="inlineStr">
        <is>
          <t>BODEN</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8170-2025</t>
        </is>
      </c>
      <c r="B1447" s="1" t="n">
        <v>45708</v>
      </c>
      <c r="C1447" s="1" t="n">
        <v>45832</v>
      </c>
      <c r="D1447" t="inlineStr">
        <is>
          <t>NORRBOTTENS LÄN</t>
        </is>
      </c>
      <c r="E1447" t="inlineStr">
        <is>
          <t>BODEN</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8150-2025</t>
        </is>
      </c>
      <c r="B1448" s="1" t="n">
        <v>45708</v>
      </c>
      <c r="C1448" s="1" t="n">
        <v>45832</v>
      </c>
      <c r="D1448" t="inlineStr">
        <is>
          <t>NORRBOTTENS LÄN</t>
        </is>
      </c>
      <c r="E1448" t="inlineStr">
        <is>
          <t>BODEN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8571-2025</t>
        </is>
      </c>
      <c r="B1449" s="1" t="n">
        <v>45709</v>
      </c>
      <c r="C1449" s="1" t="n">
        <v>45832</v>
      </c>
      <c r="D1449" t="inlineStr">
        <is>
          <t>NORRBOTTENS LÄN</t>
        </is>
      </c>
      <c r="E1449" t="inlineStr">
        <is>
          <t>BODEN</t>
        </is>
      </c>
      <c r="F1449" t="inlineStr">
        <is>
          <t>Övriga Aktiebolag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8384-2025</t>
        </is>
      </c>
      <c r="B1450" s="1" t="n">
        <v>45709</v>
      </c>
      <c r="C1450" s="1" t="n">
        <v>45832</v>
      </c>
      <c r="D1450" t="inlineStr">
        <is>
          <t>NORRBOTTENS LÄN</t>
        </is>
      </c>
      <c r="E1450" t="inlineStr">
        <is>
          <t>BODEN</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8932-2025</t>
        </is>
      </c>
      <c r="B1451" s="1" t="n">
        <v>45712</v>
      </c>
      <c r="C1451" s="1" t="n">
        <v>45832</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v>
      </c>
      <c r="C1452" s="1" t="n">
        <v>45832</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v>
      </c>
      <c r="C1453" s="1" t="n">
        <v>45832</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9897-2025</t>
        </is>
      </c>
      <c r="B1454" s="1" t="n">
        <v>45716</v>
      </c>
      <c r="C1454" s="1" t="n">
        <v>45832</v>
      </c>
      <c r="D1454" t="inlineStr">
        <is>
          <t>NORRBOTTENS LÄN</t>
        </is>
      </c>
      <c r="E1454" t="inlineStr">
        <is>
          <t>BODEN</t>
        </is>
      </c>
      <c r="G1454" t="n">
        <v>37.3</v>
      </c>
      <c r="H1454" t="n">
        <v>0</v>
      </c>
      <c r="I1454" t="n">
        <v>0</v>
      </c>
      <c r="J1454" t="n">
        <v>0</v>
      </c>
      <c r="K1454" t="n">
        <v>0</v>
      </c>
      <c r="L1454" t="n">
        <v>0</v>
      </c>
      <c r="M1454" t="n">
        <v>0</v>
      </c>
      <c r="N1454" t="n">
        <v>0</v>
      </c>
      <c r="O1454" t="n">
        <v>0</v>
      </c>
      <c r="P1454" t="n">
        <v>0</v>
      </c>
      <c r="Q1454" t="n">
        <v>0</v>
      </c>
      <c r="R1454" s="2" t="inlineStr"/>
    </row>
    <row r="1455" ht="15" customHeight="1">
      <c r="A1455" t="inlineStr">
        <is>
          <t>A 9940-2025</t>
        </is>
      </c>
      <c r="B1455" s="1" t="n">
        <v>45718</v>
      </c>
      <c r="C1455" s="1" t="n">
        <v>45832</v>
      </c>
      <c r="D1455" t="inlineStr">
        <is>
          <t>NORRBOTTENS LÄN</t>
        </is>
      </c>
      <c r="E1455" t="inlineStr">
        <is>
          <t>BODEN</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10727-2025</t>
        </is>
      </c>
      <c r="B1456" s="1" t="n">
        <v>45722</v>
      </c>
      <c r="C1456" s="1" t="n">
        <v>45832</v>
      </c>
      <c r="D1456" t="inlineStr">
        <is>
          <t>NORRBOTTENS LÄN</t>
        </is>
      </c>
      <c r="E1456" t="inlineStr">
        <is>
          <t>BODEN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11158-2025</t>
        </is>
      </c>
      <c r="B1457" s="1" t="n">
        <v>45723</v>
      </c>
      <c r="C1457" s="1" t="n">
        <v>45832</v>
      </c>
      <c r="D1457" t="inlineStr">
        <is>
          <t>NORRBOTTENS LÄN</t>
        </is>
      </c>
      <c r="E1457" t="inlineStr">
        <is>
          <t>BODEN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11159-2025</t>
        </is>
      </c>
      <c r="B1458" s="1" t="n">
        <v>45723</v>
      </c>
      <c r="C1458" s="1" t="n">
        <v>45832</v>
      </c>
      <c r="D1458" t="inlineStr">
        <is>
          <t>NORRBOTTENS LÄN</t>
        </is>
      </c>
      <c r="E1458" t="inlineStr">
        <is>
          <t>BODEN</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11865-2025</t>
        </is>
      </c>
      <c r="B1459" s="1" t="n">
        <v>45728</v>
      </c>
      <c r="C1459" s="1" t="n">
        <v>45832</v>
      </c>
      <c r="D1459" t="inlineStr">
        <is>
          <t>NORRBOTTENS LÄN</t>
        </is>
      </c>
      <c r="E1459" t="inlineStr">
        <is>
          <t>BODEN</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12498-2025</t>
        </is>
      </c>
      <c r="B1460" s="1" t="n">
        <v>45730</v>
      </c>
      <c r="C1460" s="1" t="n">
        <v>45832</v>
      </c>
      <c r="D1460" t="inlineStr">
        <is>
          <t>NORRBOTTENS LÄN</t>
        </is>
      </c>
      <c r="E1460" t="inlineStr">
        <is>
          <t>BODEN</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12612-2025</t>
        </is>
      </c>
      <c r="B1461" s="1" t="n">
        <v>45732</v>
      </c>
      <c r="C1461" s="1" t="n">
        <v>45832</v>
      </c>
      <c r="D1461" t="inlineStr">
        <is>
          <t>NORRBOTTENS LÄN</t>
        </is>
      </c>
      <c r="E1461" t="inlineStr">
        <is>
          <t>BODEN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15157-2025</t>
        </is>
      </c>
      <c r="B1462" s="1" t="n">
        <v>45744</v>
      </c>
      <c r="C1462" s="1" t="n">
        <v>45832</v>
      </c>
      <c r="D1462" t="inlineStr">
        <is>
          <t>NORRBOTTENS LÄN</t>
        </is>
      </c>
      <c r="E1462" t="inlineStr">
        <is>
          <t>BODEN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15483-2025</t>
        </is>
      </c>
      <c r="B1463" s="1" t="n">
        <v>45747</v>
      </c>
      <c r="C1463" s="1" t="n">
        <v>45832</v>
      </c>
      <c r="D1463" t="inlineStr">
        <is>
          <t>NORRBOTTENS LÄN</t>
        </is>
      </c>
      <c r="E1463" t="inlineStr">
        <is>
          <t>BODEN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15485-2025</t>
        </is>
      </c>
      <c r="B1464" s="1" t="n">
        <v>45747</v>
      </c>
      <c r="C1464" s="1" t="n">
        <v>45832</v>
      </c>
      <c r="D1464" t="inlineStr">
        <is>
          <t>NORRBOTTENS LÄN</t>
        </is>
      </c>
      <c r="E1464" t="inlineStr">
        <is>
          <t>BODEN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15486-2025</t>
        </is>
      </c>
      <c r="B1465" s="1" t="n">
        <v>45747</v>
      </c>
      <c r="C1465" s="1" t="n">
        <v>45832</v>
      </c>
      <c r="D1465" t="inlineStr">
        <is>
          <t>NORRBOTTENS LÄN</t>
        </is>
      </c>
      <c r="E1465" t="inlineStr">
        <is>
          <t>BODEN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16020-2025</t>
        </is>
      </c>
      <c r="B1466" s="1" t="n">
        <v>45748</v>
      </c>
      <c r="C1466" s="1" t="n">
        <v>45832</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16028-2025</t>
        </is>
      </c>
      <c r="B1467" s="1" t="n">
        <v>45748</v>
      </c>
      <c r="C1467" s="1" t="n">
        <v>45832</v>
      </c>
      <c r="D1467" t="inlineStr">
        <is>
          <t>NORRBOTTENS LÄN</t>
        </is>
      </c>
      <c r="E1467" t="inlineStr">
        <is>
          <t>BODEN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16189-2025</t>
        </is>
      </c>
      <c r="B1468" s="1" t="n">
        <v>45749</v>
      </c>
      <c r="C1468" s="1" t="n">
        <v>45832</v>
      </c>
      <c r="D1468" t="inlineStr">
        <is>
          <t>NORRBOTTENS LÄN</t>
        </is>
      </c>
      <c r="E1468" t="inlineStr">
        <is>
          <t>BODEN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16180-2025</t>
        </is>
      </c>
      <c r="B1469" s="1" t="n">
        <v>45750</v>
      </c>
      <c r="C1469" s="1" t="n">
        <v>45832</v>
      </c>
      <c r="D1469" t="inlineStr">
        <is>
          <t>NORRBOTTENS LÄN</t>
        </is>
      </c>
      <c r="E1469" t="inlineStr">
        <is>
          <t>BODEN</t>
        </is>
      </c>
      <c r="F1469" t="inlineStr">
        <is>
          <t>Övriga Aktiebolag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16581-2025</t>
        </is>
      </c>
      <c r="B1470" s="1" t="n">
        <v>45752</v>
      </c>
      <c r="C1470" s="1" t="n">
        <v>45832</v>
      </c>
      <c r="D1470" t="inlineStr">
        <is>
          <t>NORRBOTTENS LÄN</t>
        </is>
      </c>
      <c r="E1470" t="inlineStr">
        <is>
          <t>BODEN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17566-2025</t>
        </is>
      </c>
      <c r="B1471" s="1" t="n">
        <v>45757</v>
      </c>
      <c r="C1471" s="1" t="n">
        <v>45832</v>
      </c>
      <c r="D1471" t="inlineStr">
        <is>
          <t>NORRBOTTENS LÄN</t>
        </is>
      </c>
      <c r="E1471" t="inlineStr">
        <is>
          <t>BODEN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17839-2025</t>
        </is>
      </c>
      <c r="B1472" s="1" t="n">
        <v>45758</v>
      </c>
      <c r="C1472" s="1" t="n">
        <v>45832</v>
      </c>
      <c r="D1472" t="inlineStr">
        <is>
          <t>NORRBOTTENS LÄN</t>
        </is>
      </c>
      <c r="E1472" t="inlineStr">
        <is>
          <t>BODEN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18002-2025</t>
        </is>
      </c>
      <c r="B1473" s="1" t="n">
        <v>45761</v>
      </c>
      <c r="C1473" s="1" t="n">
        <v>45832</v>
      </c>
      <c r="D1473" t="inlineStr">
        <is>
          <t>NORRBOTTENS LÄN</t>
        </is>
      </c>
      <c r="E1473" t="inlineStr">
        <is>
          <t>BODEN</t>
        </is>
      </c>
      <c r="F1473" t="inlineStr">
        <is>
          <t>Övriga statliga verk och myndigheter</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18147-2025</t>
        </is>
      </c>
      <c r="B1474" s="1" t="n">
        <v>45761</v>
      </c>
      <c r="C1474" s="1" t="n">
        <v>45832</v>
      </c>
      <c r="D1474" t="inlineStr">
        <is>
          <t>NORRBOTTENS LÄN</t>
        </is>
      </c>
      <c r="E1474" t="inlineStr">
        <is>
          <t>BODEN</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18145-2025</t>
        </is>
      </c>
      <c r="B1475" s="1" t="n">
        <v>45761</v>
      </c>
      <c r="C1475" s="1" t="n">
        <v>45832</v>
      </c>
      <c r="D1475" t="inlineStr">
        <is>
          <t>NORRBOTTENS LÄN</t>
        </is>
      </c>
      <c r="E1475" t="inlineStr">
        <is>
          <t>BODEN</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18173-2025</t>
        </is>
      </c>
      <c r="B1476" s="1" t="n">
        <v>45761</v>
      </c>
      <c r="C1476" s="1" t="n">
        <v>45832</v>
      </c>
      <c r="D1476" t="inlineStr">
        <is>
          <t>NORRBOTTENS LÄN</t>
        </is>
      </c>
      <c r="E1476" t="inlineStr">
        <is>
          <t>BODEN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18436-2025</t>
        </is>
      </c>
      <c r="B1477" s="1" t="n">
        <v>45762</v>
      </c>
      <c r="C1477" s="1" t="n">
        <v>45832</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18428-2025</t>
        </is>
      </c>
      <c r="B1478" s="1" t="n">
        <v>45762</v>
      </c>
      <c r="C1478" s="1" t="n">
        <v>45832</v>
      </c>
      <c r="D1478" t="inlineStr">
        <is>
          <t>NORRBOTTENS LÄN</t>
        </is>
      </c>
      <c r="E1478" t="inlineStr">
        <is>
          <t>BODEN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18672-2025</t>
        </is>
      </c>
      <c r="B1479" s="1" t="n">
        <v>45763</v>
      </c>
      <c r="C1479" s="1" t="n">
        <v>45832</v>
      </c>
      <c r="D1479" t="inlineStr">
        <is>
          <t>NORRBOTTENS LÄN</t>
        </is>
      </c>
      <c r="E1479" t="inlineStr">
        <is>
          <t>BODEN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18673-2025</t>
        </is>
      </c>
      <c r="B1480" s="1" t="n">
        <v>45763</v>
      </c>
      <c r="C1480" s="1" t="n">
        <v>45832</v>
      </c>
      <c r="D1480" t="inlineStr">
        <is>
          <t>NORRBOTTENS LÄN</t>
        </is>
      </c>
      <c r="E1480" t="inlineStr">
        <is>
          <t>BODEN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18679-2025</t>
        </is>
      </c>
      <c r="B1481" s="1" t="n">
        <v>45763</v>
      </c>
      <c r="C1481" s="1" t="n">
        <v>45832</v>
      </c>
      <c r="D1481" t="inlineStr">
        <is>
          <t>NORRBOTTENS LÄN</t>
        </is>
      </c>
      <c r="E1481" t="inlineStr">
        <is>
          <t>BODEN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18671-2025</t>
        </is>
      </c>
      <c r="B1482" s="1" t="n">
        <v>45763</v>
      </c>
      <c r="C1482" s="1" t="n">
        <v>45832</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18900-2025</t>
        </is>
      </c>
      <c r="B1483" s="1" t="n">
        <v>45764</v>
      </c>
      <c r="C1483" s="1" t="n">
        <v>45832</v>
      </c>
      <c r="D1483" t="inlineStr">
        <is>
          <t>NORRBOTTENS LÄN</t>
        </is>
      </c>
      <c r="E1483" t="inlineStr">
        <is>
          <t>BODEN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18871-2025</t>
        </is>
      </c>
      <c r="B1484" s="1" t="n">
        <v>45764</v>
      </c>
      <c r="C1484" s="1" t="n">
        <v>45832</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18866-2025</t>
        </is>
      </c>
      <c r="B1485" s="1" t="n">
        <v>45764</v>
      </c>
      <c r="C1485" s="1" t="n">
        <v>45832</v>
      </c>
      <c r="D1485" t="inlineStr">
        <is>
          <t>NORRBOTTENS LÄN</t>
        </is>
      </c>
      <c r="E1485" t="inlineStr">
        <is>
          <t>BODEN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18890-2025</t>
        </is>
      </c>
      <c r="B1486" s="1" t="n">
        <v>45764</v>
      </c>
      <c r="C1486" s="1" t="n">
        <v>45832</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18901-2025</t>
        </is>
      </c>
      <c r="B1487" s="1" t="n">
        <v>45764</v>
      </c>
      <c r="C1487" s="1" t="n">
        <v>45832</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18910-2025</t>
        </is>
      </c>
      <c r="B1488" s="1" t="n">
        <v>45764</v>
      </c>
      <c r="C1488" s="1" t="n">
        <v>45832</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19051-2025</t>
        </is>
      </c>
      <c r="B1489" s="1" t="n">
        <v>45764</v>
      </c>
      <c r="C1489" s="1" t="n">
        <v>45832</v>
      </c>
      <c r="D1489" t="inlineStr">
        <is>
          <t>NORRBOTTENS LÄN</t>
        </is>
      </c>
      <c r="E1489" t="inlineStr">
        <is>
          <t>BODEN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19048-2025</t>
        </is>
      </c>
      <c r="B1490" s="1" t="n">
        <v>45764</v>
      </c>
      <c r="C1490" s="1" t="n">
        <v>45832</v>
      </c>
      <c r="D1490" t="inlineStr">
        <is>
          <t>NORRBOTTENS LÄN</t>
        </is>
      </c>
      <c r="E1490" t="inlineStr">
        <is>
          <t>BODEN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19050-2025</t>
        </is>
      </c>
      <c r="B1491" s="1" t="n">
        <v>45764</v>
      </c>
      <c r="C1491" s="1" t="n">
        <v>45832</v>
      </c>
      <c r="D1491" t="inlineStr">
        <is>
          <t>NORRBOTTENS LÄN</t>
        </is>
      </c>
      <c r="E1491" t="inlineStr">
        <is>
          <t>BODEN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18915-2025</t>
        </is>
      </c>
      <c r="B1492" s="1" t="n">
        <v>45764</v>
      </c>
      <c r="C1492" s="1" t="n">
        <v>45832</v>
      </c>
      <c r="D1492" t="inlineStr">
        <is>
          <t>NORRBOTTENS LÄN</t>
        </is>
      </c>
      <c r="E1492" t="inlineStr">
        <is>
          <t>BODEN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19080-2025</t>
        </is>
      </c>
      <c r="B1493" s="1" t="n">
        <v>45766</v>
      </c>
      <c r="C1493" s="1" t="n">
        <v>45832</v>
      </c>
      <c r="D1493" t="inlineStr">
        <is>
          <t>NORRBOTTENS LÄN</t>
        </is>
      </c>
      <c r="E1493" t="inlineStr">
        <is>
          <t>BODEN</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19081-2025</t>
        </is>
      </c>
      <c r="B1494" s="1" t="n">
        <v>45766</v>
      </c>
      <c r="C1494" s="1" t="n">
        <v>45832</v>
      </c>
      <c r="D1494" t="inlineStr">
        <is>
          <t>NORRBOTTENS LÄN</t>
        </is>
      </c>
      <c r="E1494" t="inlineStr">
        <is>
          <t>BODEN</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19082-2025</t>
        </is>
      </c>
      <c r="B1495" s="1" t="n">
        <v>45766</v>
      </c>
      <c r="C1495" s="1" t="n">
        <v>45832</v>
      </c>
      <c r="D1495" t="inlineStr">
        <is>
          <t>NORRBOTTENS LÄN</t>
        </is>
      </c>
      <c r="E1495" t="inlineStr">
        <is>
          <t>BODEN</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19291-2025</t>
        </is>
      </c>
      <c r="B1496" s="1" t="n">
        <v>45769</v>
      </c>
      <c r="C1496" s="1" t="n">
        <v>45832</v>
      </c>
      <c r="D1496" t="inlineStr">
        <is>
          <t>NORRBOTTENS LÄN</t>
        </is>
      </c>
      <c r="E1496" t="inlineStr">
        <is>
          <t>BODEN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19257-2025</t>
        </is>
      </c>
      <c r="B1497" s="1" t="n">
        <v>45769</v>
      </c>
      <c r="C1497" s="1" t="n">
        <v>45832</v>
      </c>
      <c r="D1497" t="inlineStr">
        <is>
          <t>NORRBOTTENS LÄN</t>
        </is>
      </c>
      <c r="E1497" t="inlineStr">
        <is>
          <t>BODEN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19284-2025</t>
        </is>
      </c>
      <c r="B1498" s="1" t="n">
        <v>45769</v>
      </c>
      <c r="C1498" s="1" t="n">
        <v>45832</v>
      </c>
      <c r="D1498" t="inlineStr">
        <is>
          <t>NORRBOTTENS LÄN</t>
        </is>
      </c>
      <c r="E1498" t="inlineStr">
        <is>
          <t>BODEN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19623-2025</t>
        </is>
      </c>
      <c r="B1499" s="1" t="n">
        <v>45770</v>
      </c>
      <c r="C1499" s="1" t="n">
        <v>45832</v>
      </c>
      <c r="D1499" t="inlineStr">
        <is>
          <t>NORRBOTTENS LÄN</t>
        </is>
      </c>
      <c r="E1499" t="inlineStr">
        <is>
          <t>BODEN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19584-2025</t>
        </is>
      </c>
      <c r="B1500" s="1" t="n">
        <v>45770</v>
      </c>
      <c r="C1500" s="1" t="n">
        <v>45832</v>
      </c>
      <c r="D1500" t="inlineStr">
        <is>
          <t>NORRBOTTENS LÄN</t>
        </is>
      </c>
      <c r="E1500" t="inlineStr">
        <is>
          <t>BODEN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19571-2025</t>
        </is>
      </c>
      <c r="B1501" s="1" t="n">
        <v>45770</v>
      </c>
      <c r="C1501" s="1" t="n">
        <v>45832</v>
      </c>
      <c r="D1501" t="inlineStr">
        <is>
          <t>NORRBOTTENS LÄN</t>
        </is>
      </c>
      <c r="E1501" t="inlineStr">
        <is>
          <t>BODEN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19582-2025</t>
        </is>
      </c>
      <c r="B1502" s="1" t="n">
        <v>45770</v>
      </c>
      <c r="C1502" s="1" t="n">
        <v>45832</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19624-2025</t>
        </is>
      </c>
      <c r="B1503" s="1" t="n">
        <v>45770</v>
      </c>
      <c r="C1503" s="1" t="n">
        <v>45832</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19647-2025</t>
        </is>
      </c>
      <c r="B1504" s="1" t="n">
        <v>45770</v>
      </c>
      <c r="C1504" s="1" t="n">
        <v>45832</v>
      </c>
      <c r="D1504" t="inlineStr">
        <is>
          <t>NORRBOTTENS LÄN</t>
        </is>
      </c>
      <c r="E1504" t="inlineStr">
        <is>
          <t>BODEN</t>
        </is>
      </c>
      <c r="F1504" t="inlineStr">
        <is>
          <t>Sveaskog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19757-2025</t>
        </is>
      </c>
      <c r="B1505" s="1" t="n">
        <v>45770</v>
      </c>
      <c r="C1505" s="1" t="n">
        <v>45832</v>
      </c>
      <c r="D1505" t="inlineStr">
        <is>
          <t>NORRBOTTENS LÄN</t>
        </is>
      </c>
      <c r="E1505" t="inlineStr">
        <is>
          <t>BODEN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19641-2025</t>
        </is>
      </c>
      <c r="B1506" s="1" t="n">
        <v>45770</v>
      </c>
      <c r="C1506" s="1" t="n">
        <v>45832</v>
      </c>
      <c r="D1506" t="inlineStr">
        <is>
          <t>NORRBOTTENS LÄN</t>
        </is>
      </c>
      <c r="E1506" t="inlineStr">
        <is>
          <t>BODEN</t>
        </is>
      </c>
      <c r="F1506" t="inlineStr">
        <is>
          <t>Sveaskog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19698-2025</t>
        </is>
      </c>
      <c r="B1507" s="1" t="n">
        <v>45770</v>
      </c>
      <c r="C1507" s="1" t="n">
        <v>45832</v>
      </c>
      <c r="D1507" t="inlineStr">
        <is>
          <t>NORRBOTTENS LÄN</t>
        </is>
      </c>
      <c r="E1507" t="inlineStr">
        <is>
          <t>BODEN</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19590-2025</t>
        </is>
      </c>
      <c r="B1508" s="1" t="n">
        <v>45770</v>
      </c>
      <c r="C1508" s="1" t="n">
        <v>45832</v>
      </c>
      <c r="D1508" t="inlineStr">
        <is>
          <t>NORRBOTTENS LÄN</t>
        </is>
      </c>
      <c r="E1508" t="inlineStr">
        <is>
          <t>BODEN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19968-2025</t>
        </is>
      </c>
      <c r="B1509" s="1" t="n">
        <v>45771</v>
      </c>
      <c r="C1509" s="1" t="n">
        <v>45832</v>
      </c>
      <c r="D1509" t="inlineStr">
        <is>
          <t>NORRBOTTENS LÄN</t>
        </is>
      </c>
      <c r="E1509" t="inlineStr">
        <is>
          <t>BODEN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19952-2025</t>
        </is>
      </c>
      <c r="B1510" s="1" t="n">
        <v>45771</v>
      </c>
      <c r="C1510" s="1" t="n">
        <v>45832</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20041-2025</t>
        </is>
      </c>
      <c r="B1511" s="1" t="n">
        <v>45772</v>
      </c>
      <c r="C1511" s="1" t="n">
        <v>45832</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20038-2025</t>
        </is>
      </c>
      <c r="B1512" s="1" t="n">
        <v>45772</v>
      </c>
      <c r="C1512" s="1" t="n">
        <v>45832</v>
      </c>
      <c r="D1512" t="inlineStr">
        <is>
          <t>NORRBOTTENS LÄN</t>
        </is>
      </c>
      <c r="E1512" t="inlineStr">
        <is>
          <t>BODEN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20029-2025</t>
        </is>
      </c>
      <c r="B1513" s="1" t="n">
        <v>45772</v>
      </c>
      <c r="C1513" s="1" t="n">
        <v>45832</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20030-2025</t>
        </is>
      </c>
      <c r="B1514" s="1" t="n">
        <v>45772</v>
      </c>
      <c r="C1514" s="1" t="n">
        <v>45832</v>
      </c>
      <c r="D1514" t="inlineStr">
        <is>
          <t>NORRBOTTENS LÄN</t>
        </is>
      </c>
      <c r="E1514" t="inlineStr">
        <is>
          <t>BODEN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20028-2025</t>
        </is>
      </c>
      <c r="B1515" s="1" t="n">
        <v>45772</v>
      </c>
      <c r="C1515" s="1" t="n">
        <v>45832</v>
      </c>
      <c r="D1515" t="inlineStr">
        <is>
          <t>NORRBOTTENS LÄN</t>
        </is>
      </c>
      <c r="E1515" t="inlineStr">
        <is>
          <t>BODEN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20046-2025</t>
        </is>
      </c>
      <c r="B1516" s="1" t="n">
        <v>45772</v>
      </c>
      <c r="C1516" s="1" t="n">
        <v>45832</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20039-2025</t>
        </is>
      </c>
      <c r="B1517" s="1" t="n">
        <v>45772</v>
      </c>
      <c r="C1517" s="1" t="n">
        <v>45832</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20289-2025</t>
        </is>
      </c>
      <c r="B1518" s="1" t="n">
        <v>45774</v>
      </c>
      <c r="C1518" s="1" t="n">
        <v>45832</v>
      </c>
      <c r="D1518" t="inlineStr">
        <is>
          <t>NORRBOTTENS LÄN</t>
        </is>
      </c>
      <c r="E1518" t="inlineStr">
        <is>
          <t>BODEN</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21128-2025</t>
        </is>
      </c>
      <c r="B1519" s="1" t="n">
        <v>45778</v>
      </c>
      <c r="C1519" s="1" t="n">
        <v>45832</v>
      </c>
      <c r="D1519" t="inlineStr">
        <is>
          <t>NORRBOTTENS LÄN</t>
        </is>
      </c>
      <c r="E1519" t="inlineStr">
        <is>
          <t>BODEN</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21349-2025</t>
        </is>
      </c>
      <c r="B1520" s="1" t="n">
        <v>45782</v>
      </c>
      <c r="C1520" s="1" t="n">
        <v>45832</v>
      </c>
      <c r="D1520" t="inlineStr">
        <is>
          <t>NORRBOTTENS LÄN</t>
        </is>
      </c>
      <c r="E1520" t="inlineStr">
        <is>
          <t>BODEN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21584-2025</t>
        </is>
      </c>
      <c r="B1521" s="1" t="n">
        <v>45783</v>
      </c>
      <c r="C1521" s="1" t="n">
        <v>45832</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22372-2025</t>
        </is>
      </c>
      <c r="B1522" s="1" t="n">
        <v>45786</v>
      </c>
      <c r="C1522" s="1" t="n">
        <v>45832</v>
      </c>
      <c r="D1522" t="inlineStr">
        <is>
          <t>NORRBOTTENS LÄN</t>
        </is>
      </c>
      <c r="E1522" t="inlineStr">
        <is>
          <t>BODEN</t>
        </is>
      </c>
      <c r="F1522" t="inlineStr">
        <is>
          <t>Kommuner</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23315-2025</t>
        </is>
      </c>
      <c r="B1523" s="1" t="n">
        <v>45791</v>
      </c>
      <c r="C1523" s="1" t="n">
        <v>45832</v>
      </c>
      <c r="D1523" t="inlineStr">
        <is>
          <t>NORRBOTTENS LÄN</t>
        </is>
      </c>
      <c r="E1523" t="inlineStr">
        <is>
          <t>BODEN</t>
        </is>
      </c>
      <c r="F1523" t="inlineStr">
        <is>
          <t>Sveaskog</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23321-2025</t>
        </is>
      </c>
      <c r="B1524" s="1" t="n">
        <v>45791</v>
      </c>
      <c r="C1524" s="1" t="n">
        <v>45832</v>
      </c>
      <c r="D1524" t="inlineStr">
        <is>
          <t>NORRBOTTENS LÄN</t>
        </is>
      </c>
      <c r="E1524" t="inlineStr">
        <is>
          <t>BODEN</t>
        </is>
      </c>
      <c r="F1524" t="inlineStr">
        <is>
          <t>Sveaskog</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23092-2025</t>
        </is>
      </c>
      <c r="B1525" s="1" t="n">
        <v>45791</v>
      </c>
      <c r="C1525" s="1" t="n">
        <v>45832</v>
      </c>
      <c r="D1525" t="inlineStr">
        <is>
          <t>NORRBOTTENS LÄN</t>
        </is>
      </c>
      <c r="E1525" t="inlineStr">
        <is>
          <t>BODEN</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23361-2025</t>
        </is>
      </c>
      <c r="B1526" s="1" t="n">
        <v>45791</v>
      </c>
      <c r="C1526" s="1" t="n">
        <v>45832</v>
      </c>
      <c r="D1526" t="inlineStr">
        <is>
          <t>NORRBOTTENS LÄN</t>
        </is>
      </c>
      <c r="E1526" t="inlineStr">
        <is>
          <t>BODEN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23302-2025</t>
        </is>
      </c>
      <c r="B1527" s="1" t="n">
        <v>45791</v>
      </c>
      <c r="C1527" s="1" t="n">
        <v>45832</v>
      </c>
      <c r="D1527" t="inlineStr">
        <is>
          <t>NORRBOTTENS LÄN</t>
        </is>
      </c>
      <c r="E1527" t="inlineStr">
        <is>
          <t>BODEN</t>
        </is>
      </c>
      <c r="F1527" t="inlineStr">
        <is>
          <t>Sveaskog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23323-2025</t>
        </is>
      </c>
      <c r="B1528" s="1" t="n">
        <v>45791</v>
      </c>
      <c r="C1528" s="1" t="n">
        <v>45832</v>
      </c>
      <c r="D1528" t="inlineStr">
        <is>
          <t>NORRBOTTENS LÄN</t>
        </is>
      </c>
      <c r="E1528" t="inlineStr">
        <is>
          <t>BODEN</t>
        </is>
      </c>
      <c r="F1528" t="inlineStr">
        <is>
          <t>Sveaskog</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23559-2025</t>
        </is>
      </c>
      <c r="B1529" s="1" t="n">
        <v>45792</v>
      </c>
      <c r="C1529" s="1" t="n">
        <v>45832</v>
      </c>
      <c r="D1529" t="inlineStr">
        <is>
          <t>NORRBOTTENS LÄN</t>
        </is>
      </c>
      <c r="E1529" t="inlineStr">
        <is>
          <t>BODEN</t>
        </is>
      </c>
      <c r="F1529" t="inlineStr">
        <is>
          <t>Sveaskog</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23414-2025</t>
        </is>
      </c>
      <c r="B1530" s="1" t="n">
        <v>45792</v>
      </c>
      <c r="C1530" s="1" t="n">
        <v>45832</v>
      </c>
      <c r="D1530" t="inlineStr">
        <is>
          <t>NORRBOTTENS LÄN</t>
        </is>
      </c>
      <c r="E1530" t="inlineStr">
        <is>
          <t>BODEN</t>
        </is>
      </c>
      <c r="F1530" t="inlineStr">
        <is>
          <t>SCA</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23648-2025</t>
        </is>
      </c>
      <c r="B1531" s="1" t="n">
        <v>45792</v>
      </c>
      <c r="C1531" s="1" t="n">
        <v>45832</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23763-2025</t>
        </is>
      </c>
      <c r="B1532" s="1" t="n">
        <v>45793</v>
      </c>
      <c r="C1532" s="1" t="n">
        <v>45832</v>
      </c>
      <c r="D1532" t="inlineStr">
        <is>
          <t>NORRBOTTENS LÄN</t>
        </is>
      </c>
      <c r="E1532" t="inlineStr">
        <is>
          <t>BODEN</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23724-2025</t>
        </is>
      </c>
      <c r="B1533" s="1" t="n">
        <v>45793</v>
      </c>
      <c r="C1533" s="1" t="n">
        <v>45832</v>
      </c>
      <c r="D1533" t="inlineStr">
        <is>
          <t>NORRBOTTENS LÄN</t>
        </is>
      </c>
      <c r="E1533" t="inlineStr">
        <is>
          <t>BODEN</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23761-2025</t>
        </is>
      </c>
      <c r="B1534" s="1" t="n">
        <v>45793</v>
      </c>
      <c r="C1534" s="1" t="n">
        <v>45832</v>
      </c>
      <c r="D1534" t="inlineStr">
        <is>
          <t>NORRBOTTENS LÄN</t>
        </is>
      </c>
      <c r="E1534" t="inlineStr">
        <is>
          <t>BODEN</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24134-2025</t>
        </is>
      </c>
      <c r="B1535" s="1" t="n">
        <v>45796</v>
      </c>
      <c r="C1535" s="1" t="n">
        <v>45832</v>
      </c>
      <c r="D1535" t="inlineStr">
        <is>
          <t>NORRBOTTENS LÄN</t>
        </is>
      </c>
      <c r="E1535" t="inlineStr">
        <is>
          <t>BODEN</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24058-2025</t>
        </is>
      </c>
      <c r="B1536" s="1" t="n">
        <v>45796</v>
      </c>
      <c r="C1536" s="1" t="n">
        <v>45832</v>
      </c>
      <c r="D1536" t="inlineStr">
        <is>
          <t>NORRBOTTENS LÄN</t>
        </is>
      </c>
      <c r="E1536" t="inlineStr">
        <is>
          <t>BODEN</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24358-2025</t>
        </is>
      </c>
      <c r="B1537" s="1" t="n">
        <v>45797</v>
      </c>
      <c r="C1537" s="1" t="n">
        <v>45832</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24545-2025</t>
        </is>
      </c>
      <c r="B1538" s="1" t="n">
        <v>45798</v>
      </c>
      <c r="C1538" s="1" t="n">
        <v>45832</v>
      </c>
      <c r="D1538" t="inlineStr">
        <is>
          <t>NORRBOTTENS LÄN</t>
        </is>
      </c>
      <c r="E1538" t="inlineStr">
        <is>
          <t>BODEN</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24699-2025</t>
        </is>
      </c>
      <c r="B1539" s="1" t="n">
        <v>45798</v>
      </c>
      <c r="C1539" s="1" t="n">
        <v>45832</v>
      </c>
      <c r="D1539" t="inlineStr">
        <is>
          <t>NORRBOTTENS LÄN</t>
        </is>
      </c>
      <c r="E1539" t="inlineStr">
        <is>
          <t>BODEN</t>
        </is>
      </c>
      <c r="F1539" t="inlineStr">
        <is>
          <t>SCA</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24538-2025</t>
        </is>
      </c>
      <c r="B1540" s="1" t="n">
        <v>45798</v>
      </c>
      <c r="C1540" s="1" t="n">
        <v>45832</v>
      </c>
      <c r="D1540" t="inlineStr">
        <is>
          <t>NORRBOTTENS LÄN</t>
        </is>
      </c>
      <c r="E1540" t="inlineStr">
        <is>
          <t>BODEN</t>
        </is>
      </c>
      <c r="F1540" t="inlineStr">
        <is>
          <t>Sveaskog</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24733-2025</t>
        </is>
      </c>
      <c r="B1541" s="1" t="n">
        <v>45799</v>
      </c>
      <c r="C1541" s="1" t="n">
        <v>45832</v>
      </c>
      <c r="D1541" t="inlineStr">
        <is>
          <t>NORRBOTTENS LÄN</t>
        </is>
      </c>
      <c r="E1541" t="inlineStr">
        <is>
          <t>BODEN</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24738-2025</t>
        </is>
      </c>
      <c r="B1542" s="1" t="n">
        <v>45799</v>
      </c>
      <c r="C1542" s="1" t="n">
        <v>45832</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25654-2025</t>
        </is>
      </c>
      <c r="B1543" s="1" t="n">
        <v>45803</v>
      </c>
      <c r="C1543" s="1" t="n">
        <v>45832</v>
      </c>
      <c r="D1543" t="inlineStr">
        <is>
          <t>NORRBOTTENS LÄN</t>
        </is>
      </c>
      <c r="E1543" t="inlineStr">
        <is>
          <t>BODEN</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25926-2025</t>
        </is>
      </c>
      <c r="B1544" s="1" t="n">
        <v>45803</v>
      </c>
      <c r="C1544" s="1" t="n">
        <v>45832</v>
      </c>
      <c r="D1544" t="inlineStr">
        <is>
          <t>NORRBOTTENS LÄN</t>
        </is>
      </c>
      <c r="E1544" t="inlineStr">
        <is>
          <t>BODEN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25983-2025</t>
        </is>
      </c>
      <c r="B1545" s="1" t="n">
        <v>45803</v>
      </c>
      <c r="C1545" s="1" t="n">
        <v>45832</v>
      </c>
      <c r="D1545" t="inlineStr">
        <is>
          <t>NORRBOTTENS LÄN</t>
        </is>
      </c>
      <c r="E1545" t="inlineStr">
        <is>
          <t>BODEN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25901-2025</t>
        </is>
      </c>
      <c r="B1546" s="1" t="n">
        <v>45803</v>
      </c>
      <c r="C1546" s="1" t="n">
        <v>45832</v>
      </c>
      <c r="D1546" t="inlineStr">
        <is>
          <t>NORRBOTTENS LÄN</t>
        </is>
      </c>
      <c r="E1546" t="inlineStr">
        <is>
          <t>BODEN</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25692-2025</t>
        </is>
      </c>
      <c r="B1547" s="1" t="n">
        <v>45803</v>
      </c>
      <c r="C1547" s="1" t="n">
        <v>45832</v>
      </c>
      <c r="D1547" t="inlineStr">
        <is>
          <t>NORRBOTTENS LÄN</t>
        </is>
      </c>
      <c r="E1547" t="inlineStr">
        <is>
          <t>BODEN</t>
        </is>
      </c>
      <c r="F1547" t="inlineStr">
        <is>
          <t>Sveaskog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25839-2025</t>
        </is>
      </c>
      <c r="B1548" s="1" t="n">
        <v>45804</v>
      </c>
      <c r="C1548" s="1" t="n">
        <v>45832</v>
      </c>
      <c r="D1548" t="inlineStr">
        <is>
          <t>NORRBOTTENS LÄN</t>
        </is>
      </c>
      <c r="E1548" t="inlineStr">
        <is>
          <t>BODEN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25767-2025</t>
        </is>
      </c>
      <c r="B1549" s="1" t="n">
        <v>45804</v>
      </c>
      <c r="C1549" s="1" t="n">
        <v>45832</v>
      </c>
      <c r="D1549" t="inlineStr">
        <is>
          <t>NORRBOTTENS LÄN</t>
        </is>
      </c>
      <c r="E1549" t="inlineStr">
        <is>
          <t>BODEN</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26010-2025</t>
        </is>
      </c>
      <c r="B1550" s="1" t="n">
        <v>45804</v>
      </c>
      <c r="C1550" s="1" t="n">
        <v>45832</v>
      </c>
      <c r="D1550" t="inlineStr">
        <is>
          <t>NORRBOTTENS LÄN</t>
        </is>
      </c>
      <c r="E1550" t="inlineStr">
        <is>
          <t>BODEN</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27604-2025</t>
        </is>
      </c>
      <c r="B1551" s="1" t="n">
        <v>45813</v>
      </c>
      <c r="C1551" s="1" t="n">
        <v>45832</v>
      </c>
      <c r="D1551" t="inlineStr">
        <is>
          <t>NORRBOTTENS LÄN</t>
        </is>
      </c>
      <c r="E1551" t="inlineStr">
        <is>
          <t>BODEN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27543-2025</t>
        </is>
      </c>
      <c r="B1552" s="1" t="n">
        <v>45813</v>
      </c>
      <c r="C1552" s="1" t="n">
        <v>45832</v>
      </c>
      <c r="D1552" t="inlineStr">
        <is>
          <t>NORRBOTTENS LÄN</t>
        </is>
      </c>
      <c r="E1552" t="inlineStr">
        <is>
          <t>BODEN</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27602-2025</t>
        </is>
      </c>
      <c r="B1553" s="1" t="n">
        <v>45813</v>
      </c>
      <c r="C1553" s="1" t="n">
        <v>45832</v>
      </c>
      <c r="D1553" t="inlineStr">
        <is>
          <t>NORRBOTTENS LÄN</t>
        </is>
      </c>
      <c r="E1553" t="inlineStr">
        <is>
          <t>BODEN</t>
        </is>
      </c>
      <c r="F1553" t="inlineStr">
        <is>
          <t>SCA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27605-2025</t>
        </is>
      </c>
      <c r="B1554" s="1" t="n">
        <v>45813</v>
      </c>
      <c r="C1554" s="1" t="n">
        <v>45832</v>
      </c>
      <c r="D1554" t="inlineStr">
        <is>
          <t>NORRBOTTENS LÄN</t>
        </is>
      </c>
      <c r="E1554" t="inlineStr">
        <is>
          <t>BODEN</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27576-2025</t>
        </is>
      </c>
      <c r="B1555" s="1" t="n">
        <v>45813</v>
      </c>
      <c r="C1555" s="1" t="n">
        <v>45832</v>
      </c>
      <c r="D1555" t="inlineStr">
        <is>
          <t>NORRBOTTENS LÄN</t>
        </is>
      </c>
      <c r="E1555" t="inlineStr">
        <is>
          <t>BODEN</t>
        </is>
      </c>
      <c r="F1555" t="inlineStr">
        <is>
          <t>SCA</t>
        </is>
      </c>
      <c r="G1555" t="n">
        <v>17.7</v>
      </c>
      <c r="H1555" t="n">
        <v>0</v>
      </c>
      <c r="I1555" t="n">
        <v>0</v>
      </c>
      <c r="J1555" t="n">
        <v>0</v>
      </c>
      <c r="K1555" t="n">
        <v>0</v>
      </c>
      <c r="L1555" t="n">
        <v>0</v>
      </c>
      <c r="M1555" t="n">
        <v>0</v>
      </c>
      <c r="N1555" t="n">
        <v>0</v>
      </c>
      <c r="O1555" t="n">
        <v>0</v>
      </c>
      <c r="P1555" t="n">
        <v>0</v>
      </c>
      <c r="Q1555" t="n">
        <v>0</v>
      </c>
      <c r="R1555" s="2" t="inlineStr"/>
    </row>
    <row r="1556" ht="15" customHeight="1">
      <c r="A1556" t="inlineStr">
        <is>
          <t>A 27508-2025</t>
        </is>
      </c>
      <c r="B1556" s="1" t="n">
        <v>45813</v>
      </c>
      <c r="C1556" s="1" t="n">
        <v>45832</v>
      </c>
      <c r="D1556" t="inlineStr">
        <is>
          <t>NORRBOTTENS LÄN</t>
        </is>
      </c>
      <c r="E1556" t="inlineStr">
        <is>
          <t>BODEN</t>
        </is>
      </c>
      <c r="F1556" t="inlineStr">
        <is>
          <t>SCA</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27507-2025</t>
        </is>
      </c>
      <c r="B1557" s="1" t="n">
        <v>45813</v>
      </c>
      <c r="C1557" s="1" t="n">
        <v>45832</v>
      </c>
      <c r="D1557" t="inlineStr">
        <is>
          <t>NORRBOTTENS LÄN</t>
        </is>
      </c>
      <c r="E1557" t="inlineStr">
        <is>
          <t>BODEN</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28297-2025</t>
        </is>
      </c>
      <c r="B1558" s="1" t="n">
        <v>45818</v>
      </c>
      <c r="C1558" s="1" t="n">
        <v>45832</v>
      </c>
      <c r="D1558" t="inlineStr">
        <is>
          <t>NORRBOTTENS LÄN</t>
        </is>
      </c>
      <c r="E1558" t="inlineStr">
        <is>
          <t>BODEN</t>
        </is>
      </c>
      <c r="F1558" t="inlineStr">
        <is>
          <t>Sveaskog</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28139-2025</t>
        </is>
      </c>
      <c r="B1559" s="1" t="n">
        <v>45818</v>
      </c>
      <c r="C1559" s="1" t="n">
        <v>45832</v>
      </c>
      <c r="D1559" t="inlineStr">
        <is>
          <t>NORRBOTTENS LÄN</t>
        </is>
      </c>
      <c r="E1559" t="inlineStr">
        <is>
          <t>BODEN</t>
        </is>
      </c>
      <c r="F1559" t="inlineStr">
        <is>
          <t>SCA</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28141-2025</t>
        </is>
      </c>
      <c r="B1560" s="1" t="n">
        <v>45818</v>
      </c>
      <c r="C1560" s="1" t="n">
        <v>45832</v>
      </c>
      <c r="D1560" t="inlineStr">
        <is>
          <t>NORRBOTTENS LÄN</t>
        </is>
      </c>
      <c r="E1560" t="inlineStr">
        <is>
          <t>BODEN</t>
        </is>
      </c>
      <c r="F1560" t="inlineStr">
        <is>
          <t>SCA</t>
        </is>
      </c>
      <c r="G1560" t="n">
        <v>19.1</v>
      </c>
      <c r="H1560" t="n">
        <v>0</v>
      </c>
      <c r="I1560" t="n">
        <v>0</v>
      </c>
      <c r="J1560" t="n">
        <v>0</v>
      </c>
      <c r="K1560" t="n">
        <v>0</v>
      </c>
      <c r="L1560" t="n">
        <v>0</v>
      </c>
      <c r="M1560" t="n">
        <v>0</v>
      </c>
      <c r="N1560" t="n">
        <v>0</v>
      </c>
      <c r="O1560" t="n">
        <v>0</v>
      </c>
      <c r="P1560" t="n">
        <v>0</v>
      </c>
      <c r="Q1560" t="n">
        <v>0</v>
      </c>
      <c r="R1560" s="2" t="inlineStr"/>
    </row>
    <row r="1561" ht="15" customHeight="1">
      <c r="A1561" t="inlineStr">
        <is>
          <t>A 28248-2025</t>
        </is>
      </c>
      <c r="B1561" s="1" t="n">
        <v>45818</v>
      </c>
      <c r="C1561" s="1" t="n">
        <v>45832</v>
      </c>
      <c r="D1561" t="inlineStr">
        <is>
          <t>NORRBOTTENS LÄN</t>
        </is>
      </c>
      <c r="E1561" t="inlineStr">
        <is>
          <t>BODEN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28135-2025</t>
        </is>
      </c>
      <c r="B1562" s="1" t="n">
        <v>45818</v>
      </c>
      <c r="C1562" s="1" t="n">
        <v>45832</v>
      </c>
      <c r="D1562" t="inlineStr">
        <is>
          <t>NORRBOTTENS LÄN</t>
        </is>
      </c>
      <c r="E1562" t="inlineStr">
        <is>
          <t>BODEN</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28134-2025</t>
        </is>
      </c>
      <c r="B1563" s="1" t="n">
        <v>45818</v>
      </c>
      <c r="C1563" s="1" t="n">
        <v>45832</v>
      </c>
      <c r="D1563" t="inlineStr">
        <is>
          <t>NORRBOTTENS LÄN</t>
        </is>
      </c>
      <c r="E1563" t="inlineStr">
        <is>
          <t>BODEN</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28197-2025</t>
        </is>
      </c>
      <c r="B1564" s="1" t="n">
        <v>45818</v>
      </c>
      <c r="C1564" s="1" t="n">
        <v>45832</v>
      </c>
      <c r="D1564" t="inlineStr">
        <is>
          <t>NORRBOTTENS LÄN</t>
        </is>
      </c>
      <c r="E1564" t="inlineStr">
        <is>
          <t>BODEN</t>
        </is>
      </c>
      <c r="F1564" t="inlineStr">
        <is>
          <t>Sveaskog</t>
        </is>
      </c>
      <c r="G1564" t="n">
        <v>7.2</v>
      </c>
      <c r="H1564" t="n">
        <v>0</v>
      </c>
      <c r="I1564" t="n">
        <v>0</v>
      </c>
      <c r="J1564" t="n">
        <v>0</v>
      </c>
      <c r="K1564" t="n">
        <v>0</v>
      </c>
      <c r="L1564" t="n">
        <v>0</v>
      </c>
      <c r="M1564" t="n">
        <v>0</v>
      </c>
      <c r="N1564" t="n">
        <v>0</v>
      </c>
      <c r="O1564" t="n">
        <v>0</v>
      </c>
      <c r="P1564" t="n">
        <v>0</v>
      </c>
      <c r="Q1564" t="n">
        <v>0</v>
      </c>
      <c r="R1564" s="2" t="inlineStr"/>
      <c r="U1564">
        <f>HYPERLINK("https://klasma.github.io/Logging_252582/knärot/A 28197-2025 karta knärot.png", "A 28197-2025")</f>
        <v/>
      </c>
      <c r="V1564">
        <f>HYPERLINK("https://klasma.github.io/Logging_252582/klagomål/A 28197-2025 FSC-klagomål.docx", "A 28197-2025")</f>
        <v/>
      </c>
      <c r="W1564">
        <f>HYPERLINK("https://klasma.github.io/Logging_252582/klagomålsmail/A 28197-2025 FSC-klagomål mail.docx", "A 28197-2025")</f>
        <v/>
      </c>
      <c r="X1564">
        <f>HYPERLINK("https://klasma.github.io/Logging_252582/tillsyn/A 28197-2025 tillsynsbegäran.docx", "A 28197-2025")</f>
        <v/>
      </c>
      <c r="Y1564">
        <f>HYPERLINK("https://klasma.github.io/Logging_252582/tillsynsmail/A 28197-2025 tillsynsbegäran mail.docx", "A 28197-2025")</f>
        <v/>
      </c>
    </row>
    <row r="1565" ht="15" customHeight="1">
      <c r="A1565" t="inlineStr">
        <is>
          <t>A 28270-2025</t>
        </is>
      </c>
      <c r="B1565" s="1" t="n">
        <v>45818</v>
      </c>
      <c r="C1565" s="1" t="n">
        <v>45832</v>
      </c>
      <c r="D1565" t="inlineStr">
        <is>
          <t>NORRBOTTENS LÄN</t>
        </is>
      </c>
      <c r="E1565" t="inlineStr">
        <is>
          <t>BODEN</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45832</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29450-2025</t>
        </is>
      </c>
      <c r="B1567" s="1" t="n">
        <v>45824</v>
      </c>
      <c r="C1567" s="1" t="n">
        <v>45832</v>
      </c>
      <c r="D1567" t="inlineStr">
        <is>
          <t>NORRBOTTENS LÄN</t>
        </is>
      </c>
      <c r="E1567" t="inlineStr">
        <is>
          <t>BODEN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29451-2025</t>
        </is>
      </c>
      <c r="B1568" s="1" t="n">
        <v>45824</v>
      </c>
      <c r="C1568" s="1" t="n">
        <v>45832</v>
      </c>
      <c r="D1568" t="inlineStr">
        <is>
          <t>NORRBOTTENS LÄN</t>
        </is>
      </c>
      <c r="E1568" t="inlineStr">
        <is>
          <t>BODEN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29376-2025</t>
        </is>
      </c>
      <c r="B1569" s="1" t="n">
        <v>45824</v>
      </c>
      <c r="C1569" s="1" t="n">
        <v>45832</v>
      </c>
      <c r="D1569" t="inlineStr">
        <is>
          <t>NORRBOTTENS LÄN</t>
        </is>
      </c>
      <c r="E1569" t="inlineStr">
        <is>
          <t>BODEN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29971-2025</t>
        </is>
      </c>
      <c r="B1570" s="1" t="n">
        <v>45826</v>
      </c>
      <c r="C1570" s="1" t="n">
        <v>45832</v>
      </c>
      <c r="D1570" t="inlineStr">
        <is>
          <t>NORRBOTTENS LÄN</t>
        </is>
      </c>
      <c r="E1570" t="inlineStr">
        <is>
          <t>BODEN</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29951-2025</t>
        </is>
      </c>
      <c r="B1571" s="1" t="n">
        <v>45826</v>
      </c>
      <c r="C1571" s="1" t="n">
        <v>45832</v>
      </c>
      <c r="D1571" t="inlineStr">
        <is>
          <t>NORRBOTTENS LÄN</t>
        </is>
      </c>
      <c r="E1571" t="inlineStr">
        <is>
          <t>BODEN</t>
        </is>
      </c>
      <c r="F1571" t="inlineStr">
        <is>
          <t>SCA</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30089-2025</t>
        </is>
      </c>
      <c r="B1572" s="1" t="n">
        <v>45826</v>
      </c>
      <c r="C1572" s="1" t="n">
        <v>45832</v>
      </c>
      <c r="D1572" t="inlineStr">
        <is>
          <t>NORRBOTTENS LÄN</t>
        </is>
      </c>
      <c r="E1572" t="inlineStr">
        <is>
          <t>BODEN</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30700-2025</t>
        </is>
      </c>
      <c r="B1573" s="1" t="n">
        <v>45831</v>
      </c>
      <c r="C1573" s="1" t="n">
        <v>45832</v>
      </c>
      <c r="D1573" t="inlineStr">
        <is>
          <t>NORRBOTTENS LÄN</t>
        </is>
      </c>
      <c r="E1573" t="inlineStr">
        <is>
          <t>BODEN</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30705-2025</t>
        </is>
      </c>
      <c r="B1574" s="1" t="n">
        <v>45831</v>
      </c>
      <c r="C1574" s="1" t="n">
        <v>45832</v>
      </c>
      <c r="D1574" t="inlineStr">
        <is>
          <t>NORRBOTTENS LÄN</t>
        </is>
      </c>
      <c r="E1574" t="inlineStr">
        <is>
          <t>BODEN</t>
        </is>
      </c>
      <c r="F1574" t="inlineStr">
        <is>
          <t>Sveaskog</t>
        </is>
      </c>
      <c r="G1574" t="n">
        <v>4.4</v>
      </c>
      <c r="H1574" t="n">
        <v>0</v>
      </c>
      <c r="I1574" t="n">
        <v>0</v>
      </c>
      <c r="J1574" t="n">
        <v>0</v>
      </c>
      <c r="K1574" t="n">
        <v>0</v>
      </c>
      <c r="L1574" t="n">
        <v>0</v>
      </c>
      <c r="M1574" t="n">
        <v>0</v>
      </c>
      <c r="N1574" t="n">
        <v>0</v>
      </c>
      <c r="O1574" t="n">
        <v>0</v>
      </c>
      <c r="P1574" t="n">
        <v>0</v>
      </c>
      <c r="Q1574" t="n">
        <v>0</v>
      </c>
      <c r="R1574" s="2" t="inlineStr"/>
    </row>
    <row r="1575">
      <c r="A1575" t="inlineStr">
        <is>
          <t>A 30765-2025</t>
        </is>
      </c>
      <c r="B1575" s="1" t="n">
        <v>45831</v>
      </c>
      <c r="C1575" s="1" t="n">
        <v>45832</v>
      </c>
      <c r="D1575" t="inlineStr">
        <is>
          <t>NORRBOTTENS LÄN</t>
        </is>
      </c>
      <c r="E1575" t="inlineStr">
        <is>
          <t>BODEN</t>
        </is>
      </c>
      <c r="F1575" t="inlineStr">
        <is>
          <t>Sveaskog</t>
        </is>
      </c>
      <c r="G1575" t="n">
        <v>2.8</v>
      </c>
      <c r="H1575" t="n">
        <v>0</v>
      </c>
      <c r="I1575" t="n">
        <v>0</v>
      </c>
      <c r="J1575" t="n">
        <v>0</v>
      </c>
      <c r="K1575" t="n">
        <v>0</v>
      </c>
      <c r="L1575" t="n">
        <v>0</v>
      </c>
      <c r="M1575" t="n">
        <v>0</v>
      </c>
      <c r="N1575" t="n">
        <v>0</v>
      </c>
      <c r="O1575" t="n">
        <v>0</v>
      </c>
      <c r="P1575" t="n">
        <v>0</v>
      </c>
      <c r="Q1575" t="n">
        <v>0</v>
      </c>
      <c r="R1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2025-06-24T19:51:39Z</dcterms:created>
  <dcterms:modified xmlns:dcterms="http://purl.org/dc/terms/" xmlns:xsi="http://www.w3.org/2001/XMLSchema-instance" xsi:type="dcterms:W3CDTF">2025-06-24T19:51:40Z</dcterms:modified>
</cp:coreProperties>
</file>