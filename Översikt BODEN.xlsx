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46262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46262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46262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46262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46262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46262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46262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46262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46262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46262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46262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46262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46262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46262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46262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46262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46262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46262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46262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46262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46262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46262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46262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46262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46262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46262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46262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46262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46262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46262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46262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46262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51957-2025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7</v>
      </c>
      <c r="U48" t="n">
        <v>1</v>
      </c>
      <c r="V48" s="2" t="inlineStr">
        <is>
          <t>Brunfläckig pärlemorfjäril
Garnlav
Harticka</t>
        </is>
      </c>
      <c r="W48">
        <f>HYPERLINK("https://klasma.github.io/Logging_2582/artfynd/A 51957-2025 artfynd.xlsx", "A 51957-2025")</f>
        <v/>
      </c>
      <c r="X48">
        <f>HYPERLINK("https://klasma.github.io/Logging_2582/kartor/A 51957-2025 karta.png", "A 51957-2025")</f>
        <v/>
      </c>
      <c r="Y48">
        <f>HYPERLINK("https://klasma.github.io/Logging_2582/kartor_geotiff/A 51957-2025 georefererad karta.tif", "A 51957-2025")</f>
        <v/>
      </c>
      <c r="AA48">
        <f>HYPERLINK("https://klasma.github.io/Logging_2582/klagomål/A 51957-2025 FSC-klagomål.docx", "A 51957-2025")</f>
        <v/>
      </c>
      <c r="AB48">
        <f>HYPERLINK("https://klasma.github.io/Logging_2582/klagomålsmail/A 51957-2025 FSC-klagomål mail.docx", "A 51957-2025")</f>
        <v/>
      </c>
      <c r="AC48">
        <f>HYPERLINK("https://klasma.github.io/Logging_2582/tillsyn/A 51957-2025 tillsynsbegäran.docx", "A 51957-2025")</f>
        <v/>
      </c>
      <c r="AD48">
        <f>HYPERLINK("https://klasma.github.io/Logging_2582/tillsynsmail/A 51957-2025 tillsynsbegäran mail.docx", "A 51957-2025")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46262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Dropptaggsvamp
Dvärgbägarlav
Lunglav</t>
        </is>
      </c>
      <c r="W49">
        <f>HYPERLINK("https://klasma.github.io/Logging_2582/artfynd/A 57806-2025 artfynd.xlsx", "A 57806-2025")</f>
        <v/>
      </c>
      <c r="X49">
        <f>HYPERLINK("https://klasma.github.io/Logging_2582/kartor/A 57806-2025 karta.png", "A 57806-2025")</f>
        <v/>
      </c>
      <c r="Y49">
        <f>HYPERLINK("https://klasma.github.io/Logging_2582/kartor_geotiff/A 57806-2025 georefererad karta.tif", "A 57806-2025")</f>
        <v/>
      </c>
      <c r="AA49">
        <f>HYPERLINK("https://klasma.github.io/Logging_2582/klagomål/A 57806-2025 FSC-klagomål.docx", "A 57806-2025")</f>
        <v/>
      </c>
      <c r="AB49">
        <f>HYPERLINK("https://klasma.github.io/Logging_2582/klagomålsmail/A 57806-2025 FSC-klagomål mail.docx", "A 57806-2025")</f>
        <v/>
      </c>
      <c r="AC49">
        <f>HYPERLINK("https://klasma.github.io/Logging_2582/tillsyn/A 57806-2025 tillsynsbegäran.docx", "A 57806-2025")</f>
        <v/>
      </c>
      <c r="AD49">
        <f>HYPERLINK("https://klasma.github.io/Logging_2582/tillsynsmail/A 57806-2025 tillsynsbegäran mail.docx", "A 57806-2025")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46262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43719-2025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46262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1.1</v>
      </c>
      <c r="J51" t="n">
        <v>0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Liten hornflikmossa
Vedtrappmossa
Stuplav</t>
        </is>
      </c>
      <c r="W51">
        <f>HYPERLINK("https://klasma.github.io/Logging_2582/artfynd/A 43719-2025 artfynd.xlsx", "A 43719-2025")</f>
        <v/>
      </c>
      <c r="X51">
        <f>HYPERLINK("https://klasma.github.io/Logging_2582/kartor/A 43719-2025 karta.png", "A 43719-2025")</f>
        <v/>
      </c>
      <c r="Y51">
        <f>HYPERLINK("https://klasma.github.io/Logging_2582/kartor_geotiff/A 43719-2025 georefererad karta.tif", "A 43719-2025")</f>
        <v/>
      </c>
      <c r="AA51">
        <f>HYPERLINK("https://klasma.github.io/Logging_2582/klagomål/A 43719-2025 FSC-klagomål.docx", "A 43719-2025")</f>
        <v/>
      </c>
      <c r="AB51">
        <f>HYPERLINK("https://klasma.github.io/Logging_2582/klagomålsmail/A 43719-2025 FSC-klagomål mail.docx", "A 43719-2025")</f>
        <v/>
      </c>
      <c r="AC51">
        <f>HYPERLINK("https://klasma.github.io/Logging_2582/tillsyn/A 43719-2025 tillsynsbegäran.docx", "A 43719-2025")</f>
        <v/>
      </c>
      <c r="AD51">
        <f>HYPERLINK("https://klasma.github.io/Logging_2582/tillsynsmail/A 43719-2025 tillsynsbegäran mail.docx", "A 43719-2025")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46262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46262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46262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23575-2023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46262</v>
      </c>
      <c r="F55" t="inlineStr">
        <is>
          <t>NORRBOTTENS LÄN</t>
        </is>
      </c>
      <c r="G55" t="inlineStr">
        <is>
          <t>BODEN</t>
        </is>
      </c>
      <c r="I55" t="n">
        <v>7.9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1</v>
      </c>
      <c r="V55" s="2" t="inlineStr">
        <is>
          <t>Gammelgransskål
Nordfladdermus
Bollvitmossa</t>
        </is>
      </c>
      <c r="W55">
        <f>HYPERLINK("https://klasma.github.io/Logging_2582/artfynd/A 23575-2023 artfynd.xlsx", "A 23575-2023")</f>
        <v/>
      </c>
      <c r="X55">
        <f>HYPERLINK("https://klasma.github.io/Logging_2582/kartor/A 23575-2023 karta.png", "A 23575-2023")</f>
        <v/>
      </c>
      <c r="Y55">
        <f>HYPERLINK("https://klasma.github.io/Logging_2582/kartor_geotiff/A 23575-2023 georefererad karta.tif", "A 23575-2023")</f>
        <v/>
      </c>
      <c r="AA55">
        <f>HYPERLINK("https://klasma.github.io/Logging_2582/klagomål/A 23575-2023 FSC-klagomål.docx", "A 23575-2023")</f>
        <v/>
      </c>
      <c r="AB55">
        <f>HYPERLINK("https://klasma.github.io/Logging_2582/klagomålsmail/A 23575-2023 FSC-klagomål mail.docx", "A 23575-2023")</f>
        <v/>
      </c>
      <c r="AC55">
        <f>HYPERLINK("https://klasma.github.io/Logging_2582/tillsyn/A 23575-2023 tillsynsbegäran.docx", "A 23575-2023")</f>
        <v/>
      </c>
      <c r="AD55">
        <f>HYPERLINK("https://klasma.github.io/Logging_2582/tillsynsmail/A 23575-2023 tillsynsbegäran mail.docx", "A 23575-2023")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46262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46262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46262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46262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27698-2026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46262</v>
      </c>
      <c r="F61" t="inlineStr">
        <is>
          <t>NORRBOTTENS LÄN</t>
        </is>
      </c>
      <c r="G61" t="inlineStr">
        <is>
          <t>BODEN</t>
        </is>
      </c>
      <c r="I61" t="n">
        <v>22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16</v>
      </c>
      <c r="U61" t="n">
        <v>16</v>
      </c>
      <c r="V61" s="2" t="inlineStr">
        <is>
          <t>Fläckporing
Knärot
Lunglav</t>
        </is>
      </c>
      <c r="W61">
        <f>HYPERLINK("https://klasma.github.io/Logging_2582/artfynd/A 27698-2026 artfynd.xlsx", "A 27698-2026")</f>
        <v/>
      </c>
      <c r="X61">
        <f>HYPERLINK("https://klasma.github.io/Logging_2582/kartor/A 27698-2026 karta.png", "A 27698-2026")</f>
        <v/>
      </c>
      <c r="Y61">
        <f>HYPERLINK("https://klasma.github.io/Logging_2582/kartor_geotiff/A 27698-2026 georefererad karta.tif", "A 27698-2026")</f>
        <v/>
      </c>
      <c r="Z61">
        <f>HYPERLINK("https://klasma.github.io/Logging_2582/knärot/A 27698-2026 karta knärot.png", "A 27698-2026")</f>
        <v/>
      </c>
      <c r="AA61">
        <f>HYPERLINK("https://klasma.github.io/Logging_2582/klagomål/A 27698-2026 FSC-klagomål.docx", "A 27698-2026")</f>
        <v/>
      </c>
      <c r="AB61">
        <f>HYPERLINK("https://klasma.github.io/Logging_2582/klagomålsmail/A 27698-2026 FSC-klagomål mail.docx", "A 27698-2026")</f>
        <v/>
      </c>
      <c r="AC61">
        <f>HYPERLINK("https://klasma.github.io/Logging_2582/tillsyn/A 27698-2026 tillsynsbegäran.docx", "A 27698-2026")</f>
        <v/>
      </c>
      <c r="AD61">
        <f>HYPERLINK("https://klasma.github.io/Logging_2582/tillsynsmail/A 27698-2026 tillsynsbegäran mail.docx", "A 27698-2026")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46262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46262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46262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58196-2021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Gammelgransskål
Lunglav</t>
        </is>
      </c>
      <c r="W65">
        <f>HYPERLINK("https://klasma.github.io/Logging_2582/artfynd/A 58196-2021 artfynd.xlsx", "A 58196-2021")</f>
        <v/>
      </c>
      <c r="X65">
        <f>HYPERLINK("https://klasma.github.io/Logging_2582/kartor/A 58196-2021 karta.png", "A 58196-2021")</f>
        <v/>
      </c>
      <c r="Y65">
        <f>HYPERLINK("https://klasma.github.io/Logging_2582/kartor_geotiff/A 58196-2021 georefererad karta.tif", "A 58196-2021")</f>
        <v/>
      </c>
      <c r="AA65">
        <f>HYPERLINK("https://klasma.github.io/Logging_2582/klagomål/A 58196-2021 FSC-klagomål.docx", "A 58196-2021")</f>
        <v/>
      </c>
      <c r="AB65">
        <f>HYPERLINK("https://klasma.github.io/Logging_2582/klagomålsmail/A 58196-2021 FSC-klagomål mail.docx", "A 58196-2021")</f>
        <v/>
      </c>
      <c r="AC65">
        <f>HYPERLINK("https://klasma.github.io/Logging_2582/tillsyn/A 58196-2021 tillsynsbegäran.docx", "A 58196-2021")</f>
        <v/>
      </c>
      <c r="AD65">
        <f>HYPERLINK("https://klasma.github.io/Logging_2582/tillsynsmail/A 58196-2021 tillsynsbegäran mail.docx", "A 58196-2021")</f>
        <v/>
      </c>
    </row>
    <row r="66" ht="15" customHeight="1">
      <c r="A66" t="inlineStr">
        <is>
          <t>A 13659-2022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44648</v>
      </c>
      <c r="E66" s="1" t="n">
        <v>46262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7.3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Bollvitmossa
Ögonpyrola</t>
        </is>
      </c>
      <c r="W66">
        <f>HYPERLINK("https://klasma.github.io/Logging_2582/artfynd/A 13659-2022 artfynd.xlsx", "A 13659-2022")</f>
        <v/>
      </c>
      <c r="X66">
        <f>HYPERLINK("https://klasma.github.io/Logging_2582/kartor/A 13659-2022 karta.png", "A 13659-2022")</f>
        <v/>
      </c>
      <c r="Y66">
        <f>HYPERLINK("https://klasma.github.io/Logging_2582/kartor_geotiff/A 13659-2022 georefererad karta.tif", "A 13659-2022")</f>
        <v/>
      </c>
      <c r="AA66">
        <f>HYPERLINK("https://klasma.github.io/Logging_2582/klagomål/A 13659-2022 FSC-klagomål.docx", "A 13659-2022")</f>
        <v/>
      </c>
      <c r="AB66">
        <f>HYPERLINK("https://klasma.github.io/Logging_2582/klagomålsmail/A 13659-2022 FSC-klagomål mail.docx", "A 13659-2022")</f>
        <v/>
      </c>
      <c r="AC66">
        <f>HYPERLINK("https://klasma.github.io/Logging_2582/tillsyn/A 13659-2022 tillsynsbegäran.docx", "A 13659-2022")</f>
        <v/>
      </c>
      <c r="AD66">
        <f>HYPERLINK("https://klasma.github.io/Logging_2582/tillsynsmail/A 13659-2022 tillsynsbegäran mail.docx", "A 13659-2022")</f>
        <v/>
      </c>
    </row>
    <row r="67" ht="15" customHeight="1">
      <c r="A67" t="inlineStr">
        <is>
          <t>A 36629-2022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44804</v>
      </c>
      <c r="E67" s="1" t="n">
        <v>46262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10</v>
      </c>
      <c r="U67" t="n">
        <v>10</v>
      </c>
      <c r="V67" s="2" t="inlineStr">
        <is>
          <t>Dropptaggsvamp
Skarp dropptaggsvamp</t>
        </is>
      </c>
      <c r="W67">
        <f>HYPERLINK("https://klasma.github.io/Logging_2582/artfynd/A 36629-2022 artfynd.xlsx", "A 36629-2022")</f>
        <v/>
      </c>
      <c r="X67">
        <f>HYPERLINK("https://klasma.github.io/Logging_2582/kartor/A 36629-2022 karta.png", "A 36629-2022")</f>
        <v/>
      </c>
      <c r="Y67">
        <f>HYPERLINK("https://klasma.github.io/Logging_2582/kartor_geotiff/A 36629-2022 georefererad karta.tif", "A 36629-2022")</f>
        <v/>
      </c>
      <c r="AA67">
        <f>HYPERLINK("https://klasma.github.io/Logging_2582/klagomål/A 36629-2022 FSC-klagomål.docx", "A 36629-2022")</f>
        <v/>
      </c>
      <c r="AB67">
        <f>HYPERLINK("https://klasma.github.io/Logging_2582/klagomålsmail/A 36629-2022 FSC-klagomål mail.docx", "A 36629-2022")</f>
        <v/>
      </c>
      <c r="AC67">
        <f>HYPERLINK("https://klasma.github.io/Logging_2582/tillsyn/A 36629-2022 tillsynsbegäran.docx", "A 36629-2022")</f>
        <v/>
      </c>
      <c r="AD67">
        <f>HYPERLINK("https://klasma.github.io/Logging_2582/tillsynsmail/A 36629-2022 tillsynsbegäran mail.docx", "A 36629-2022")</f>
        <v/>
      </c>
    </row>
    <row r="68" ht="15" customHeight="1">
      <c r="A68" t="inlineStr">
        <is>
          <t>A 35037-2022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46262</v>
      </c>
      <c r="F68" t="inlineStr">
        <is>
          <t>NORRBOTTENS LÄN</t>
        </is>
      </c>
      <c r="G68" t="inlineStr">
        <is>
          <t>BODEN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Rödvingetrast
Revlummer</t>
        </is>
      </c>
      <c r="W68">
        <f>HYPERLINK("https://klasma.github.io/Logging_2582/artfynd/A 35037-2022 artfynd.xlsx", "A 35037-2022")</f>
        <v/>
      </c>
      <c r="X68">
        <f>HYPERLINK("https://klasma.github.io/Logging_2582/kartor/A 35037-2022 karta.png", "A 35037-2022")</f>
        <v/>
      </c>
      <c r="Y68">
        <f>HYPERLINK("https://klasma.github.io/Logging_2582/kartor_geotiff/A 35037-2022 georefererad karta.tif", "A 35037-2022")</f>
        <v/>
      </c>
      <c r="AA68">
        <f>HYPERLINK("https://klasma.github.io/Logging_2582/klagomål/A 35037-2022 FSC-klagomål.docx", "A 35037-2022")</f>
        <v/>
      </c>
      <c r="AB68">
        <f>HYPERLINK("https://klasma.github.io/Logging_2582/klagomålsmail/A 35037-2022 FSC-klagomål mail.docx", "A 35037-2022")</f>
        <v/>
      </c>
      <c r="AC68">
        <f>HYPERLINK("https://klasma.github.io/Logging_2582/tillsyn/A 35037-2022 tillsynsbegäran.docx", "A 35037-2022")</f>
        <v/>
      </c>
      <c r="AD68">
        <f>HYPERLINK("https://klasma.github.io/Logging_2582/tillsynsmail/A 35037-2022 tillsynsbegäran mail.docx", "A 35037-2022")</f>
        <v/>
      </c>
      <c r="AE68">
        <f>HYPERLINK("https://klasma.github.io/Logging_2582/fåglar/A 35037-2022 prioriterade fågelarter.docx", "A 35037-2022")</f>
        <v/>
      </c>
    </row>
    <row r="69" ht="15" customHeight="1">
      <c r="A69" t="inlineStr">
        <is>
          <t>A 26346-2022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46262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Blå taggsvamp
Ullticka</t>
        </is>
      </c>
      <c r="W69">
        <f>HYPERLINK("https://klasma.github.io/Logging_2582/artfynd/A 26346-2022 artfynd.xlsx", "A 26346-2022")</f>
        <v/>
      </c>
      <c r="X69">
        <f>HYPERLINK("https://klasma.github.io/Logging_2582/kartor/A 26346-2022 karta.png", "A 26346-2022")</f>
        <v/>
      </c>
      <c r="Y69">
        <f>HYPERLINK("https://klasma.github.io/Logging_2582/kartor_geotiff/A 26346-2022 georefererad karta.tif", "A 26346-2022")</f>
        <v/>
      </c>
      <c r="AA69">
        <f>HYPERLINK("https://klasma.github.io/Logging_2582/klagomål/A 26346-2022 FSC-klagomål.docx", "A 26346-2022")</f>
        <v/>
      </c>
      <c r="AB69">
        <f>HYPERLINK("https://klasma.github.io/Logging_2582/klagomålsmail/A 26346-2022 FSC-klagomål mail.docx", "A 26346-2022")</f>
        <v/>
      </c>
      <c r="AC69">
        <f>HYPERLINK("https://klasma.github.io/Logging_2582/tillsyn/A 26346-2022 tillsynsbegäran.docx", "A 26346-2022")</f>
        <v/>
      </c>
      <c r="AD69">
        <f>HYPERLINK("https://klasma.github.io/Logging_2582/tillsynsmail/A 26346-2022 tillsynsbegäran mail.docx", "A 26346-2022")</f>
        <v/>
      </c>
    </row>
    <row r="70" ht="15" customHeight="1">
      <c r="A70" t="inlineStr">
        <is>
          <t>A 6639-2024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45341</v>
      </c>
      <c r="E70" s="1" t="n">
        <v>46262</v>
      </c>
      <c r="F70" t="inlineStr">
        <is>
          <t>NORRBOTTENS LÄN</t>
        </is>
      </c>
      <c r="G70" t="inlineStr">
        <is>
          <t>BODEN</t>
        </is>
      </c>
      <c r="H70" t="inlineStr">
        <is>
          <t>Övriga statliga verk och myndigheter</t>
        </is>
      </c>
      <c r="I70" t="n">
        <v>23.8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Lunglav
Kungsfågel</t>
        </is>
      </c>
      <c r="W70">
        <f>HYPERLINK("https://klasma.github.io/Logging_2582/artfynd/A 6639-2024 artfynd.xlsx", "A 6639-2024")</f>
        <v/>
      </c>
      <c r="X70">
        <f>HYPERLINK("https://klasma.github.io/Logging_2582/kartor/A 6639-2024 karta.png", "A 6639-2024")</f>
        <v/>
      </c>
      <c r="Y70">
        <f>HYPERLINK("https://klasma.github.io/Logging_2582/kartor_geotiff/A 6639-2024 georefererad karta.tif", "A 6639-2024")</f>
        <v/>
      </c>
      <c r="AA70">
        <f>HYPERLINK("https://klasma.github.io/Logging_2582/klagomål/A 6639-2024 FSC-klagomål.docx", "A 6639-2024")</f>
        <v/>
      </c>
      <c r="AB70">
        <f>HYPERLINK("https://klasma.github.io/Logging_2582/klagomålsmail/A 6639-2024 FSC-klagomål mail.docx", "A 6639-2024")</f>
        <v/>
      </c>
      <c r="AC70">
        <f>HYPERLINK("https://klasma.github.io/Logging_2582/tillsyn/A 6639-2024 tillsynsbegäran.docx", "A 6639-2024")</f>
        <v/>
      </c>
      <c r="AD70">
        <f>HYPERLINK("https://klasma.github.io/Logging_2582/tillsynsmail/A 6639-2024 tillsynsbegäran mail.docx", "A 6639-2024")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46262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Talltita
Gråspett</t>
        </is>
      </c>
      <c r="W71">
        <f>HYPERLINK("https://klasma.github.io/Logging_2582/artfynd/A 1507-2022 artfynd.xlsx", "A 1507-2022")</f>
        <v/>
      </c>
      <c r="X71">
        <f>HYPERLINK("https://klasma.github.io/Logging_2582/kartor/A 1507-2022 karta.png", "A 1507-2022")</f>
        <v/>
      </c>
      <c r="Y71">
        <f>HYPERLINK("https://klasma.github.io/Logging_2582/kartor_geotiff/A 1507-2022 georefererad karta.tif", "A 1507-2022")</f>
        <v/>
      </c>
      <c r="AA71">
        <f>HYPERLINK("https://klasma.github.io/Logging_2582/klagomål/A 1507-2022 FSC-klagomål.docx", "A 1507-2022")</f>
        <v/>
      </c>
      <c r="AB71">
        <f>HYPERLINK("https://klasma.github.io/Logging_2582/klagomålsmail/A 1507-2022 FSC-klagomål mail.docx", "A 1507-2022")</f>
        <v/>
      </c>
      <c r="AC71">
        <f>HYPERLINK("https://klasma.github.io/Logging_2582/tillsyn/A 1507-2022 tillsynsbegäran.docx", "A 1507-2022")</f>
        <v/>
      </c>
      <c r="AD71">
        <f>HYPERLINK("https://klasma.github.io/Logging_2582/tillsynsmail/A 1507-2022 tillsynsbegäran mail.docx", "A 1507-2022")</f>
        <v/>
      </c>
      <c r="AE71">
        <f>HYPERLINK("https://klasma.github.io/Logging_2582/fåglar/A 1507-2022 prioriterade fågelarter.docx", "A 1507-2022")</f>
        <v/>
      </c>
    </row>
    <row r="72" ht="15" customHeight="1">
      <c r="A72" t="inlineStr">
        <is>
          <t>A 32971-2024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45517</v>
      </c>
      <c r="E72" s="1" t="n">
        <v>46262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10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5</v>
      </c>
      <c r="U72" t="n">
        <v>4</v>
      </c>
      <c r="V72" s="2" t="inlineStr">
        <is>
          <t>Lunglav
Fläcknycklar</t>
        </is>
      </c>
      <c r="W72">
        <f>HYPERLINK("https://klasma.github.io/Logging_2582/artfynd/A 32971-2024 artfynd.xlsx", "A 32971-2024")</f>
        <v/>
      </c>
      <c r="X72">
        <f>HYPERLINK("https://klasma.github.io/Logging_2582/kartor/A 32971-2024 karta.png", "A 32971-2024")</f>
        <v/>
      </c>
      <c r="Y72">
        <f>HYPERLINK("https://klasma.github.io/Logging_2582/kartor_geotiff/A 32971-2024 georefererad karta.tif", "A 32971-2024")</f>
        <v/>
      </c>
      <c r="AA72">
        <f>HYPERLINK("https://klasma.github.io/Logging_2582/klagomål/A 32971-2024 FSC-klagomål.docx", "A 32971-2024")</f>
        <v/>
      </c>
      <c r="AB72">
        <f>HYPERLINK("https://klasma.github.io/Logging_2582/klagomålsmail/A 32971-2024 FSC-klagomål mail.docx", "A 32971-2024")</f>
        <v/>
      </c>
      <c r="AC72">
        <f>HYPERLINK("https://klasma.github.io/Logging_2582/tillsyn/A 32971-2024 tillsynsbegäran.docx", "A 32971-2024")</f>
        <v/>
      </c>
      <c r="AD72">
        <f>HYPERLINK("https://klasma.github.io/Logging_2582/tillsynsmail/A 32971-2024 tillsynsbegäran mail.docx", "A 32971-2024")</f>
        <v/>
      </c>
    </row>
    <row r="73" ht="15" customHeight="1">
      <c r="A73" t="inlineStr">
        <is>
          <t>A 9306-2025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46262</v>
      </c>
      <c r="F73" t="inlineStr">
        <is>
          <t>NORRBOTTENS LÄN</t>
        </is>
      </c>
      <c r="G73" t="inlineStr">
        <is>
          <t>BODEN</t>
        </is>
      </c>
      <c r="H73" t="inlineStr">
        <is>
          <t>SCA</t>
        </is>
      </c>
      <c r="I73" t="n">
        <v>11.7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Rynkskinn</t>
        </is>
      </c>
      <c r="W73">
        <f>HYPERLINK("https://klasma.github.io/Logging_2582/artfynd/A 9306-2025 artfynd.xlsx", "A 9306-2025")</f>
        <v/>
      </c>
      <c r="X73">
        <f>HYPERLINK("https://klasma.github.io/Logging_2582/kartor/A 9306-2025 karta.png", "A 9306-2025")</f>
        <v/>
      </c>
      <c r="Y73">
        <f>HYPERLINK("https://klasma.github.io/Logging_2582/kartor_geotiff/A 9306-2025 georefererad karta.tif", "A 9306-2025")</f>
        <v/>
      </c>
      <c r="AA73">
        <f>HYPERLINK("https://klasma.github.io/Logging_2582/klagomål/A 9306-2025 FSC-klagomål.docx", "A 9306-2025")</f>
        <v/>
      </c>
      <c r="AB73">
        <f>HYPERLINK("https://klasma.github.io/Logging_2582/klagomålsmail/A 9306-2025 FSC-klagomål mail.docx", "A 9306-2025")</f>
        <v/>
      </c>
      <c r="AC73">
        <f>HYPERLINK("https://klasma.github.io/Logging_2582/tillsyn/A 9306-2025 tillsynsbegäran.docx", "A 9306-2025")</f>
        <v/>
      </c>
      <c r="AD73">
        <f>HYPERLINK("https://klasma.github.io/Logging_2582/tillsynsmail/A 9306-2025 tillsynsbegäran mail.docx", "A 9306-2025")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46262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43315-2025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46262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43315-2025 artfynd.xlsx", "A 43315-2025")</f>
        <v/>
      </c>
      <c r="X75">
        <f>HYPERLINK("https://klasma.github.io/Logging_2582/kartor/A 43315-2025 karta.png", "A 43315-2025")</f>
        <v/>
      </c>
      <c r="Y75">
        <f>HYPERLINK("https://klasma.github.io/Logging_2582/kartor_geotiff/A 43315-2025 georefererad karta.tif", "A 43315-2025")</f>
        <v/>
      </c>
      <c r="AA75">
        <f>HYPERLINK("https://klasma.github.io/Logging_2582/klagomål/A 43315-2025 FSC-klagomål.docx", "A 43315-2025")</f>
        <v/>
      </c>
      <c r="AB75">
        <f>HYPERLINK("https://klasma.github.io/Logging_2582/klagomålsmail/A 43315-2025 FSC-klagomål mail.docx", "A 43315-2025")</f>
        <v/>
      </c>
      <c r="AC75">
        <f>HYPERLINK("https://klasma.github.io/Logging_2582/tillsyn/A 43315-2025 tillsynsbegäran.docx", "A 43315-2025")</f>
        <v/>
      </c>
      <c r="AD75">
        <f>HYPERLINK("https://klasma.github.io/Logging_2582/tillsynsmail/A 43315-2025 tillsynsbegäran mail.docx", "A 43315-2025")</f>
        <v/>
      </c>
    </row>
    <row r="76" ht="15" customHeight="1">
      <c r="A76" t="inlineStr">
        <is>
          <t>A 28867-2025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46262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8.199999999999999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12</v>
      </c>
      <c r="U76" t="n">
        <v>12</v>
      </c>
      <c r="V76" s="2" t="inlineStr">
        <is>
          <t>Knärot
Fläcknycklar</t>
        </is>
      </c>
      <c r="W76">
        <f>HYPERLINK("https://klasma.github.io/Logging_2582/artfynd/A 28867-2025 artfynd.xlsx", "A 28867-2025")</f>
        <v/>
      </c>
      <c r="X76">
        <f>HYPERLINK("https://klasma.github.io/Logging_2582/kartor/A 28867-2025 karta.png", "A 28867-2025")</f>
        <v/>
      </c>
      <c r="Y76">
        <f>HYPERLINK("https://klasma.github.io/Logging_2582/kartor_geotiff/A 28867-2025 georefererad karta.tif", "A 28867-2025")</f>
        <v/>
      </c>
      <c r="Z76">
        <f>HYPERLINK("https://klasma.github.io/Logging_2582/knärot/A 28867-2025 karta knärot.png", "A 28867-2025")</f>
        <v/>
      </c>
      <c r="AA76">
        <f>HYPERLINK("https://klasma.github.io/Logging_2582/klagomål/A 28867-2025 FSC-klagomål.docx", "A 28867-2025")</f>
        <v/>
      </c>
      <c r="AB76">
        <f>HYPERLINK("https://klasma.github.io/Logging_2582/klagomålsmail/A 28867-2025 FSC-klagomål mail.docx", "A 28867-2025")</f>
        <v/>
      </c>
      <c r="AC76">
        <f>HYPERLINK("https://klasma.github.io/Logging_2582/tillsyn/A 28867-2025 tillsynsbegäran.docx", "A 28867-2025")</f>
        <v/>
      </c>
      <c r="AD76">
        <f>HYPERLINK("https://klasma.github.io/Logging_2582/tillsynsmail/A 28867-2025 tillsynsbegäran mail.docx", "A 28867-2025")</f>
        <v/>
      </c>
    </row>
    <row r="77" ht="15" customHeight="1">
      <c r="A77" t="inlineStr">
        <is>
          <t>A 43310-2025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46262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43310-2025 artfynd.xlsx", "A 43310-2025")</f>
        <v/>
      </c>
      <c r="X77">
        <f>HYPERLINK("https://klasma.github.io/Logging_2582/kartor/A 43310-2025 karta.png", "A 43310-2025")</f>
        <v/>
      </c>
      <c r="Y77">
        <f>HYPERLINK("https://klasma.github.io/Logging_2582/kartor_geotiff/A 43310-2025 georefererad karta.tif", "A 43310-2025")</f>
        <v/>
      </c>
      <c r="AA77">
        <f>HYPERLINK("https://klasma.github.io/Logging_2582/klagomål/A 43310-2025 FSC-klagomål.docx", "A 43310-2025")</f>
        <v/>
      </c>
      <c r="AB77">
        <f>HYPERLINK("https://klasma.github.io/Logging_2582/klagomålsmail/A 43310-2025 FSC-klagomål mail.docx", "A 43310-2025")</f>
        <v/>
      </c>
      <c r="AC77">
        <f>HYPERLINK("https://klasma.github.io/Logging_2582/tillsyn/A 43310-2025 tillsynsbegäran.docx", "A 43310-2025")</f>
        <v/>
      </c>
      <c r="AD77">
        <f>HYPERLINK("https://klasma.github.io/Logging_2582/tillsynsmail/A 43310-2025 tillsynsbegäran mail.docx", "A 43310-2025")</f>
        <v/>
      </c>
    </row>
    <row r="78" ht="15" customHeight="1">
      <c r="A78" t="inlineStr">
        <is>
          <t>A 45477-2025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46262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9.1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Doftticka
Lunglav</t>
        </is>
      </c>
      <c r="W78">
        <f>HYPERLINK("https://klasma.github.io/Logging_2582/artfynd/A 45477-2025 artfynd.xlsx", "A 45477-2025")</f>
        <v/>
      </c>
      <c r="X78">
        <f>HYPERLINK("https://klasma.github.io/Logging_2582/kartor/A 45477-2025 karta.png", "A 45477-2025")</f>
        <v/>
      </c>
      <c r="Y78">
        <f>HYPERLINK("https://klasma.github.io/Logging_2582/kartor_geotiff/A 45477-2025 georefererad karta.tif", "A 45477-2025")</f>
        <v/>
      </c>
      <c r="AA78">
        <f>HYPERLINK("https://klasma.github.io/Logging_2582/klagomål/A 45477-2025 FSC-klagomål.docx", "A 45477-2025")</f>
        <v/>
      </c>
      <c r="AB78">
        <f>HYPERLINK("https://klasma.github.io/Logging_2582/klagomålsmail/A 45477-2025 FSC-klagomål mail.docx", "A 45477-2025")</f>
        <v/>
      </c>
      <c r="AC78">
        <f>HYPERLINK("https://klasma.github.io/Logging_2582/tillsyn/A 45477-2025 tillsynsbegäran.docx", "A 45477-2025")</f>
        <v/>
      </c>
      <c r="AD78">
        <f>HYPERLINK("https://klasma.github.io/Logging_2582/tillsynsmail/A 45477-2025 tillsynsbegäran mail.docx", "A 45477-2025")</f>
        <v/>
      </c>
    </row>
    <row r="79" ht="15" customHeight="1">
      <c r="A79" t="inlineStr">
        <is>
          <t>A 6895-2025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45701</v>
      </c>
      <c r="E79" s="1" t="n">
        <v>46262</v>
      </c>
      <c r="F79" t="inlineStr">
        <is>
          <t>NORRBOTTENS LÄN</t>
        </is>
      </c>
      <c r="G79" t="inlineStr">
        <is>
          <t>BODEN</t>
        </is>
      </c>
      <c r="I79" t="n">
        <v>1.5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Kolflarnlav
Plattlummer</t>
        </is>
      </c>
      <c r="W79">
        <f>HYPERLINK("https://klasma.github.io/Logging_2582/artfynd/A 6895-2025 artfynd.xlsx", "A 6895-2025")</f>
        <v/>
      </c>
      <c r="X79">
        <f>HYPERLINK("https://klasma.github.io/Logging_2582/kartor/A 6895-2025 karta.png", "A 6895-2025")</f>
        <v/>
      </c>
      <c r="Y79">
        <f>HYPERLINK("https://klasma.github.io/Logging_2582/kartor_geotiff/A 6895-2025 georefererad karta.tif", "A 6895-2025")</f>
        <v/>
      </c>
      <c r="AA79">
        <f>HYPERLINK("https://klasma.github.io/Logging_2582/klagomål/A 6895-2025 FSC-klagomål.docx", "A 6895-2025")</f>
        <v/>
      </c>
      <c r="AB79">
        <f>HYPERLINK("https://klasma.github.io/Logging_2582/klagomålsmail/A 6895-2025 FSC-klagomål mail.docx", "A 6895-2025")</f>
        <v/>
      </c>
      <c r="AC79">
        <f>HYPERLINK("https://klasma.github.io/Logging_2582/tillsyn/A 6895-2025 tillsynsbegäran.docx", "A 6895-2025")</f>
        <v/>
      </c>
      <c r="AD79">
        <f>HYPERLINK("https://klasma.github.io/Logging_2582/tillsynsmail/A 6895-2025 tillsynsbegäran mail.docx", "A 6895-2025")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46262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50100-2025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46262</v>
      </c>
      <c r="F81" t="inlineStr">
        <is>
          <t>NORRBOTTENS LÄN</t>
        </is>
      </c>
      <c r="G81" t="inlineStr">
        <is>
          <t>BODEN</t>
        </is>
      </c>
      <c r="I81" t="n">
        <v>6.5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Mörk kolflarnlav
Fläcknycklar</t>
        </is>
      </c>
      <c r="W81">
        <f>HYPERLINK("https://klasma.github.io/Logging_2582/artfynd/A 50100-2025 artfynd.xlsx", "A 50100-2025")</f>
        <v/>
      </c>
      <c r="X81">
        <f>HYPERLINK("https://klasma.github.io/Logging_2582/kartor/A 50100-2025 karta.png", "A 50100-2025")</f>
        <v/>
      </c>
      <c r="Y81">
        <f>HYPERLINK("https://klasma.github.io/Logging_2582/kartor_geotiff/A 50100-2025 georefererad karta.tif", "A 50100-2025")</f>
        <v/>
      </c>
      <c r="AA81">
        <f>HYPERLINK("https://klasma.github.io/Logging_2582/klagomål/A 50100-2025 FSC-klagomål.docx", "A 50100-2025")</f>
        <v/>
      </c>
      <c r="AB81">
        <f>HYPERLINK("https://klasma.github.io/Logging_2582/klagomålsmail/A 50100-2025 FSC-klagomål mail.docx", "A 50100-2025")</f>
        <v/>
      </c>
      <c r="AC81">
        <f>HYPERLINK("https://klasma.github.io/Logging_2582/tillsyn/A 50100-2025 tillsynsbegäran.docx", "A 50100-2025")</f>
        <v/>
      </c>
      <c r="AD81">
        <f>HYPERLINK("https://klasma.github.io/Logging_2582/tillsynsmail/A 50100-2025 tillsynsbegäran mail.docx", "A 50100-2025")</f>
        <v/>
      </c>
    </row>
    <row r="82" ht="15" customHeight="1">
      <c r="A82" t="inlineStr">
        <is>
          <t>A 59435-2024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46262</v>
      </c>
      <c r="F82" t="inlineStr">
        <is>
          <t>NORRBOTTENS LÄN</t>
        </is>
      </c>
      <c r="G82" t="inlineStr">
        <is>
          <t>BODEN</t>
        </is>
      </c>
      <c r="I82" t="n">
        <v>2.1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Lappranunkel
Ögonpyrola</t>
        </is>
      </c>
      <c r="W82">
        <f>HYPERLINK("https://klasma.github.io/Logging_2582/artfynd/A 59435-2024 artfynd.xlsx", "A 59435-2024")</f>
        <v/>
      </c>
      <c r="X82">
        <f>HYPERLINK("https://klasma.github.io/Logging_2582/kartor/A 59435-2024 karta.png", "A 59435-2024")</f>
        <v/>
      </c>
      <c r="Y82">
        <f>HYPERLINK("https://klasma.github.io/Logging_2582/kartor_geotiff/A 59435-2024 georefererad karta.tif", "A 59435-2024")</f>
        <v/>
      </c>
      <c r="AA82">
        <f>HYPERLINK("https://klasma.github.io/Logging_2582/klagomål/A 59435-2024 FSC-klagomål.docx", "A 59435-2024")</f>
        <v/>
      </c>
      <c r="AB82">
        <f>HYPERLINK("https://klasma.github.io/Logging_2582/klagomålsmail/A 59435-2024 FSC-klagomål mail.docx", "A 59435-2024")</f>
        <v/>
      </c>
      <c r="AC82">
        <f>HYPERLINK("https://klasma.github.io/Logging_2582/tillsyn/A 59435-2024 tillsynsbegäran.docx", "A 59435-2024")</f>
        <v/>
      </c>
      <c r="AD82">
        <f>HYPERLINK("https://klasma.github.io/Logging_2582/tillsynsmail/A 59435-2024 tillsynsbegäran mail.docx", "A 59435-2024")</f>
        <v/>
      </c>
    </row>
    <row r="83" ht="15" customHeight="1">
      <c r="A83" t="inlineStr">
        <is>
          <t>A 8703-2026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46262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8703-2026 artfynd.xlsx", "A 8703-2026")</f>
        <v/>
      </c>
      <c r="X83">
        <f>HYPERLINK("https://klasma.github.io/Logging_2582/kartor/A 8703-2026 karta.png", "A 8703-2026")</f>
        <v/>
      </c>
      <c r="Y83">
        <f>HYPERLINK("https://klasma.github.io/Logging_2582/kartor_geotiff/A 8703-2026 georefererad karta.tif", "A 8703-2026")</f>
        <v/>
      </c>
      <c r="AA83">
        <f>HYPERLINK("https://klasma.github.io/Logging_2582/klagomål/A 8703-2026 FSC-klagomål.docx", "A 8703-2026")</f>
        <v/>
      </c>
      <c r="AB83">
        <f>HYPERLINK("https://klasma.github.io/Logging_2582/klagomålsmail/A 8703-2026 FSC-klagomål mail.docx", "A 8703-2026")</f>
        <v/>
      </c>
      <c r="AC83">
        <f>HYPERLINK("https://klasma.github.io/Logging_2582/tillsyn/A 8703-2026 tillsynsbegäran.docx", "A 8703-2026")</f>
        <v/>
      </c>
      <c r="AD83">
        <f>HYPERLINK("https://klasma.github.io/Logging_2582/tillsynsmail/A 8703-2026 tillsynsbegäran mail.docx", "A 8703-2026")</f>
        <v/>
      </c>
    </row>
    <row r="84" ht="15" customHeight="1">
      <c r="A84" t="inlineStr">
        <is>
          <t>A 8754-2026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46262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Ullticka</t>
        </is>
      </c>
      <c r="W84">
        <f>HYPERLINK("https://klasma.github.io/Logging_2582/artfynd/A 8754-2026 artfynd.xlsx", "A 8754-2026")</f>
        <v/>
      </c>
      <c r="X84">
        <f>HYPERLINK("https://klasma.github.io/Logging_2582/kartor/A 8754-2026 karta.png", "A 8754-2026")</f>
        <v/>
      </c>
      <c r="Y84">
        <f>HYPERLINK("https://klasma.github.io/Logging_2582/kartor_geotiff/A 8754-2026 georefererad karta.tif", "A 8754-2026")</f>
        <v/>
      </c>
      <c r="AA84">
        <f>HYPERLINK("https://klasma.github.io/Logging_2582/klagomål/A 8754-2026 FSC-klagomål.docx", "A 8754-2026")</f>
        <v/>
      </c>
      <c r="AB84">
        <f>HYPERLINK("https://klasma.github.io/Logging_2582/klagomålsmail/A 8754-2026 FSC-klagomål mail.docx", "A 8754-2026")</f>
        <v/>
      </c>
      <c r="AC84">
        <f>HYPERLINK("https://klasma.github.io/Logging_2582/tillsyn/A 8754-2026 tillsynsbegäran.docx", "A 8754-2026")</f>
        <v/>
      </c>
      <c r="AD84">
        <f>HYPERLINK("https://klasma.github.io/Logging_2582/tillsynsmail/A 8754-2026 tillsynsbegäran mail.docx", "A 8754-2026")</f>
        <v/>
      </c>
    </row>
    <row r="85" ht="15" customHeight="1">
      <c r="A85" t="inlineStr">
        <is>
          <t>A 48899-2024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46262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Hässlebrodd
Fläcknycklar</t>
        </is>
      </c>
      <c r="W85">
        <f>HYPERLINK("https://klasma.github.io/Logging_2582/artfynd/A 48899-2024 artfynd.xlsx", "A 48899-2024")</f>
        <v/>
      </c>
      <c r="X85">
        <f>HYPERLINK("https://klasma.github.io/Logging_2582/kartor/A 48899-2024 karta.png", "A 48899-2024")</f>
        <v/>
      </c>
      <c r="Y85">
        <f>HYPERLINK("https://klasma.github.io/Logging_2582/kartor_geotiff/A 48899-2024 georefererad karta.tif", "A 48899-2024")</f>
        <v/>
      </c>
      <c r="AA85">
        <f>HYPERLINK("https://klasma.github.io/Logging_2582/klagomål/A 48899-2024 FSC-klagomål.docx", "A 48899-2024")</f>
        <v/>
      </c>
      <c r="AB85">
        <f>HYPERLINK("https://klasma.github.io/Logging_2582/klagomålsmail/A 48899-2024 FSC-klagomål mail.docx", "A 48899-2024")</f>
        <v/>
      </c>
      <c r="AC85">
        <f>HYPERLINK("https://klasma.github.io/Logging_2582/tillsyn/A 48899-2024 tillsynsbegäran.docx", "A 48899-2024")</f>
        <v/>
      </c>
      <c r="AD85">
        <f>HYPERLINK("https://klasma.github.io/Logging_2582/tillsynsmail/A 48899-2024 tillsynsbegäran mail.docx", "A 48899-2024")</f>
        <v/>
      </c>
    </row>
    <row r="86" ht="15" customHeight="1">
      <c r="A86" t="inlineStr">
        <is>
          <t>A 61210-2024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46262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4</v>
      </c>
      <c r="U86" t="n">
        <v>0</v>
      </c>
      <c r="V86" s="2" t="inlineStr">
        <is>
          <t>Skrovlig taggsvamp
Blå taggsvamp</t>
        </is>
      </c>
      <c r="W86">
        <f>HYPERLINK("https://klasma.github.io/Logging_2582/artfynd/A 61210-2024 artfynd.xlsx", "A 61210-2024")</f>
        <v/>
      </c>
      <c r="X86">
        <f>HYPERLINK("https://klasma.github.io/Logging_2582/kartor/A 61210-2024 karta.png", "A 61210-2024")</f>
        <v/>
      </c>
      <c r="Y86">
        <f>HYPERLINK("https://klasma.github.io/Logging_2582/kartor_geotiff/A 61210-2024 georefererad karta.tif", "A 61210-2024")</f>
        <v/>
      </c>
      <c r="AA86">
        <f>HYPERLINK("https://klasma.github.io/Logging_2582/klagomål/A 61210-2024 FSC-klagomål.docx", "A 61210-2024")</f>
        <v/>
      </c>
      <c r="AB86">
        <f>HYPERLINK("https://klasma.github.io/Logging_2582/klagomålsmail/A 61210-2024 FSC-klagomål mail.docx", "A 61210-2024")</f>
        <v/>
      </c>
      <c r="AC86">
        <f>HYPERLINK("https://klasma.github.io/Logging_2582/tillsyn/A 61210-2024 tillsynsbegäran.docx", "A 61210-2024")</f>
        <v/>
      </c>
      <c r="AD86">
        <f>HYPERLINK("https://klasma.github.io/Logging_2582/tillsynsmail/A 61210-2024 tillsynsbegäran mail.docx", "A 61210-2024")</f>
        <v/>
      </c>
    </row>
    <row r="87" ht="15" customHeight="1">
      <c r="A87" t="inlineStr">
        <is>
          <t>A 34737-2024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46262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4</v>
      </c>
      <c r="U87" t="n">
        <v>1</v>
      </c>
      <c r="V87" s="2" t="inlineStr">
        <is>
          <t>Lunglav
Fläcknycklar</t>
        </is>
      </c>
      <c r="W87">
        <f>HYPERLINK("https://klasma.github.io/Logging_2582/artfynd/A 34737-2024 artfynd.xlsx", "A 34737-2024")</f>
        <v/>
      </c>
      <c r="X87">
        <f>HYPERLINK("https://klasma.github.io/Logging_2582/kartor/A 34737-2024 karta.png", "A 34737-2024")</f>
        <v/>
      </c>
      <c r="Y87">
        <f>HYPERLINK("https://klasma.github.io/Logging_2582/kartor_geotiff/A 34737-2024 georefererad karta.tif", "A 34737-2024")</f>
        <v/>
      </c>
      <c r="AA87">
        <f>HYPERLINK("https://klasma.github.io/Logging_2582/klagomål/A 34737-2024 FSC-klagomål.docx", "A 34737-2024")</f>
        <v/>
      </c>
      <c r="AB87">
        <f>HYPERLINK("https://klasma.github.io/Logging_2582/klagomålsmail/A 34737-2024 FSC-klagomål mail.docx", "A 34737-2024")</f>
        <v/>
      </c>
      <c r="AC87">
        <f>HYPERLINK("https://klasma.github.io/Logging_2582/tillsyn/A 34737-2024 tillsynsbegäran.docx", "A 34737-2024")</f>
        <v/>
      </c>
      <c r="AD87">
        <f>HYPERLINK("https://klasma.github.io/Logging_2582/tillsynsmail/A 34737-2024 tillsynsbegäran mail.docx", "A 34737-2024")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46262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60774-2025 artfynd.xlsx", "A 60774-2025")</f>
        <v/>
      </c>
      <c r="X88">
        <f>HYPERLINK("https://klasma.github.io/Logging_2582/kartor/A 60774-2025 karta.png", "A 60774-2025")</f>
        <v/>
      </c>
      <c r="Y88">
        <f>HYPERLINK("https://klasma.github.io/Logging_2582/kartor_geotiff/A 60774-2025 georefererad karta.tif", "A 60774-2025")</f>
        <v/>
      </c>
      <c r="AA88">
        <f>HYPERLINK("https://klasma.github.io/Logging_2582/klagomål/A 60774-2025 FSC-klagomål.docx", "A 60774-2025")</f>
        <v/>
      </c>
      <c r="AB88">
        <f>HYPERLINK("https://klasma.github.io/Logging_2582/klagomålsmail/A 60774-2025 FSC-klagomål mail.docx", "A 60774-2025")</f>
        <v/>
      </c>
      <c r="AC88">
        <f>HYPERLINK("https://klasma.github.io/Logging_2582/tillsyn/A 60774-2025 tillsynsbegäran.docx", "A 60774-2025")</f>
        <v/>
      </c>
      <c r="AD88">
        <f>HYPERLINK("https://klasma.github.io/Logging_2582/tillsynsmail/A 60774-2025 tillsynsbegäran mail.docx", "A 60774-2025")</f>
        <v/>
      </c>
    </row>
    <row r="89" ht="15" customHeight="1">
      <c r="A89" t="inlineStr">
        <is>
          <t>A 34164-2023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45137</v>
      </c>
      <c r="E89" s="1" t="n">
        <v>46262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2.2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Garnlav
Tretåig hackspett</t>
        </is>
      </c>
      <c r="W89">
        <f>HYPERLINK("https://klasma.github.io/Logging_2582/artfynd/A 34164-2023 artfynd.xlsx", "A 34164-2023")</f>
        <v/>
      </c>
      <c r="X89">
        <f>HYPERLINK("https://klasma.github.io/Logging_2582/kartor/A 34164-2023 karta.png", "A 34164-2023")</f>
        <v/>
      </c>
      <c r="Y89">
        <f>HYPERLINK("https://klasma.github.io/Logging_2582/kartor_geotiff/A 34164-2023 georefererad karta.tif", "A 34164-2023")</f>
        <v/>
      </c>
      <c r="AA89">
        <f>HYPERLINK("https://klasma.github.io/Logging_2582/klagomål/A 34164-2023 FSC-klagomål.docx", "A 34164-2023")</f>
        <v/>
      </c>
      <c r="AB89">
        <f>HYPERLINK("https://klasma.github.io/Logging_2582/klagomålsmail/A 34164-2023 FSC-klagomål mail.docx", "A 34164-2023")</f>
        <v/>
      </c>
      <c r="AC89">
        <f>HYPERLINK("https://klasma.github.io/Logging_2582/tillsyn/A 34164-2023 tillsynsbegäran.docx", "A 34164-2023")</f>
        <v/>
      </c>
      <c r="AD89">
        <f>HYPERLINK("https://klasma.github.io/Logging_2582/tillsynsmail/A 34164-2023 tillsynsbegäran mail.docx", "A 34164-2023")</f>
        <v/>
      </c>
      <c r="AE89">
        <f>HYPERLINK("https://klasma.github.io/Logging_2582/fåglar/A 34164-2023 prioriterade fågelarter.docx", "A 34164-2023")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46262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46262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46262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42233-2022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44830</v>
      </c>
      <c r="E93" s="1" t="n">
        <v>46262</v>
      </c>
      <c r="F93" t="inlineStr">
        <is>
          <t>NORRBOTTENS LÄN</t>
        </is>
      </c>
      <c r="G93" t="inlineStr">
        <is>
          <t>BODEN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Enkelbeckasin
Svartvit flugsnappare</t>
        </is>
      </c>
      <c r="W93">
        <f>HYPERLINK("https://klasma.github.io/Logging_2582/artfynd/A 42233-2022 artfynd.xlsx", "A 42233-2022")</f>
        <v/>
      </c>
      <c r="X93">
        <f>HYPERLINK("https://klasma.github.io/Logging_2582/kartor/A 42233-2022 karta.png", "A 42233-2022")</f>
        <v/>
      </c>
      <c r="Y93">
        <f>HYPERLINK("https://klasma.github.io/Logging_2582/kartor_geotiff/A 42233-2022 georefererad karta.tif", "A 42233-2022")</f>
        <v/>
      </c>
      <c r="AA93">
        <f>HYPERLINK("https://klasma.github.io/Logging_2582/klagomål/A 42233-2022 FSC-klagomål.docx", "A 42233-2022")</f>
        <v/>
      </c>
      <c r="AB93">
        <f>HYPERLINK("https://klasma.github.io/Logging_2582/klagomålsmail/A 42233-2022 FSC-klagomål mail.docx", "A 42233-2022")</f>
        <v/>
      </c>
      <c r="AC93">
        <f>HYPERLINK("https://klasma.github.io/Logging_2582/tillsyn/A 42233-2022 tillsynsbegäran.docx", "A 42233-2022")</f>
        <v/>
      </c>
      <c r="AD93">
        <f>HYPERLINK("https://klasma.github.io/Logging_2582/tillsynsmail/A 42233-2022 tillsynsbegäran mail.docx", "A 42233-2022")</f>
        <v/>
      </c>
      <c r="AE93">
        <f>HYPERLINK("https://klasma.github.io/Logging_2582/fåglar/A 42233-2022 prioriterade fågelarter.docx", "A 42233-2022")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46262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46262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46262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33096-2026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46245</v>
      </c>
      <c r="E97" s="1" t="n">
        <v>46262</v>
      </c>
      <c r="F97" t="inlineStr">
        <is>
          <t>NORRBOTTENS LÄN</t>
        </is>
      </c>
      <c r="G97" t="inlineStr">
        <is>
          <t>BODEN</t>
        </is>
      </c>
      <c r="I97" t="n">
        <v>36.6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HYPERLINK("https://klasma.github.io/Logging_2582/artfynd/A 33096-2026 artfynd.xlsx", "A 33096-2026")</f>
        <v/>
      </c>
      <c r="X97">
        <f>HYPERLINK("https://klasma.github.io/Logging_2582/kartor/A 33096-2026 karta.png", "A 33096-2026")</f>
        <v/>
      </c>
      <c r="Y97">
        <f>HYPERLINK("https://klasma.github.io/Logging_2582/kartor_geotiff/A 33096-2026 georefererad karta.tif", "A 33096-2026")</f>
        <v/>
      </c>
      <c r="AA97">
        <f>HYPERLINK("https://klasma.github.io/Logging_2582/klagomål/A 33096-2026 FSC-klagomål.docx", "A 33096-2026")</f>
        <v/>
      </c>
      <c r="AB97">
        <f>HYPERLINK("https://klasma.github.io/Logging_2582/klagomålsmail/A 33096-2026 FSC-klagomål mail.docx", "A 33096-2026")</f>
        <v/>
      </c>
      <c r="AC97">
        <f>HYPERLINK("https://klasma.github.io/Logging_2582/tillsyn/A 33096-2026 tillsynsbegäran.docx", "A 33096-2026")</f>
        <v/>
      </c>
      <c r="AD97">
        <f>HYPERLINK("https://klasma.github.io/Logging_2582/tillsynsmail/A 33096-2026 tillsynsbegäran mail.docx", "A 33096-2026")</f>
        <v/>
      </c>
    </row>
    <row r="98" ht="15" customHeight="1">
      <c r="A98" t="inlineStr">
        <is>
          <t>A 22906-2023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45072</v>
      </c>
      <c r="E98" s="1" t="n">
        <v>46262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3.5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Talltita
Utter</t>
        </is>
      </c>
      <c r="W98">
        <f>HYPERLINK("https://klasma.github.io/Logging_2582/artfynd/A 22906-2023 artfynd.xlsx", "A 22906-2023")</f>
        <v/>
      </c>
      <c r="X98">
        <f>HYPERLINK("https://klasma.github.io/Logging_2582/kartor/A 22906-2023 karta.png", "A 22906-2023")</f>
        <v/>
      </c>
      <c r="Y98">
        <f>HYPERLINK("https://klasma.github.io/Logging_2582/kartor_geotiff/A 22906-2023 georefererad karta.tif", "A 22906-2023")</f>
        <v/>
      </c>
      <c r="AA98">
        <f>HYPERLINK("https://klasma.github.io/Logging_2582/klagomål/A 22906-2023 FSC-klagomål.docx", "A 22906-2023")</f>
        <v/>
      </c>
      <c r="AB98">
        <f>HYPERLINK("https://klasma.github.io/Logging_2582/klagomålsmail/A 22906-2023 FSC-klagomål mail.docx", "A 22906-2023")</f>
        <v/>
      </c>
      <c r="AC98">
        <f>HYPERLINK("https://klasma.github.io/Logging_2582/tillsyn/A 22906-2023 tillsynsbegäran.docx", "A 22906-2023")</f>
        <v/>
      </c>
      <c r="AD98">
        <f>HYPERLINK("https://klasma.github.io/Logging_2582/tillsynsmail/A 22906-2023 tillsynsbegäran mail.docx", "A 22906-2023")</f>
        <v/>
      </c>
      <c r="AE98">
        <f>HYPERLINK("https://klasma.github.io/Logging_2582/fåglar/A 22906-2023 prioriterade fågelarter.docx", "A 22906-2023")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46262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33416-2026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46262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Plattlummer</t>
        </is>
      </c>
      <c r="W100">
        <f>HYPERLINK("https://klasma.github.io/Logging_2582/artfynd/A 33416-2026 artfynd.xlsx", "A 33416-2026")</f>
        <v/>
      </c>
      <c r="X100">
        <f>HYPERLINK("https://klasma.github.io/Logging_2582/kartor/A 33416-2026 karta.png", "A 33416-2026")</f>
        <v/>
      </c>
      <c r="Y100">
        <f>HYPERLINK("https://klasma.github.io/Logging_2582/kartor_geotiff/A 33416-2026 georefererad karta.tif", "A 33416-2026")</f>
        <v/>
      </c>
      <c r="AA100">
        <f>HYPERLINK("https://klasma.github.io/Logging_2582/klagomål/A 33416-2026 FSC-klagomål.docx", "A 33416-2026")</f>
        <v/>
      </c>
      <c r="AB100">
        <f>HYPERLINK("https://klasma.github.io/Logging_2582/klagomålsmail/A 33416-2026 FSC-klagomål mail.docx", "A 33416-2026")</f>
        <v/>
      </c>
      <c r="AC100">
        <f>HYPERLINK("https://klasma.github.io/Logging_2582/tillsyn/A 33416-2026 tillsynsbegäran.docx", "A 33416-2026")</f>
        <v/>
      </c>
      <c r="AD100">
        <f>HYPERLINK("https://klasma.github.io/Logging_2582/tillsynsmail/A 33416-2026 tillsynsbegäran mail.docx", "A 33416-2026")</f>
        <v/>
      </c>
    </row>
    <row r="101" ht="15" customHeight="1">
      <c r="A101" t="inlineStr">
        <is>
          <t>A 29807-2026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46262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Mörk kolflarnlav</t>
        </is>
      </c>
      <c r="W101">
        <f>HYPERLINK("https://klasma.github.io/Logging_2582/artfynd/A 29807-2026 artfynd.xlsx", "A 29807-2026")</f>
        <v/>
      </c>
      <c r="X101">
        <f>HYPERLINK("https://klasma.github.io/Logging_2582/kartor/A 29807-2026 karta.png", "A 29807-2026")</f>
        <v/>
      </c>
      <c r="Y101">
        <f>HYPERLINK("https://klasma.github.io/Logging_2582/kartor_geotiff/A 29807-2026 georefererad karta.tif", "A 29807-2026")</f>
        <v/>
      </c>
      <c r="AA101">
        <f>HYPERLINK("https://klasma.github.io/Logging_2582/klagomål/A 29807-2026 FSC-klagomål.docx", "A 29807-2026")</f>
        <v/>
      </c>
      <c r="AB101">
        <f>HYPERLINK("https://klasma.github.io/Logging_2582/klagomålsmail/A 29807-2026 FSC-klagomål mail.docx", "A 29807-2026")</f>
        <v/>
      </c>
      <c r="AC101">
        <f>HYPERLINK("https://klasma.github.io/Logging_2582/tillsyn/A 29807-2026 tillsynsbegäran.docx", "A 29807-2026")</f>
        <v/>
      </c>
      <c r="AD101">
        <f>HYPERLINK("https://klasma.github.io/Logging_2582/tillsynsmail/A 29807-2026 tillsynsbegäran mail.docx", "A 29807-2026")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46262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17292-2022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46262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3</v>
      </c>
      <c r="U103" t="n">
        <v>3</v>
      </c>
      <c r="V103" s="2" t="inlineStr">
        <is>
          <t>Garnlav
Revlummer</t>
        </is>
      </c>
      <c r="W103">
        <f>HYPERLINK("https://klasma.github.io/Logging_2582/artfynd/A 17292-2022 artfynd.xlsx", "A 17292-2022")</f>
        <v/>
      </c>
      <c r="X103">
        <f>HYPERLINK("https://klasma.github.io/Logging_2582/kartor/A 17292-2022 karta.png", "A 17292-2022")</f>
        <v/>
      </c>
      <c r="Y103">
        <f>HYPERLINK("https://klasma.github.io/Logging_2582/kartor_geotiff/A 17292-2022 georefererad karta.tif", "A 17292-2022")</f>
        <v/>
      </c>
      <c r="AA103">
        <f>HYPERLINK("https://klasma.github.io/Logging_2582/klagomål/A 17292-2022 FSC-klagomål.docx", "A 17292-2022")</f>
        <v/>
      </c>
      <c r="AB103">
        <f>HYPERLINK("https://klasma.github.io/Logging_2582/klagomålsmail/A 17292-2022 FSC-klagomål mail.docx", "A 17292-2022")</f>
        <v/>
      </c>
      <c r="AC103">
        <f>HYPERLINK("https://klasma.github.io/Logging_2582/tillsyn/A 17292-2022 tillsynsbegäran.docx", "A 17292-2022")</f>
        <v/>
      </c>
      <c r="AD103">
        <f>HYPERLINK("https://klasma.github.io/Logging_2582/tillsynsmail/A 17292-2022 tillsynsbegäran mail.docx", "A 17292-2022")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46262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46262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31233-2026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46217</v>
      </c>
      <c r="E106" s="1" t="n">
        <v>46262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18.5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Lunglav
Fläcknycklar</t>
        </is>
      </c>
      <c r="W106">
        <f>HYPERLINK("https://klasma.github.io/Logging_2582/artfynd/A 31233-2026 artfynd.xlsx", "A 31233-2026")</f>
        <v/>
      </c>
      <c r="X106">
        <f>HYPERLINK("https://klasma.github.io/Logging_2582/kartor/A 31233-2026 karta.png", "A 31233-2026")</f>
        <v/>
      </c>
      <c r="Y106">
        <f>HYPERLINK("https://klasma.github.io/Logging_2582/kartor_geotiff/A 31233-2026 georefererad karta.tif", "A 31233-2026")</f>
        <v/>
      </c>
      <c r="AA106">
        <f>HYPERLINK("https://klasma.github.io/Logging_2582/klagomål/A 31233-2026 FSC-klagomål.docx", "A 31233-2026")</f>
        <v/>
      </c>
      <c r="AB106">
        <f>HYPERLINK("https://klasma.github.io/Logging_2582/klagomålsmail/A 31233-2026 FSC-klagomål mail.docx", "A 31233-2026")</f>
        <v/>
      </c>
      <c r="AC106">
        <f>HYPERLINK("https://klasma.github.io/Logging_2582/tillsyn/A 31233-2026 tillsynsbegäran.docx", "A 31233-2026")</f>
        <v/>
      </c>
      <c r="AD106">
        <f>HYPERLINK("https://klasma.github.io/Logging_2582/tillsynsmail/A 31233-2026 tillsynsbegäran mail.docx", "A 31233-2026")</f>
        <v/>
      </c>
    </row>
    <row r="107" ht="15" customHeight="1">
      <c r="A107" t="inlineStr">
        <is>
          <t>A 35300-2026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46262</v>
      </c>
      <c r="F107" t="inlineStr">
        <is>
          <t>NORRBOTTENS LÄN</t>
        </is>
      </c>
      <c r="G107" t="inlineStr">
        <is>
          <t>BODEN</t>
        </is>
      </c>
      <c r="I107" t="n">
        <v>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Vitgrynig nållav</t>
        </is>
      </c>
      <c r="W107">
        <f>HYPERLINK("https://klasma.github.io/Logging_2582/artfynd/A 35300-2026 artfynd.xlsx", "A 35300-2026")</f>
        <v/>
      </c>
      <c r="X107">
        <f>HYPERLINK("https://klasma.github.io/Logging_2582/kartor/A 35300-2026 karta.png", "A 35300-2026")</f>
        <v/>
      </c>
      <c r="Y107">
        <f>HYPERLINK("https://klasma.github.io/Logging_2582/kartor_geotiff/A 35300-2026 georefererad karta.tif", "A 35300-2026")</f>
        <v/>
      </c>
      <c r="AA107">
        <f>HYPERLINK("https://klasma.github.io/Logging_2582/klagomål/A 35300-2026 FSC-klagomål.docx", "A 35300-2026")</f>
        <v/>
      </c>
      <c r="AB107">
        <f>HYPERLINK("https://klasma.github.io/Logging_2582/klagomålsmail/A 35300-2026 FSC-klagomål mail.docx", "A 35300-2026")</f>
        <v/>
      </c>
      <c r="AC107">
        <f>HYPERLINK("https://klasma.github.io/Logging_2582/tillsyn/A 35300-2026 tillsynsbegäran.docx", "A 35300-2026")</f>
        <v/>
      </c>
      <c r="AD107">
        <f>HYPERLINK("https://klasma.github.io/Logging_2582/tillsynsmail/A 35300-2026 tillsynsbegäran mail.docx", "A 35300-2026")</f>
        <v/>
      </c>
    </row>
    <row r="108" ht="15" customHeight="1">
      <c r="A108" t="inlineStr">
        <is>
          <t>S 884-2024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45376</v>
      </c>
      <c r="E108" s="1" t="n">
        <v>46262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1.6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Spindelblomster
Ögonpyrola</t>
        </is>
      </c>
      <c r="W108">
        <f>HYPERLINK("https://klasma.github.io/Logging_2582/artfynd/S 884-2024 artfynd.xlsx", "S 884-2024")</f>
        <v/>
      </c>
      <c r="X108">
        <f>HYPERLINK("https://klasma.github.io/Logging_2582/kartor/S 884-2024 karta.png", "S 884-2024")</f>
        <v/>
      </c>
      <c r="Y108">
        <f>HYPERLINK("https://klasma.github.io/Logging_2582/kartor_geotiff/S 884-2024 georefererad karta.tif", "S 884-2024")</f>
        <v/>
      </c>
      <c r="Z108">
        <f>HYPERLINK("https://klasma.github.io/Logging_2582/knärot/S 884-2024 karta knärot.png", "S 884-2024")</f>
        <v/>
      </c>
      <c r="AA108">
        <f>HYPERLINK("https://klasma.github.io/Logging_2582/klagomål/S 884-2024 FSC-klagomål.docx", "S 884-2024")</f>
        <v/>
      </c>
      <c r="AB108">
        <f>HYPERLINK("https://klasma.github.io/Logging_2582/klagomålsmail/S 884-2024 FSC-klagomål mail.docx", "S 884-2024")</f>
        <v/>
      </c>
      <c r="AC108">
        <f>HYPERLINK("https://klasma.github.io/Logging_2582/tillsyn/S 884-2024 tillsynsbegäran.docx", "S 884-2024")</f>
        <v/>
      </c>
      <c r="AD108">
        <f>HYPERLINK("https://klasma.github.io/Logging_2582/tillsynsmail/S 884-2024 tillsynsbegäran mail.docx", "S 884-2024")</f>
        <v/>
      </c>
    </row>
    <row r="109" ht="15" customHeight="1">
      <c r="A109" t="inlineStr">
        <is>
          <t>A 13647-2022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46262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Gammelgransskål</t>
        </is>
      </c>
      <c r="W109">
        <f>HYPERLINK("https://klasma.github.io/Logging_2582/artfynd/A 13647-2022 artfynd.xlsx", "A 13647-2022")</f>
        <v/>
      </c>
      <c r="X109">
        <f>HYPERLINK("https://klasma.github.io/Logging_2582/kartor/A 13647-2022 karta.png", "A 13647-2022")</f>
        <v/>
      </c>
      <c r="Y109">
        <f>HYPERLINK("https://klasma.github.io/Logging_2582/kartor_geotiff/A 13647-2022 georefererad karta.tif", "A 13647-2022")</f>
        <v/>
      </c>
      <c r="AA109">
        <f>HYPERLINK("https://klasma.github.io/Logging_2582/klagomål/A 13647-2022 FSC-klagomål.docx", "A 13647-2022")</f>
        <v/>
      </c>
      <c r="AB109">
        <f>HYPERLINK("https://klasma.github.io/Logging_2582/klagomålsmail/A 13647-2022 FSC-klagomål mail.docx", "A 13647-2022")</f>
        <v/>
      </c>
      <c r="AC109">
        <f>HYPERLINK("https://klasma.github.io/Logging_2582/tillsyn/A 13647-2022 tillsynsbegäran.docx", "A 13647-2022")</f>
        <v/>
      </c>
      <c r="AD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47030-2021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44446</v>
      </c>
      <c r="E110" s="1" t="n">
        <v>46262</v>
      </c>
      <c r="F110" t="inlineStr">
        <is>
          <t>NORRBOTTENS LÄN</t>
        </is>
      </c>
      <c r="G110" t="inlineStr">
        <is>
          <t>BODEN</t>
        </is>
      </c>
      <c r="I110" t="n">
        <v>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Svartvit flugsnappare</t>
        </is>
      </c>
      <c r="W110">
        <f>HYPERLINK("https://klasma.github.io/Logging_2582/artfynd/A 47030-2021 artfynd.xlsx", "A 47030-2021")</f>
        <v/>
      </c>
      <c r="X110">
        <f>HYPERLINK("https://klasma.github.io/Logging_2582/kartor/A 47030-2021 karta.png", "A 47030-2021")</f>
        <v/>
      </c>
      <c r="Y110">
        <f>HYPERLINK("https://klasma.github.io/Logging_2582/kartor_geotiff/A 47030-2021 georefererad karta.tif", "A 47030-2021")</f>
        <v/>
      </c>
      <c r="AA110">
        <f>HYPERLINK("https://klasma.github.io/Logging_2582/klagomål/A 47030-2021 FSC-klagomål.docx", "A 47030-2021")</f>
        <v/>
      </c>
      <c r="AB110">
        <f>HYPERLINK("https://klasma.github.io/Logging_2582/klagomålsmail/A 47030-2021 FSC-klagomål mail.docx", "A 47030-2021")</f>
        <v/>
      </c>
      <c r="AC110">
        <f>HYPERLINK("https://klasma.github.io/Logging_2582/tillsyn/A 47030-2021 tillsynsbegäran.docx", "A 47030-2021")</f>
        <v/>
      </c>
      <c r="AD110">
        <f>HYPERLINK("https://klasma.github.io/Logging_2582/tillsynsmail/A 47030-2021 tillsynsbegäran mail.docx", "A 47030-2021")</f>
        <v/>
      </c>
    </row>
    <row r="111" ht="15" customHeight="1">
      <c r="A111" t="inlineStr">
        <is>
          <t>A 44768-2022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46262</v>
      </c>
      <c r="F111" t="inlineStr">
        <is>
          <t>NORRBOTTENS LÄN</t>
        </is>
      </c>
      <c r="G111" t="inlineStr">
        <is>
          <t>BODEN</t>
        </is>
      </c>
      <c r="H111" t="inlineStr">
        <is>
          <t>SCA</t>
        </is>
      </c>
      <c r="I111" t="n">
        <v>6.1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HYPERLINK("https://klasma.github.io/Logging_2582/artfynd/A 44768-2022 artfynd.xlsx", "A 44768-2022")</f>
        <v/>
      </c>
      <c r="X111">
        <f>HYPERLINK("https://klasma.github.io/Logging_2582/kartor/A 44768-2022 karta.png", "A 44768-2022")</f>
        <v/>
      </c>
      <c r="Y111">
        <f>HYPERLINK("https://klasma.github.io/Logging_2582/kartor_geotiff/A 44768-2022 georefererad karta.tif", "A 44768-2022")</f>
        <v/>
      </c>
      <c r="AA111">
        <f>HYPERLINK("https://klasma.github.io/Logging_2582/klagomål/A 44768-2022 FSC-klagomål.docx", "A 44768-2022")</f>
        <v/>
      </c>
      <c r="AB111">
        <f>HYPERLINK("https://klasma.github.io/Logging_2582/klagomålsmail/A 44768-2022 FSC-klagomål mail.docx", "A 44768-2022")</f>
        <v/>
      </c>
      <c r="AC111">
        <f>HYPERLINK("https://klasma.github.io/Logging_2582/tillsyn/A 44768-2022 tillsynsbegäran.docx", "A 44768-2022")</f>
        <v/>
      </c>
      <c r="AD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2568-2024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46262</v>
      </c>
      <c r="F112" t="inlineStr">
        <is>
          <t>NORRBOTTENS LÄN</t>
        </is>
      </c>
      <c r="G112" t="inlineStr">
        <is>
          <t>BODEN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Blå taggsvamp</t>
        </is>
      </c>
      <c r="W112">
        <f>HYPERLINK("https://klasma.github.io/Logging_2582/artfynd/A 2568-2024 artfynd.xlsx", "A 2568-2024")</f>
        <v/>
      </c>
      <c r="X112">
        <f>HYPERLINK("https://klasma.github.io/Logging_2582/kartor/A 2568-2024 karta.png", "A 2568-2024")</f>
        <v/>
      </c>
      <c r="Y112">
        <f>HYPERLINK("https://klasma.github.io/Logging_2582/kartor_geotiff/A 2568-2024 georefererad karta.tif", "A 2568-2024")</f>
        <v/>
      </c>
      <c r="AA112">
        <f>HYPERLINK("https://klasma.github.io/Logging_2582/klagomål/A 2568-2024 FSC-klagomål.docx", "A 2568-2024")</f>
        <v/>
      </c>
      <c r="AB112">
        <f>HYPERLINK("https://klasma.github.io/Logging_2582/klagomålsmail/A 2568-2024 FSC-klagomål mail.docx", "A 2568-2024")</f>
        <v/>
      </c>
      <c r="AC112">
        <f>HYPERLINK("https://klasma.github.io/Logging_2582/tillsyn/A 2568-2024 tillsynsbegäran.docx", "A 2568-2024")</f>
        <v/>
      </c>
      <c r="AD112">
        <f>HYPERLINK("https://klasma.github.io/Logging_2582/tillsynsmail/A 2568-2024 tillsynsbegäran mail.docx", "A 2568-2024")</f>
        <v/>
      </c>
    </row>
    <row r="113" ht="15" customHeight="1">
      <c r="A113" t="inlineStr">
        <is>
          <t>A 18678-2025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46262</v>
      </c>
      <c r="F113" t="inlineStr">
        <is>
          <t>NORRBOTTENS LÄN</t>
        </is>
      </c>
      <c r="G113" t="inlineStr">
        <is>
          <t>BODEN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HYPERLINK("https://klasma.github.io/Logging_2582/artfynd/A 18678-2025 artfynd.xlsx", "A 18678-2025")</f>
        <v/>
      </c>
      <c r="X113">
        <f>HYPERLINK("https://klasma.github.io/Logging_2582/kartor/A 18678-2025 karta.png", "A 18678-2025")</f>
        <v/>
      </c>
      <c r="Y113">
        <f>HYPERLINK("https://klasma.github.io/Logging_2582/kartor_geotiff/A 18678-2025 georefererad karta.tif", "A 18678-2025")</f>
        <v/>
      </c>
      <c r="AA113">
        <f>HYPERLINK("https://klasma.github.io/Logging_2582/klagomål/A 18678-2025 FSC-klagomål.docx", "A 18678-2025")</f>
        <v/>
      </c>
      <c r="AB113">
        <f>HYPERLINK("https://klasma.github.io/Logging_2582/klagomålsmail/A 18678-2025 FSC-klagomål mail.docx", "A 18678-2025")</f>
        <v/>
      </c>
      <c r="AC113">
        <f>HYPERLINK("https://klasma.github.io/Logging_2582/tillsyn/A 18678-2025 tillsynsbegäran.docx", "A 18678-2025")</f>
        <v/>
      </c>
      <c r="AD113">
        <f>HYPERLINK("https://klasma.github.io/Logging_2582/tillsynsmail/A 18678-2025 tillsynsbegäran mail.docx", "A 18678-2025")</f>
        <v/>
      </c>
    </row>
    <row r="114" ht="15" customHeight="1">
      <c r="A114" t="inlineStr">
        <is>
          <t>A 51184-2025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46262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HYPERLINK("https://klasma.github.io/Logging_2582/artfynd/A 51184-2025 artfynd.xlsx", "A 51184-2025")</f>
        <v/>
      </c>
      <c r="X114">
        <f>HYPERLINK("https://klasma.github.io/Logging_2582/kartor/A 51184-2025 karta.png", "A 51184-2025")</f>
        <v/>
      </c>
      <c r="Y114">
        <f>HYPERLINK("https://klasma.github.io/Logging_2582/kartor_geotiff/A 51184-2025 georefererad karta.tif", "A 51184-2025")</f>
        <v/>
      </c>
      <c r="AA114">
        <f>HYPERLINK("https://klasma.github.io/Logging_2582/klagomål/A 51184-2025 FSC-klagomål.docx", "A 51184-2025")</f>
        <v/>
      </c>
      <c r="AB114">
        <f>HYPERLINK("https://klasma.github.io/Logging_2582/klagomålsmail/A 51184-2025 FSC-klagomål mail.docx", "A 51184-2025")</f>
        <v/>
      </c>
      <c r="AC114">
        <f>HYPERLINK("https://klasma.github.io/Logging_2582/tillsyn/A 51184-2025 tillsynsbegäran.docx", "A 51184-2025")</f>
        <v/>
      </c>
      <c r="AD114">
        <f>HYPERLINK("https://klasma.github.io/Logging_2582/tillsynsmail/A 51184-2025 tillsynsbegäran mail.docx", "A 51184-2025")</f>
        <v/>
      </c>
    </row>
    <row r="115" ht="15" customHeight="1">
      <c r="A115" t="inlineStr">
        <is>
          <t>A 51304-2025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46262</v>
      </c>
      <c r="F115" t="inlineStr">
        <is>
          <t>NORRBOTTENS LÄN</t>
        </is>
      </c>
      <c r="G115" t="inlineStr">
        <is>
          <t>BODEN</t>
        </is>
      </c>
      <c r="H115" t="inlineStr">
        <is>
          <t>SCA</t>
        </is>
      </c>
      <c r="I115" t="n">
        <v>1.3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Bollvitmossa</t>
        </is>
      </c>
      <c r="W115">
        <f>HYPERLINK("https://klasma.github.io/Logging_2582/artfynd/A 51304-2025 artfynd.xlsx", "A 51304-2025")</f>
        <v/>
      </c>
      <c r="X115">
        <f>HYPERLINK("https://klasma.github.io/Logging_2582/kartor/A 51304-2025 karta.png", "A 51304-2025")</f>
        <v/>
      </c>
      <c r="Y115">
        <f>HYPERLINK("https://klasma.github.io/Logging_2582/kartor_geotiff/A 51304-2025 georefererad karta.tif", "A 51304-2025")</f>
        <v/>
      </c>
      <c r="AA115">
        <f>HYPERLINK("https://klasma.github.io/Logging_2582/klagomål/A 51304-2025 FSC-klagomål.docx", "A 51304-2025")</f>
        <v/>
      </c>
      <c r="AB115">
        <f>HYPERLINK("https://klasma.github.io/Logging_2582/klagomålsmail/A 51304-2025 FSC-klagomål mail.docx", "A 51304-2025")</f>
        <v/>
      </c>
      <c r="AC115">
        <f>HYPERLINK("https://klasma.github.io/Logging_2582/tillsyn/A 51304-2025 tillsynsbegäran.docx", "A 51304-2025")</f>
        <v/>
      </c>
      <c r="AD115">
        <f>HYPERLINK("https://klasma.github.io/Logging_2582/tillsynsmail/A 51304-2025 tillsynsbegäran mail.docx", "A 51304-2025")</f>
        <v/>
      </c>
    </row>
    <row r="116" ht="15" customHeight="1">
      <c r="A116" t="inlineStr">
        <is>
          <t>A 51258-2025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45949</v>
      </c>
      <c r="E116" s="1" t="n">
        <v>46262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Sångsvan</t>
        </is>
      </c>
      <c r="W116">
        <f>HYPERLINK("https://klasma.github.io/Logging_2582/artfynd/A 51258-2025 artfynd.xlsx", "A 51258-2025")</f>
        <v/>
      </c>
      <c r="X116">
        <f>HYPERLINK("https://klasma.github.io/Logging_2582/kartor/A 51258-2025 karta.png", "A 51258-2025")</f>
        <v/>
      </c>
      <c r="Y116">
        <f>HYPERLINK("https://klasma.github.io/Logging_2582/kartor_geotiff/A 51258-2025 georefererad karta.tif", "A 51258-2025")</f>
        <v/>
      </c>
      <c r="AA116">
        <f>HYPERLINK("https://klasma.github.io/Logging_2582/klagomål/A 51258-2025 FSC-klagomål.docx", "A 51258-2025")</f>
        <v/>
      </c>
      <c r="AB116">
        <f>HYPERLINK("https://klasma.github.io/Logging_2582/klagomålsmail/A 51258-2025 FSC-klagomål mail.docx", "A 51258-2025")</f>
        <v/>
      </c>
      <c r="AC116">
        <f>HYPERLINK("https://klasma.github.io/Logging_2582/tillsyn/A 51258-2025 tillsynsbegäran.docx", "A 51258-2025")</f>
        <v/>
      </c>
      <c r="AD116">
        <f>HYPERLINK("https://klasma.github.io/Logging_2582/tillsynsmail/A 51258-2025 tillsynsbegäran mail.docx", "A 51258-2025")</f>
        <v/>
      </c>
      <c r="AE116">
        <f>HYPERLINK("https://klasma.github.io/Logging_2582/fåglar/A 51258-2025 prioriterade fågelarter.docx", "A 51258-2025")</f>
        <v/>
      </c>
    </row>
    <row r="117" ht="15" customHeight="1">
      <c r="A117" t="inlineStr">
        <is>
          <t>A 51874-2025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45952</v>
      </c>
      <c r="E117" s="1" t="n">
        <v>46262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Skinnlav</t>
        </is>
      </c>
      <c r="W117">
        <f>HYPERLINK("https://klasma.github.io/Logging_2582/artfynd/A 51874-2025 artfynd.xlsx", "A 51874-2025")</f>
        <v/>
      </c>
      <c r="X117">
        <f>HYPERLINK("https://klasma.github.io/Logging_2582/kartor/A 51874-2025 karta.png", "A 51874-2025")</f>
        <v/>
      </c>
      <c r="Y117">
        <f>HYPERLINK("https://klasma.github.io/Logging_2582/kartor_geotiff/A 51874-2025 georefererad karta.tif", "A 51874-2025")</f>
        <v/>
      </c>
      <c r="AA117">
        <f>HYPERLINK("https://klasma.github.io/Logging_2582/klagomål/A 51874-2025 FSC-klagomål.docx", "A 51874-2025")</f>
        <v/>
      </c>
      <c r="AB117">
        <f>HYPERLINK("https://klasma.github.io/Logging_2582/klagomålsmail/A 51874-2025 FSC-klagomål mail.docx", "A 51874-2025")</f>
        <v/>
      </c>
      <c r="AC117">
        <f>HYPERLINK("https://klasma.github.io/Logging_2582/tillsyn/A 51874-2025 tillsynsbegäran.docx", "A 51874-2025")</f>
        <v/>
      </c>
      <c r="AD117">
        <f>HYPERLINK("https://klasma.github.io/Logging_2582/tillsynsmail/A 51874-2025 tillsynsbegäran mail.docx", "A 51874-2025")</f>
        <v/>
      </c>
    </row>
    <row r="118" ht="15" customHeight="1">
      <c r="A118" t="inlineStr">
        <is>
          <t>A 16217-2024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46262</v>
      </c>
      <c r="F118" t="inlineStr">
        <is>
          <t>NORRBOTTENS LÄN</t>
        </is>
      </c>
      <c r="G118" t="inlineStr">
        <is>
          <t>BODEN</t>
        </is>
      </c>
      <c r="I118" t="n">
        <v>7.2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Videsparv</t>
        </is>
      </c>
      <c r="W118">
        <f>HYPERLINK("https://klasma.github.io/Logging_2582/artfynd/A 16217-2024 artfynd.xlsx", "A 16217-2024")</f>
        <v/>
      </c>
      <c r="X118">
        <f>HYPERLINK("https://klasma.github.io/Logging_2582/kartor/A 16217-2024 karta.png", "A 16217-2024")</f>
        <v/>
      </c>
      <c r="Y118">
        <f>HYPERLINK("https://klasma.github.io/Logging_2582/kartor_geotiff/A 16217-2024 georefererad karta.tif", "A 16217-2024")</f>
        <v/>
      </c>
      <c r="AA118">
        <f>HYPERLINK("https://klasma.github.io/Logging_2582/klagomål/A 16217-2024 FSC-klagomål.docx", "A 16217-2024")</f>
        <v/>
      </c>
      <c r="AB118">
        <f>HYPERLINK("https://klasma.github.io/Logging_2582/klagomålsmail/A 16217-2024 FSC-klagomål mail.docx", "A 16217-2024")</f>
        <v/>
      </c>
      <c r="AC118">
        <f>HYPERLINK("https://klasma.github.io/Logging_2582/tillsyn/A 16217-2024 tillsynsbegäran.docx", "A 16217-2024")</f>
        <v/>
      </c>
      <c r="AD118">
        <f>HYPERLINK("https://klasma.github.io/Logging_2582/tillsynsmail/A 16217-2024 tillsynsbegäran mail.docx", "A 16217-2024")</f>
        <v/>
      </c>
      <c r="AE118">
        <f>HYPERLINK("https://klasma.github.io/Logging_2582/fåglar/A 16217-2024 prioriterade fågelarter.docx", "A 16217-2024")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46262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52078-2021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46262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4</v>
      </c>
      <c r="V120" s="2" t="inlineStr">
        <is>
          <t>Knärot</t>
        </is>
      </c>
      <c r="W120">
        <f>HYPERLINK("https://klasma.github.io/Logging_2582/artfynd/A 52078-2021 artfynd.xlsx", "A 52078-2021")</f>
        <v/>
      </c>
      <c r="X120">
        <f>HYPERLINK("https://klasma.github.io/Logging_2582/kartor/A 52078-2021 karta.png", "A 52078-2021")</f>
        <v/>
      </c>
      <c r="Y120">
        <f>HYPERLINK("https://klasma.github.io/Logging_2582/kartor_geotiff/A 52078-2021 georefererad karta.tif", "A 52078-2021")</f>
        <v/>
      </c>
      <c r="Z120">
        <f>HYPERLINK("https://klasma.github.io/Logging_2582/knärot/A 52078-2021 karta knärot.png", "A 52078-2021")</f>
        <v/>
      </c>
      <c r="AA120">
        <f>HYPERLINK("https://klasma.github.io/Logging_2582/klagomål/A 52078-2021 FSC-klagomål.docx", "A 52078-2021")</f>
        <v/>
      </c>
      <c r="AB120">
        <f>HYPERLINK("https://klasma.github.io/Logging_2582/klagomålsmail/A 52078-2021 FSC-klagomål mail.docx", "A 52078-2021")</f>
        <v/>
      </c>
      <c r="AC120">
        <f>HYPERLINK("https://klasma.github.io/Logging_2582/tillsyn/A 52078-2021 tillsynsbegäran.docx", "A 52078-2021")</f>
        <v/>
      </c>
      <c r="AD120">
        <f>HYPERLINK("https://klasma.github.io/Logging_2582/tillsynsmail/A 52078-2021 tillsynsbegäran mail.docx", "A 52078-2021")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46262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53180-2025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46262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13.2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HYPERLINK("https://klasma.github.io/Logging_2582/artfynd/A 53180-2025 artfynd.xlsx", "A 53180-2025")</f>
        <v/>
      </c>
      <c r="X122">
        <f>HYPERLINK("https://klasma.github.io/Logging_2582/kartor/A 53180-2025 karta.png", "A 53180-2025")</f>
        <v/>
      </c>
      <c r="Y122">
        <f>HYPERLINK("https://klasma.github.io/Logging_2582/kartor_geotiff/A 53180-2025 georefererad karta.tif", "A 53180-2025")</f>
        <v/>
      </c>
      <c r="AA122">
        <f>HYPERLINK("https://klasma.github.io/Logging_2582/klagomål/A 53180-2025 FSC-klagomål.docx", "A 53180-2025")</f>
        <v/>
      </c>
      <c r="AB122">
        <f>HYPERLINK("https://klasma.github.io/Logging_2582/klagomålsmail/A 53180-2025 FSC-klagomål mail.docx", "A 53180-2025")</f>
        <v/>
      </c>
      <c r="AC122">
        <f>HYPERLINK("https://klasma.github.io/Logging_2582/tillsyn/A 53180-2025 tillsynsbegäran.docx", "A 53180-2025")</f>
        <v/>
      </c>
      <c r="AD122">
        <f>HYPERLINK("https://klasma.github.io/Logging_2582/tillsynsmail/A 53180-2025 tillsynsbegäran mail.docx", "A 53180-2025")</f>
        <v/>
      </c>
    </row>
    <row r="123" ht="15" customHeight="1">
      <c r="A123" t="inlineStr">
        <is>
          <t>A 53590-2025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46262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7.6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Gulskölding</t>
        </is>
      </c>
      <c r="W123">
        <f>HYPERLINK("https://klasma.github.io/Logging_2582/artfynd/A 53590-2025 artfynd.xlsx", "A 53590-2025")</f>
        <v/>
      </c>
      <c r="X123">
        <f>HYPERLINK("https://klasma.github.io/Logging_2582/kartor/A 53590-2025 karta.png", "A 53590-2025")</f>
        <v/>
      </c>
      <c r="Y123">
        <f>HYPERLINK("https://klasma.github.io/Logging_2582/kartor_geotiff/A 53590-2025 georefererad karta.tif", "A 53590-2025")</f>
        <v/>
      </c>
      <c r="AA123">
        <f>HYPERLINK("https://klasma.github.io/Logging_2582/klagomål/A 53590-2025 FSC-klagomål.docx", "A 53590-2025")</f>
        <v/>
      </c>
      <c r="AB123">
        <f>HYPERLINK("https://klasma.github.io/Logging_2582/klagomålsmail/A 53590-2025 FSC-klagomål mail.docx", "A 53590-2025")</f>
        <v/>
      </c>
      <c r="AC123">
        <f>HYPERLINK("https://klasma.github.io/Logging_2582/tillsyn/A 53590-2025 tillsynsbegäran.docx", "A 53590-2025")</f>
        <v/>
      </c>
      <c r="AD123">
        <f>HYPERLINK("https://klasma.github.io/Logging_2582/tillsynsmail/A 53590-2025 tillsynsbegäran mail.docx", "A 53590-2025")</f>
        <v/>
      </c>
    </row>
    <row r="124" ht="15" customHeight="1">
      <c r="A124" t="inlineStr">
        <is>
          <t>A 54563-2025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46262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10.3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Tallticka</t>
        </is>
      </c>
      <c r="W124">
        <f>HYPERLINK("https://klasma.github.io/Logging_2582/artfynd/A 54563-2025 artfynd.xlsx", "A 54563-2025")</f>
        <v/>
      </c>
      <c r="X124">
        <f>HYPERLINK("https://klasma.github.io/Logging_2582/kartor/A 54563-2025 karta.png", "A 54563-2025")</f>
        <v/>
      </c>
      <c r="Y124">
        <f>HYPERLINK("https://klasma.github.io/Logging_2582/kartor_geotiff/A 54563-2025 georefererad karta.tif", "A 54563-2025")</f>
        <v/>
      </c>
      <c r="AA124">
        <f>HYPERLINK("https://klasma.github.io/Logging_2582/klagomål/A 54563-2025 FSC-klagomål.docx", "A 54563-2025")</f>
        <v/>
      </c>
      <c r="AB124">
        <f>HYPERLINK("https://klasma.github.io/Logging_2582/klagomålsmail/A 54563-2025 FSC-klagomål mail.docx", "A 54563-2025")</f>
        <v/>
      </c>
      <c r="AC124">
        <f>HYPERLINK("https://klasma.github.io/Logging_2582/tillsyn/A 54563-2025 tillsynsbegäran.docx", "A 54563-2025")</f>
        <v/>
      </c>
      <c r="AD124">
        <f>HYPERLINK("https://klasma.github.io/Logging_2582/tillsynsmail/A 54563-2025 tillsynsbegäran mail.docx", "A 54563-2025")</f>
        <v/>
      </c>
    </row>
    <row r="125" ht="15" customHeight="1">
      <c r="A125" t="inlineStr">
        <is>
          <t>A 56598-2025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46262</v>
      </c>
      <c r="F125" t="inlineStr">
        <is>
          <t>NORRBOTTENS LÄN</t>
        </is>
      </c>
      <c r="G125" t="inlineStr">
        <is>
          <t>BODEN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HYPERLINK("https://klasma.github.io/Logging_2582/artfynd/A 56598-2025 artfynd.xlsx", "A 56598-2025")</f>
        <v/>
      </c>
      <c r="X125">
        <f>HYPERLINK("https://klasma.github.io/Logging_2582/kartor/A 56598-2025 karta.png", "A 56598-2025")</f>
        <v/>
      </c>
      <c r="Y125">
        <f>HYPERLINK("https://klasma.github.io/Logging_2582/kartor_geotiff/A 56598-2025 georefererad karta.tif", "A 56598-2025")</f>
        <v/>
      </c>
      <c r="AA125">
        <f>HYPERLINK("https://klasma.github.io/Logging_2582/klagomål/A 56598-2025 FSC-klagomål.docx", "A 56598-2025")</f>
        <v/>
      </c>
      <c r="AB125">
        <f>HYPERLINK("https://klasma.github.io/Logging_2582/klagomålsmail/A 56598-2025 FSC-klagomål mail.docx", "A 56598-2025")</f>
        <v/>
      </c>
      <c r="AC125">
        <f>HYPERLINK("https://klasma.github.io/Logging_2582/tillsyn/A 56598-2025 tillsynsbegäran.docx", "A 56598-2025")</f>
        <v/>
      </c>
      <c r="AD125">
        <f>HYPERLINK("https://klasma.github.io/Logging_2582/tillsynsmail/A 56598-2025 tillsynsbegäran mail.docx", "A 56598-2025")</f>
        <v/>
      </c>
    </row>
    <row r="126" ht="15" customHeight="1">
      <c r="A126" t="inlineStr">
        <is>
          <t>A 26359-2022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46262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Tallticka</t>
        </is>
      </c>
      <c r="W126">
        <f>HYPERLINK("https://klasma.github.io/Logging_2582/artfynd/A 26359-2022 artfynd.xlsx", "A 26359-2022")</f>
        <v/>
      </c>
      <c r="X126">
        <f>HYPERLINK("https://klasma.github.io/Logging_2582/kartor/A 26359-2022 karta.png", "A 26359-2022")</f>
        <v/>
      </c>
      <c r="Y126">
        <f>HYPERLINK("https://klasma.github.io/Logging_2582/kartor_geotiff/A 26359-2022 georefererad karta.tif", "A 26359-2022")</f>
        <v/>
      </c>
      <c r="AA126">
        <f>HYPERLINK("https://klasma.github.io/Logging_2582/klagomål/A 26359-2022 FSC-klagomål.docx", "A 26359-2022")</f>
        <v/>
      </c>
      <c r="AB126">
        <f>HYPERLINK("https://klasma.github.io/Logging_2582/klagomålsmail/A 26359-2022 FSC-klagomål mail.docx", "A 26359-2022")</f>
        <v/>
      </c>
      <c r="AC126">
        <f>HYPERLINK("https://klasma.github.io/Logging_2582/tillsyn/A 26359-2022 tillsynsbegäran.docx", "A 26359-2022")</f>
        <v/>
      </c>
      <c r="AD126">
        <f>HYPERLINK("https://klasma.github.io/Logging_2582/tillsynsmail/A 26359-2022 tillsynsbegäran mail.docx", "A 26359-2022")</f>
        <v/>
      </c>
    </row>
    <row r="127" ht="15" customHeight="1">
      <c r="A127" t="inlineStr">
        <is>
          <t>A 68514-2021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46262</v>
      </c>
      <c r="F127" t="inlineStr">
        <is>
          <t>NORRBOTTENS LÄN</t>
        </is>
      </c>
      <c r="G127" t="inlineStr">
        <is>
          <t>BODEN</t>
        </is>
      </c>
      <c r="I127" t="n">
        <v>6.2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HYPERLINK("https://klasma.github.io/Logging_2582/artfynd/A 68514-2021 artfynd.xlsx", "A 68514-2021")</f>
        <v/>
      </c>
      <c r="X127">
        <f>HYPERLINK("https://klasma.github.io/Logging_2582/kartor/A 68514-2021 karta.png", "A 68514-2021")</f>
        <v/>
      </c>
      <c r="Y127">
        <f>HYPERLINK("https://klasma.github.io/Logging_2582/kartor_geotiff/A 68514-2021 georefererad karta.tif", "A 68514-2021")</f>
        <v/>
      </c>
      <c r="Z127">
        <f>HYPERLINK("https://klasma.github.io/Logging_2582/knärot/A 68514-2021 karta knärot.png", "A 68514-2021")</f>
        <v/>
      </c>
      <c r="AA127">
        <f>HYPERLINK("https://klasma.github.io/Logging_2582/klagomål/A 68514-2021 FSC-klagomål.docx", "A 68514-2021")</f>
        <v/>
      </c>
      <c r="AB127">
        <f>HYPERLINK("https://klasma.github.io/Logging_2582/klagomålsmail/A 68514-2021 FSC-klagomål mail.docx", "A 68514-2021")</f>
        <v/>
      </c>
      <c r="AC127">
        <f>HYPERLINK("https://klasma.github.io/Logging_2582/tillsyn/A 68514-2021 tillsynsbegäran.docx", "A 68514-2021")</f>
        <v/>
      </c>
      <c r="AD127">
        <f>HYPERLINK("https://klasma.github.io/Logging_2582/tillsynsmail/A 68514-2021 tillsynsbegäran mail.docx", "A 68514-2021")</f>
        <v/>
      </c>
      <c r="AE127">
        <f>HYPERLINK("https://klasma.github.io/Logging_2582/fåglar/A 68514-2021 prioriterade fågelarter.docx", "A 68514-2021")</f>
        <v/>
      </c>
    </row>
    <row r="128" ht="15" customHeight="1">
      <c r="A128" t="inlineStr">
        <is>
          <t>A 22892-2024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46262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Bollvitmossa</t>
        </is>
      </c>
      <c r="W128">
        <f>HYPERLINK("https://klasma.github.io/Logging_2582/artfynd/A 22892-2024 artfynd.xlsx", "A 22892-2024")</f>
        <v/>
      </c>
      <c r="X128">
        <f>HYPERLINK("https://klasma.github.io/Logging_2582/kartor/A 22892-2024 karta.png", "A 22892-2024")</f>
        <v/>
      </c>
      <c r="Y128">
        <f>HYPERLINK("https://klasma.github.io/Logging_2582/kartor_geotiff/A 22892-2024 georefererad karta.tif", "A 22892-2024")</f>
        <v/>
      </c>
      <c r="AA128">
        <f>HYPERLINK("https://klasma.github.io/Logging_2582/klagomål/A 22892-2024 FSC-klagomål.docx", "A 22892-2024")</f>
        <v/>
      </c>
      <c r="AB128">
        <f>HYPERLINK("https://klasma.github.io/Logging_2582/klagomålsmail/A 22892-2024 FSC-klagomål mail.docx", "A 22892-2024")</f>
        <v/>
      </c>
      <c r="AC128">
        <f>HYPERLINK("https://klasma.github.io/Logging_2582/tillsyn/A 22892-2024 tillsynsbegäran.docx", "A 22892-2024")</f>
        <v/>
      </c>
      <c r="AD128">
        <f>HYPERLINK("https://klasma.github.io/Logging_2582/tillsynsmail/A 22892-2024 tillsynsbegäran mail.docx", "A 22892-2024")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46262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Igelkott</t>
        </is>
      </c>
      <c r="W129">
        <f>HYPERLINK("https://klasma.github.io/Logging_2582/artfynd/A 60196-2025 artfynd.xlsx", "A 60196-2025")</f>
        <v/>
      </c>
      <c r="X129">
        <f>HYPERLINK("https://klasma.github.io/Logging_2582/kartor/A 60196-2025 karta.png", "A 60196-2025")</f>
        <v/>
      </c>
      <c r="Y129">
        <f>HYPERLINK("https://klasma.github.io/Logging_2582/kartor_geotiff/A 60196-2025 georefererad karta.tif", "A 60196-2025")</f>
        <v/>
      </c>
      <c r="AA129">
        <f>HYPERLINK("https://klasma.github.io/Logging_2582/klagomål/A 60196-2025 FSC-klagomål.docx", "A 60196-2025")</f>
        <v/>
      </c>
      <c r="AB129">
        <f>HYPERLINK("https://klasma.github.io/Logging_2582/klagomålsmail/A 60196-2025 FSC-klagomål mail.docx", "A 60196-2025")</f>
        <v/>
      </c>
      <c r="AC129">
        <f>HYPERLINK("https://klasma.github.io/Logging_2582/tillsyn/A 60196-2025 tillsynsbegäran.docx", "A 60196-2025")</f>
        <v/>
      </c>
      <c r="AD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46262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46262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13568-2022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46262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1.5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Lavskrika</t>
        </is>
      </c>
      <c r="W132">
        <f>HYPERLINK("https://klasma.github.io/Logging_2582/artfynd/A 13568-2022 artfynd.xlsx", "A 13568-2022")</f>
        <v/>
      </c>
      <c r="X132">
        <f>HYPERLINK("https://klasma.github.io/Logging_2582/kartor/A 13568-2022 karta.png", "A 13568-2022")</f>
        <v/>
      </c>
      <c r="Y132">
        <f>HYPERLINK("https://klasma.github.io/Logging_2582/kartor_geotiff/A 13568-2022 georefererad karta.tif", "A 13568-2022")</f>
        <v/>
      </c>
      <c r="AA132">
        <f>HYPERLINK("https://klasma.github.io/Logging_2582/klagomål/A 13568-2022 FSC-klagomål.docx", "A 13568-2022")</f>
        <v/>
      </c>
      <c r="AB132">
        <f>HYPERLINK("https://klasma.github.io/Logging_2582/klagomålsmail/A 13568-2022 FSC-klagomål mail.docx", "A 13568-2022")</f>
        <v/>
      </c>
      <c r="AC132">
        <f>HYPERLINK("https://klasma.github.io/Logging_2582/tillsyn/A 13568-2022 tillsynsbegäran.docx", "A 13568-2022")</f>
        <v/>
      </c>
      <c r="AD132">
        <f>HYPERLINK("https://klasma.github.io/Logging_2582/tillsynsmail/A 13568-2022 tillsynsbegäran mail.docx", "A 13568-2022")</f>
        <v/>
      </c>
      <c r="AE132">
        <f>HYPERLINK("https://klasma.github.io/Logging_2582/fåglar/A 13568-2022 prioriterade fågelarter.docx", "A 13568-2022")</f>
        <v/>
      </c>
    </row>
    <row r="133" ht="15" customHeight="1">
      <c r="A133" t="inlineStr">
        <is>
          <t>A 62002-2025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46003</v>
      </c>
      <c r="E133" s="1" t="n">
        <v>46262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Vitgrynig nållav</t>
        </is>
      </c>
      <c r="W133">
        <f>HYPERLINK("https://klasma.github.io/Logging_2582/artfynd/A 62002-2025 artfynd.xlsx", "A 62002-2025")</f>
        <v/>
      </c>
      <c r="X133">
        <f>HYPERLINK("https://klasma.github.io/Logging_2582/kartor/A 62002-2025 karta.png", "A 62002-2025")</f>
        <v/>
      </c>
      <c r="Y133">
        <f>HYPERLINK("https://klasma.github.io/Logging_2582/kartor_geotiff/A 62002-2025 georefererad karta.tif", "A 62002-2025")</f>
        <v/>
      </c>
      <c r="AA133">
        <f>HYPERLINK("https://klasma.github.io/Logging_2582/klagomål/A 62002-2025 FSC-klagomål.docx", "A 62002-2025")</f>
        <v/>
      </c>
      <c r="AB133">
        <f>HYPERLINK("https://klasma.github.io/Logging_2582/klagomålsmail/A 62002-2025 FSC-klagomål mail.docx", "A 62002-2025")</f>
        <v/>
      </c>
      <c r="AC133">
        <f>HYPERLINK("https://klasma.github.io/Logging_2582/tillsyn/A 62002-2025 tillsynsbegäran.docx", "A 62002-2025")</f>
        <v/>
      </c>
      <c r="AD133">
        <f>HYPERLINK("https://klasma.github.io/Logging_2582/tillsynsmail/A 62002-2025 tillsynsbegäran mail.docx", "A 62002-2025")</f>
        <v/>
      </c>
    </row>
    <row r="134" ht="15" customHeight="1">
      <c r="A134" t="inlineStr">
        <is>
          <t>A 49410-2023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46262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49410-2023 artfynd.xlsx", "A 49410-2023")</f>
        <v/>
      </c>
      <c r="X134">
        <f>HYPERLINK("https://klasma.github.io/Logging_2582/kartor/A 49410-2023 karta.png", "A 49410-2023")</f>
        <v/>
      </c>
      <c r="Y134">
        <f>HYPERLINK("https://klasma.github.io/Logging_2582/kartor_geotiff/A 49410-2023 georefererad karta.tif", "A 49410-2023")</f>
        <v/>
      </c>
      <c r="AA134">
        <f>HYPERLINK("https://klasma.github.io/Logging_2582/klagomål/A 49410-2023 FSC-klagomål.docx", "A 49410-2023")</f>
        <v/>
      </c>
      <c r="AB134">
        <f>HYPERLINK("https://klasma.github.io/Logging_2582/klagomålsmail/A 49410-2023 FSC-klagomål mail.docx", "A 49410-2023")</f>
        <v/>
      </c>
      <c r="AC134">
        <f>HYPERLINK("https://klasma.github.io/Logging_2582/tillsyn/A 49410-2023 tillsynsbegäran.docx", "A 49410-2023")</f>
        <v/>
      </c>
      <c r="AD134">
        <f>HYPERLINK("https://klasma.github.io/Logging_2582/tillsynsmail/A 49410-2023 tillsynsbegäran mail.docx", "A 49410-2023")</f>
        <v/>
      </c>
    </row>
    <row r="135" ht="15" customHeight="1">
      <c r="A135" t="inlineStr">
        <is>
          <t>A 4878-2026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46262</v>
      </c>
      <c r="F135" t="inlineStr">
        <is>
          <t>NORRBOTTENS LÄN</t>
        </is>
      </c>
      <c r="G135" t="inlineStr">
        <is>
          <t>BODEN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Vanlig padda</t>
        </is>
      </c>
      <c r="W135">
        <f>HYPERLINK("https://klasma.github.io/Logging_2582/artfynd/A 4878-2026 artfynd.xlsx", "A 4878-2026")</f>
        <v/>
      </c>
      <c r="X135">
        <f>HYPERLINK("https://klasma.github.io/Logging_2582/kartor/A 4878-2026 karta.png", "A 4878-2026")</f>
        <v/>
      </c>
      <c r="Y135">
        <f>HYPERLINK("https://klasma.github.io/Logging_2582/kartor_geotiff/A 4878-2026 georefererad karta.tif", "A 4878-2026")</f>
        <v/>
      </c>
      <c r="AA135">
        <f>HYPERLINK("https://klasma.github.io/Logging_2582/klagomål/A 4878-2026 FSC-klagomål.docx", "A 4878-2026")</f>
        <v/>
      </c>
      <c r="AB135">
        <f>HYPERLINK("https://klasma.github.io/Logging_2582/klagomålsmail/A 4878-2026 FSC-klagomål mail.docx", "A 4878-2026")</f>
        <v/>
      </c>
      <c r="AC135">
        <f>HYPERLINK("https://klasma.github.io/Logging_2582/tillsyn/A 4878-2026 tillsynsbegäran.docx", "A 4878-2026")</f>
        <v/>
      </c>
      <c r="AD135">
        <f>HYPERLINK("https://klasma.github.io/Logging_2582/tillsynsmail/A 4878-2026 tillsynsbegäran mail.docx", "A 4878-2026")</f>
        <v/>
      </c>
    </row>
    <row r="136" ht="15" customHeight="1">
      <c r="A136" t="inlineStr">
        <is>
          <t>A 36743-2024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46262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HYPERLINK("https://klasma.github.io/Logging_2582/artfynd/A 36743-2024 artfynd.xlsx", "A 36743-2024")</f>
        <v/>
      </c>
      <c r="X136">
        <f>HYPERLINK("https://klasma.github.io/Logging_2582/kartor/A 36743-2024 karta.png", "A 36743-2024")</f>
        <v/>
      </c>
      <c r="Y136">
        <f>HYPERLINK("https://klasma.github.io/Logging_2582/kartor_geotiff/A 36743-2024 georefererad karta.tif", "A 36743-2024")</f>
        <v/>
      </c>
      <c r="AA136">
        <f>HYPERLINK("https://klasma.github.io/Logging_2582/klagomål/A 36743-2024 FSC-klagomål.docx", "A 36743-2024")</f>
        <v/>
      </c>
      <c r="AB136">
        <f>HYPERLINK("https://klasma.github.io/Logging_2582/klagomålsmail/A 36743-2024 FSC-klagomål mail.docx", "A 36743-2024")</f>
        <v/>
      </c>
      <c r="AC136">
        <f>HYPERLINK("https://klasma.github.io/Logging_2582/tillsyn/A 36743-2024 tillsynsbegäran.docx", "A 36743-2024")</f>
        <v/>
      </c>
      <c r="AD136">
        <f>HYPERLINK("https://klasma.github.io/Logging_2582/tillsynsmail/A 36743-2024 tillsynsbegäran mail.docx", "A 36743-2024")</f>
        <v/>
      </c>
    </row>
    <row r="137" ht="15" customHeight="1">
      <c r="A137" t="inlineStr">
        <is>
          <t>A 14329-2026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46262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HYPERLINK("https://klasma.github.io/Logging_2582/artfynd/A 14329-2026 artfynd.xlsx", "A 14329-2026")</f>
        <v/>
      </c>
      <c r="X137">
        <f>HYPERLINK("https://klasma.github.io/Logging_2582/kartor/A 14329-2026 karta.png", "A 14329-2026")</f>
        <v/>
      </c>
      <c r="Y137">
        <f>HYPERLINK("https://klasma.github.io/Logging_2582/kartor_geotiff/A 14329-2026 georefererad karta.tif", "A 14329-2026")</f>
        <v/>
      </c>
      <c r="AA137">
        <f>HYPERLINK("https://klasma.github.io/Logging_2582/klagomål/A 14329-2026 FSC-klagomål.docx", "A 14329-2026")</f>
        <v/>
      </c>
      <c r="AB137">
        <f>HYPERLINK("https://klasma.github.io/Logging_2582/klagomålsmail/A 14329-2026 FSC-klagomål mail.docx", "A 14329-2026")</f>
        <v/>
      </c>
      <c r="AC137">
        <f>HYPERLINK("https://klasma.github.io/Logging_2582/tillsyn/A 14329-2026 tillsynsbegäran.docx", "A 14329-2026")</f>
        <v/>
      </c>
      <c r="AD137">
        <f>HYPERLINK("https://klasma.github.io/Logging_2582/tillsynsmail/A 14329-2026 tillsynsbegäran mail.docx", "A 14329-2026")</f>
        <v/>
      </c>
      <c r="AE137">
        <f>HYPERLINK("https://klasma.github.io/Logging_2582/fåglar/A 14329-2026 prioriterade fågelarter.docx", "A 14329-2026")</f>
        <v/>
      </c>
    </row>
    <row r="138" ht="15" customHeight="1">
      <c r="A138" t="inlineStr">
        <is>
          <t>A 32600-2024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45513</v>
      </c>
      <c r="E138" s="1" t="n">
        <v>46262</v>
      </c>
      <c r="F138" t="inlineStr">
        <is>
          <t>NORRBOTTENS LÄN</t>
        </is>
      </c>
      <c r="G138" t="inlineStr">
        <is>
          <t>BODEN</t>
        </is>
      </c>
      <c r="I138" t="n">
        <v>2.5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32600-2024 artfynd.xlsx", "A 32600-2024")</f>
        <v/>
      </c>
      <c r="X138">
        <f>HYPERLINK("https://klasma.github.io/Logging_2582/kartor/A 32600-2024 karta.png", "A 32600-2024")</f>
        <v/>
      </c>
      <c r="Y138">
        <f>HYPERLINK("https://klasma.github.io/Logging_2582/kartor_geotiff/A 32600-2024 georefererad karta.tif", "A 32600-2024")</f>
        <v/>
      </c>
      <c r="AA138">
        <f>HYPERLINK("https://klasma.github.io/Logging_2582/klagomål/A 32600-2024 FSC-klagomål.docx", "A 32600-2024")</f>
        <v/>
      </c>
      <c r="AB138">
        <f>HYPERLINK("https://klasma.github.io/Logging_2582/klagomålsmail/A 32600-2024 FSC-klagomål mail.docx", "A 32600-2024")</f>
        <v/>
      </c>
      <c r="AC138">
        <f>HYPERLINK("https://klasma.github.io/Logging_2582/tillsyn/A 32600-2024 tillsynsbegäran.docx", "A 32600-2024")</f>
        <v/>
      </c>
      <c r="AD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46262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Duvhök</t>
        </is>
      </c>
      <c r="W139">
        <f>HYPERLINK("https://klasma.github.io/Logging_2582/artfynd/A 665-2023 artfynd.xlsx", "A 665-2023")</f>
        <v/>
      </c>
      <c r="X139">
        <f>HYPERLINK("https://klasma.github.io/Logging_2582/kartor/A 665-2023 karta.png", "A 665-2023")</f>
        <v/>
      </c>
      <c r="Y139">
        <f>HYPERLINK("https://klasma.github.io/Logging_2582/kartor_geotiff/A 665-2023 georefererad karta.tif", "A 665-2023")</f>
        <v/>
      </c>
      <c r="AA139">
        <f>HYPERLINK("https://klasma.github.io/Logging_2582/klagomål/A 665-2023 FSC-klagomål.docx", "A 665-2023")</f>
        <v/>
      </c>
      <c r="AB139">
        <f>HYPERLINK("https://klasma.github.io/Logging_2582/klagomålsmail/A 665-2023 FSC-klagomål mail.docx", "A 665-2023")</f>
        <v/>
      </c>
      <c r="AC139">
        <f>HYPERLINK("https://klasma.github.io/Logging_2582/tillsyn/A 665-2023 tillsynsbegäran.docx", "A 665-2023")</f>
        <v/>
      </c>
      <c r="AD139">
        <f>HYPERLINK("https://klasma.github.io/Logging_2582/tillsynsmail/A 665-2023 tillsynsbegäran mail.docx", "A 665-2023")</f>
        <v/>
      </c>
      <c r="AE139">
        <f>HYPERLINK("https://klasma.github.io/Logging_2582/fåglar/A 665-2023 prioriterade fågelarter.docx", "A 665-2023")</f>
        <v/>
      </c>
    </row>
    <row r="140" ht="15" customHeight="1">
      <c r="A140" t="inlineStr">
        <is>
          <t>A 19580-2026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46134</v>
      </c>
      <c r="E140" s="1" t="n">
        <v>46262</v>
      </c>
      <c r="F140" t="inlineStr">
        <is>
          <t>NORRBOTTENS LÄN</t>
        </is>
      </c>
      <c r="G140" t="inlineStr">
        <is>
          <t>BODEN</t>
        </is>
      </c>
      <c r="I140" t="n">
        <v>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Dropptaggsvamp</t>
        </is>
      </c>
      <c r="W140">
        <f>HYPERLINK("https://klasma.github.io/Logging_2582/artfynd/A 19580-2026 artfynd.xlsx", "A 19580-2026")</f>
        <v/>
      </c>
      <c r="X140">
        <f>HYPERLINK("https://klasma.github.io/Logging_2582/kartor/A 19580-2026 karta.png", "A 19580-2026")</f>
        <v/>
      </c>
      <c r="Y140">
        <f>HYPERLINK("https://klasma.github.io/Logging_2582/kartor_geotiff/A 19580-2026 georefererad karta.tif", "A 19580-2026")</f>
        <v/>
      </c>
      <c r="AA140">
        <f>HYPERLINK("https://klasma.github.io/Logging_2582/klagomål/A 19580-2026 FSC-klagomål.docx", "A 19580-2026")</f>
        <v/>
      </c>
      <c r="AB140">
        <f>HYPERLINK("https://klasma.github.io/Logging_2582/klagomålsmail/A 19580-2026 FSC-klagomål mail.docx", "A 19580-2026")</f>
        <v/>
      </c>
      <c r="AC140">
        <f>HYPERLINK("https://klasma.github.io/Logging_2582/tillsyn/A 19580-2026 tillsynsbegäran.docx", "A 19580-2026")</f>
        <v/>
      </c>
      <c r="AD140">
        <f>HYPERLINK("https://klasma.github.io/Logging_2582/tillsynsmail/A 19580-2026 tillsynsbegäran mail.docx", "A 19580-2026")</f>
        <v/>
      </c>
    </row>
    <row r="141" ht="15" customHeight="1">
      <c r="A141" t="inlineStr">
        <is>
          <t>A 12832-2022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44642</v>
      </c>
      <c r="E141" s="1" t="n">
        <v>46262</v>
      </c>
      <c r="F141" t="inlineStr">
        <is>
          <t>NORRBOTTENS LÄN</t>
        </is>
      </c>
      <c r="G141" t="inlineStr">
        <is>
          <t>BODEN</t>
        </is>
      </c>
      <c r="I141" t="n">
        <v>6.6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Doftticka</t>
        </is>
      </c>
      <c r="W141">
        <f>HYPERLINK("https://klasma.github.io/Logging_2582/artfynd/A 12832-2022 artfynd.xlsx", "A 12832-2022")</f>
        <v/>
      </c>
      <c r="X141">
        <f>HYPERLINK("https://klasma.github.io/Logging_2582/kartor/A 12832-2022 karta.png", "A 12832-2022")</f>
        <v/>
      </c>
      <c r="Y141">
        <f>HYPERLINK("https://klasma.github.io/Logging_2582/kartor_geotiff/A 12832-2022 georefererad karta.tif", "A 12832-2022")</f>
        <v/>
      </c>
      <c r="AA141">
        <f>HYPERLINK("https://klasma.github.io/Logging_2582/klagomål/A 12832-2022 FSC-klagomål.docx", "A 12832-2022")</f>
        <v/>
      </c>
      <c r="AB141">
        <f>HYPERLINK("https://klasma.github.io/Logging_2582/klagomålsmail/A 12832-2022 FSC-klagomål mail.docx", "A 12832-2022")</f>
        <v/>
      </c>
      <c r="AC141">
        <f>HYPERLINK("https://klasma.github.io/Logging_2582/tillsyn/A 12832-2022 tillsynsbegäran.docx", "A 12832-2022")</f>
        <v/>
      </c>
      <c r="AD141">
        <f>HYPERLINK("https://klasma.github.io/Logging_2582/tillsynsmail/A 12832-2022 tillsynsbegäran mail.docx", "A 12832-2022")</f>
        <v/>
      </c>
    </row>
    <row r="142" ht="15" customHeight="1">
      <c r="A142" t="inlineStr">
        <is>
          <t>A 21310-2026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46262</v>
      </c>
      <c r="F142" t="inlineStr">
        <is>
          <t>NORRBOTTENS LÄN</t>
        </is>
      </c>
      <c r="G142" t="inlineStr">
        <is>
          <t>BODEN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21310-2026 artfynd.xlsx", "A 21310-2026")</f>
        <v/>
      </c>
      <c r="X142">
        <f>HYPERLINK("https://klasma.github.io/Logging_2582/kartor/A 21310-2026 karta.png", "A 21310-2026")</f>
        <v/>
      </c>
      <c r="Y142">
        <f>HYPERLINK("https://klasma.github.io/Logging_2582/kartor_geotiff/A 21310-2026 georefererad karta.tif", "A 21310-2026")</f>
        <v/>
      </c>
      <c r="AA142">
        <f>HYPERLINK("https://klasma.github.io/Logging_2582/klagomål/A 21310-2026 FSC-klagomål.docx", "A 21310-2026")</f>
        <v/>
      </c>
      <c r="AB142">
        <f>HYPERLINK("https://klasma.github.io/Logging_2582/klagomålsmail/A 21310-2026 FSC-klagomål mail.docx", "A 21310-2026")</f>
        <v/>
      </c>
      <c r="AC142">
        <f>HYPERLINK("https://klasma.github.io/Logging_2582/tillsyn/A 21310-2026 tillsynsbegäran.docx", "A 21310-2026")</f>
        <v/>
      </c>
      <c r="AD142">
        <f>HYPERLINK("https://klasma.github.io/Logging_2582/tillsynsmail/A 21310-2026 tillsynsbegäran mail.docx", "A 21310-2026")</f>
        <v/>
      </c>
    </row>
    <row r="143" ht="15" customHeight="1">
      <c r="A143" t="inlineStr">
        <is>
          <t>A 41087-2024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45559</v>
      </c>
      <c r="E143" s="1" t="n">
        <v>46262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HYPERLINK("https://klasma.github.io/Logging_2582/artfynd/A 41087-2024 artfynd.xlsx", "A 41087-2024")</f>
        <v/>
      </c>
      <c r="X143">
        <f>HYPERLINK("https://klasma.github.io/Logging_2582/kartor/A 41087-2024 karta.png", "A 41087-2024")</f>
        <v/>
      </c>
      <c r="Y143">
        <f>HYPERLINK("https://klasma.github.io/Logging_2582/kartor_geotiff/A 41087-2024 georefererad karta.tif", "A 41087-2024")</f>
        <v/>
      </c>
      <c r="AA143">
        <f>HYPERLINK("https://klasma.github.io/Logging_2582/klagomål/A 41087-2024 FSC-klagomål.docx", "A 41087-2024")</f>
        <v/>
      </c>
      <c r="AB143">
        <f>HYPERLINK("https://klasma.github.io/Logging_2582/klagomålsmail/A 41087-2024 FSC-klagomål mail.docx", "A 41087-2024")</f>
        <v/>
      </c>
      <c r="AC143">
        <f>HYPERLINK("https://klasma.github.io/Logging_2582/tillsyn/A 41087-2024 tillsynsbegäran.docx", "A 41087-2024")</f>
        <v/>
      </c>
      <c r="AD143">
        <f>HYPERLINK("https://klasma.github.io/Logging_2582/tillsynsmail/A 41087-2024 tillsynsbegäran mail.docx", "A 41087-2024")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46262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HYPERLINK("https://klasma.github.io/Logging_2582/artfynd/A 24429-2026 artfynd.xlsx", "A 24429-2026")</f>
        <v/>
      </c>
      <c r="X144">
        <f>HYPERLINK("https://klasma.github.io/Logging_2582/kartor/A 24429-2026 karta.png", "A 24429-2026")</f>
        <v/>
      </c>
      <c r="Y144">
        <f>HYPERLINK("https://klasma.github.io/Logging_2582/kartor_geotiff/A 24429-2026 georefererad karta.tif", "A 24429-2026")</f>
        <v/>
      </c>
      <c r="AA144">
        <f>HYPERLINK("https://klasma.github.io/Logging_2582/klagomål/A 24429-2026 FSC-klagomål.docx", "A 24429-2026")</f>
        <v/>
      </c>
      <c r="AB144">
        <f>HYPERLINK("https://klasma.github.io/Logging_2582/klagomålsmail/A 24429-2026 FSC-klagomål mail.docx", "A 24429-2026")</f>
        <v/>
      </c>
      <c r="AC144">
        <f>HYPERLINK("https://klasma.github.io/Logging_2582/tillsyn/A 24429-2026 tillsynsbegäran.docx", "A 24429-2026")</f>
        <v/>
      </c>
      <c r="AD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25805-2026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46262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3.6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Plattlummer</t>
        </is>
      </c>
      <c r="W145">
        <f>HYPERLINK("https://klasma.github.io/Logging_2582/artfynd/A 25805-2026 artfynd.xlsx", "A 25805-2026")</f>
        <v/>
      </c>
      <c r="X145">
        <f>HYPERLINK("https://klasma.github.io/Logging_2582/kartor/A 25805-2026 karta.png", "A 25805-2026")</f>
        <v/>
      </c>
      <c r="Y145">
        <f>HYPERLINK("https://klasma.github.io/Logging_2582/kartor_geotiff/A 25805-2026 georefererad karta.tif", "A 25805-2026")</f>
        <v/>
      </c>
      <c r="AA145">
        <f>HYPERLINK("https://klasma.github.io/Logging_2582/klagomål/A 25805-2026 FSC-klagomål.docx", "A 25805-2026")</f>
        <v/>
      </c>
      <c r="AB145">
        <f>HYPERLINK("https://klasma.github.io/Logging_2582/klagomålsmail/A 25805-2026 FSC-klagomål mail.docx", "A 25805-2026")</f>
        <v/>
      </c>
      <c r="AC145">
        <f>HYPERLINK("https://klasma.github.io/Logging_2582/tillsyn/A 25805-2026 tillsynsbegäran.docx", "A 25805-2026")</f>
        <v/>
      </c>
      <c r="AD145">
        <f>HYPERLINK("https://klasma.github.io/Logging_2582/tillsynsmail/A 25805-2026 tillsynsbegäran mail.docx", "A 25805-2026")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46262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46262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46262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26438-2026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46262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15.9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Kolflarnlav</t>
        </is>
      </c>
      <c r="W149">
        <f>HYPERLINK("https://klasma.github.io/Logging_2582/artfynd/A 26438-2026 artfynd.xlsx", "A 26438-2026")</f>
        <v/>
      </c>
      <c r="X149">
        <f>HYPERLINK("https://klasma.github.io/Logging_2582/kartor/A 26438-2026 karta.png", "A 26438-2026")</f>
        <v/>
      </c>
      <c r="Y149">
        <f>HYPERLINK("https://klasma.github.io/Logging_2582/kartor_geotiff/A 26438-2026 georefererad karta.tif", "A 26438-2026")</f>
        <v/>
      </c>
      <c r="AA149">
        <f>HYPERLINK("https://klasma.github.io/Logging_2582/klagomål/A 26438-2026 FSC-klagomål.docx", "A 26438-2026")</f>
        <v/>
      </c>
      <c r="AB149">
        <f>HYPERLINK("https://klasma.github.io/Logging_2582/klagomålsmail/A 26438-2026 FSC-klagomål mail.docx", "A 26438-2026")</f>
        <v/>
      </c>
      <c r="AC149">
        <f>HYPERLINK("https://klasma.github.io/Logging_2582/tillsyn/A 26438-2026 tillsynsbegäran.docx", "A 26438-2026")</f>
        <v/>
      </c>
      <c r="AD149">
        <f>HYPERLINK("https://klasma.github.io/Logging_2582/tillsynsmail/A 26438-2026 tillsynsbegäran mail.docx", "A 26438-2026")</f>
        <v/>
      </c>
    </row>
    <row r="150" ht="15" customHeight="1">
      <c r="A150" t="inlineStr">
        <is>
          <t>A 26690-2026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46262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26690-2026 artfynd.xlsx", "A 26690-2026")</f>
        <v/>
      </c>
      <c r="X150">
        <f>HYPERLINK("https://klasma.github.io/Logging_2582/kartor/A 26690-2026 karta.png", "A 26690-2026")</f>
        <v/>
      </c>
      <c r="Y150">
        <f>HYPERLINK("https://klasma.github.io/Logging_2582/kartor_geotiff/A 26690-2026 georefererad karta.tif", "A 26690-2026")</f>
        <v/>
      </c>
      <c r="Z150">
        <f>HYPERLINK("https://klasma.github.io/Logging_2582/knärot/A 26690-2026 karta knärot.png", "A 26690-2026")</f>
        <v/>
      </c>
      <c r="AA150">
        <f>HYPERLINK("https://klasma.github.io/Logging_2582/klagomål/A 26690-2026 FSC-klagomål.docx", "A 26690-2026")</f>
        <v/>
      </c>
      <c r="AB150">
        <f>HYPERLINK("https://klasma.github.io/Logging_2582/klagomålsmail/A 26690-2026 FSC-klagomål mail.docx", "A 26690-2026")</f>
        <v/>
      </c>
      <c r="AC150">
        <f>HYPERLINK("https://klasma.github.io/Logging_2582/tillsyn/A 26690-2026 tillsynsbegäran.docx", "A 26690-2026")</f>
        <v/>
      </c>
      <c r="AD150">
        <f>HYPERLINK("https://klasma.github.io/Logging_2582/tillsynsmail/A 26690-2026 tillsynsbegäran mail.docx", "A 26690-2026")</f>
        <v/>
      </c>
    </row>
    <row r="151" ht="15" customHeight="1">
      <c r="A151" t="inlineStr">
        <is>
          <t>A 32159-2026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46236</v>
      </c>
      <c r="E151" s="1" t="n">
        <v>46262</v>
      </c>
      <c r="F151" t="inlineStr">
        <is>
          <t>NORRBOTTENS LÄN</t>
        </is>
      </c>
      <c r="G151" t="inlineStr">
        <is>
          <t>BODEN</t>
        </is>
      </c>
      <c r="I151" t="n">
        <v>5.8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Vanlig padda</t>
        </is>
      </c>
      <c r="W151">
        <f>HYPERLINK("https://klasma.github.io/Logging_2582/artfynd/A 32159-2026 artfynd.xlsx", "A 32159-2026")</f>
        <v/>
      </c>
      <c r="X151">
        <f>HYPERLINK("https://klasma.github.io/Logging_2582/kartor/A 32159-2026 karta.png", "A 32159-2026")</f>
        <v/>
      </c>
      <c r="Y151">
        <f>HYPERLINK("https://klasma.github.io/Logging_2582/kartor_geotiff/A 32159-2026 georefererad karta.tif", "A 32159-2026")</f>
        <v/>
      </c>
      <c r="AA151">
        <f>HYPERLINK("https://klasma.github.io/Logging_2582/klagomål/A 32159-2026 FSC-klagomål.docx", "A 32159-2026")</f>
        <v/>
      </c>
      <c r="AB151">
        <f>HYPERLINK("https://klasma.github.io/Logging_2582/klagomålsmail/A 32159-2026 FSC-klagomål mail.docx", "A 32159-2026")</f>
        <v/>
      </c>
      <c r="AC151">
        <f>HYPERLINK("https://klasma.github.io/Logging_2582/tillsyn/A 32159-2026 tillsynsbegäran.docx", "A 32159-2026")</f>
        <v/>
      </c>
      <c r="AD151">
        <f>HYPERLINK("https://klasma.github.io/Logging_2582/tillsynsmail/A 32159-2026 tillsynsbegäran mail.docx", "A 32159-2026")</f>
        <v/>
      </c>
    </row>
    <row r="152" ht="15" customHeight="1">
      <c r="A152" t="inlineStr">
        <is>
          <t>A 32708-2026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46262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HYPERLINK("https://klasma.github.io/Logging_2582/artfynd/A 32708-2026 artfynd.xlsx", "A 32708-2026")</f>
        <v/>
      </c>
      <c r="X152">
        <f>HYPERLINK("https://klasma.github.io/Logging_2582/kartor/A 32708-2026 karta.png", "A 32708-2026")</f>
        <v/>
      </c>
      <c r="Y152">
        <f>HYPERLINK("https://klasma.github.io/Logging_2582/kartor_geotiff/A 32708-2026 georefererad karta.tif", "A 32708-2026")</f>
        <v/>
      </c>
      <c r="AA152">
        <f>HYPERLINK("https://klasma.github.io/Logging_2582/klagomål/A 32708-2026 FSC-klagomål.docx", "A 32708-2026")</f>
        <v/>
      </c>
      <c r="AB152">
        <f>HYPERLINK("https://klasma.github.io/Logging_2582/klagomålsmail/A 32708-2026 FSC-klagomål mail.docx", "A 32708-2026")</f>
        <v/>
      </c>
      <c r="AC152">
        <f>HYPERLINK("https://klasma.github.io/Logging_2582/tillsyn/A 32708-2026 tillsynsbegäran.docx", "A 32708-2026")</f>
        <v/>
      </c>
      <c r="AD152">
        <f>HYPERLINK("https://klasma.github.io/Logging_2582/tillsynsmail/A 32708-2026 tillsynsbegäran mail.docx", "A 32708-2026")</f>
        <v/>
      </c>
    </row>
    <row r="153" ht="15" customHeight="1">
      <c r="A153" t="inlineStr">
        <is>
          <t>A 32664-2026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46240</v>
      </c>
      <c r="E153" s="1" t="n">
        <v>46262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14.3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4</v>
      </c>
      <c r="U153" t="n">
        <v>0</v>
      </c>
      <c r="V153" s="2" t="inlineStr">
        <is>
          <t>Lunglav</t>
        </is>
      </c>
      <c r="W153">
        <f>HYPERLINK("https://klasma.github.io/Logging_2582/artfynd/A 32664-2026 artfynd.xlsx", "A 32664-2026")</f>
        <v/>
      </c>
      <c r="X153">
        <f>HYPERLINK("https://klasma.github.io/Logging_2582/kartor/A 32664-2026 karta.png", "A 32664-2026")</f>
        <v/>
      </c>
      <c r="Y153">
        <f>HYPERLINK("https://klasma.github.io/Logging_2582/kartor_geotiff/A 32664-2026 georefererad karta.tif", "A 32664-2026")</f>
        <v/>
      </c>
      <c r="AA153">
        <f>HYPERLINK("https://klasma.github.io/Logging_2582/klagomål/A 32664-2026 FSC-klagomål.docx", "A 32664-2026")</f>
        <v/>
      </c>
      <c r="AB153">
        <f>HYPERLINK("https://klasma.github.io/Logging_2582/klagomålsmail/A 32664-2026 FSC-klagomål mail.docx", "A 32664-2026")</f>
        <v/>
      </c>
      <c r="AC153">
        <f>HYPERLINK("https://klasma.github.io/Logging_2582/tillsyn/A 32664-2026 tillsynsbegäran.docx", "A 32664-2026")</f>
        <v/>
      </c>
      <c r="AD153">
        <f>HYPERLINK("https://klasma.github.io/Logging_2582/tillsynsmail/A 32664-2026 tillsynsbegäran mail.docx", "A 32664-2026")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46262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33756-2026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46251</v>
      </c>
      <c r="E155" s="1" t="n">
        <v>46262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Bollvitmossa</t>
        </is>
      </c>
      <c r="W155">
        <f>HYPERLINK("https://klasma.github.io/Logging_2582/artfynd/A 33756-2026 artfynd.xlsx", "A 33756-2026")</f>
        <v/>
      </c>
      <c r="X155">
        <f>HYPERLINK("https://klasma.github.io/Logging_2582/kartor/A 33756-2026 karta.png", "A 33756-2026")</f>
        <v/>
      </c>
      <c r="Y155">
        <f>HYPERLINK("https://klasma.github.io/Logging_2582/kartor_geotiff/A 33756-2026 georefererad karta.tif", "A 33756-2026")</f>
        <v/>
      </c>
      <c r="AA155">
        <f>HYPERLINK("https://klasma.github.io/Logging_2582/klagomål/A 33756-2026 FSC-klagomål.docx", "A 33756-2026")</f>
        <v/>
      </c>
      <c r="AB155">
        <f>HYPERLINK("https://klasma.github.io/Logging_2582/klagomålsmail/A 33756-2026 FSC-klagomål mail.docx", "A 33756-2026")</f>
        <v/>
      </c>
      <c r="AC155">
        <f>HYPERLINK("https://klasma.github.io/Logging_2582/tillsyn/A 33756-2026 tillsynsbegäran.docx", "A 33756-2026")</f>
        <v/>
      </c>
      <c r="AD155">
        <f>HYPERLINK("https://klasma.github.io/Logging_2582/tillsynsmail/A 33756-2026 tillsynsbegäran mail.docx", "A 33756-2026")</f>
        <v/>
      </c>
    </row>
    <row r="156" ht="15" customHeight="1">
      <c r="A156" t="inlineStr">
        <is>
          <t>A 34512-2026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46255</v>
      </c>
      <c r="E156" s="1" t="n">
        <v>46262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Skarp dropptaggsvamp</t>
        </is>
      </c>
      <c r="W156">
        <f>HYPERLINK("https://klasma.github.io/Logging_2582/artfynd/A 34512-2026 artfynd.xlsx", "A 34512-2026")</f>
        <v/>
      </c>
      <c r="X156">
        <f>HYPERLINK("https://klasma.github.io/Logging_2582/kartor/A 34512-2026 karta.png", "A 34512-2026")</f>
        <v/>
      </c>
      <c r="Y156">
        <f>HYPERLINK("https://klasma.github.io/Logging_2582/kartor_geotiff/A 34512-2026 georefererad karta.tif", "A 34512-2026")</f>
        <v/>
      </c>
      <c r="AA156">
        <f>HYPERLINK("https://klasma.github.io/Logging_2582/klagomål/A 34512-2026 FSC-klagomål.docx", "A 34512-2026")</f>
        <v/>
      </c>
      <c r="AB156">
        <f>HYPERLINK("https://klasma.github.io/Logging_2582/klagomålsmail/A 34512-2026 FSC-klagomål mail.docx", "A 34512-2026")</f>
        <v/>
      </c>
      <c r="AC156">
        <f>HYPERLINK("https://klasma.github.io/Logging_2582/tillsyn/A 34512-2026 tillsynsbegäran.docx", "A 34512-2026")</f>
        <v/>
      </c>
      <c r="AD156">
        <f>HYPERLINK("https://klasma.github.io/Logging_2582/tillsynsmail/A 34512-2026 tillsynsbegäran mail.docx", "A 34512-2026")</f>
        <v/>
      </c>
    </row>
    <row r="157" ht="15" customHeight="1">
      <c r="A157" t="inlineStr">
        <is>
          <t>A 35292-2026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46262</v>
      </c>
      <c r="F157" t="inlineStr">
        <is>
          <t>NORRBOTTENS LÄN</t>
        </is>
      </c>
      <c r="G157" t="inlineStr">
        <is>
          <t>BODEN</t>
        </is>
      </c>
      <c r="I157" t="n">
        <v>4.9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HYPERLINK("https://klasma.github.io/Logging_2582/artfynd/A 35292-2026 artfynd.xlsx", "A 35292-2026")</f>
        <v/>
      </c>
      <c r="X157">
        <f>HYPERLINK("https://klasma.github.io/Logging_2582/kartor/A 35292-2026 karta.png", "A 35292-2026")</f>
        <v/>
      </c>
      <c r="Y157">
        <f>HYPERLINK("https://klasma.github.io/Logging_2582/kartor_geotiff/A 35292-2026 georefererad karta.tif", "A 35292-2026")</f>
        <v/>
      </c>
      <c r="AA157">
        <f>HYPERLINK("https://klasma.github.io/Logging_2582/klagomål/A 35292-2026 FSC-klagomål.docx", "A 35292-2026")</f>
        <v/>
      </c>
      <c r="AB157">
        <f>HYPERLINK("https://klasma.github.io/Logging_2582/klagomålsmail/A 35292-2026 FSC-klagomål mail.docx", "A 35292-2026")</f>
        <v/>
      </c>
      <c r="AC157">
        <f>HYPERLINK("https://klasma.github.io/Logging_2582/tillsyn/A 35292-2026 tillsynsbegäran.docx", "A 35292-2026")</f>
        <v/>
      </c>
      <c r="AD157">
        <f>HYPERLINK("https://klasma.github.io/Logging_2582/tillsynsmail/A 35292-2026 tillsynsbegäran mail.docx", "A 35292-2026")</f>
        <v/>
      </c>
      <c r="AE157">
        <f>HYPERLINK("https://klasma.github.io/Logging_2582/fåglar/A 35292-2026 prioriterade fågelarter.docx", "A 35292-2026")</f>
        <v/>
      </c>
    </row>
    <row r="158" ht="15" customHeight="1">
      <c r="A158" t="inlineStr">
        <is>
          <t>A 2565-2026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46262</v>
      </c>
      <c r="F158" t="inlineStr">
        <is>
          <t>NORRBOTTENS LÄN</t>
        </is>
      </c>
      <c r="G158" t="inlineStr">
        <is>
          <t>BODEN</t>
        </is>
      </c>
      <c r="H158" t="inlineStr">
        <is>
          <t>Naturvårdsverket</t>
        </is>
      </c>
      <c r="I158" t="n">
        <v>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2</v>
      </c>
      <c r="U158" t="n">
        <v>2</v>
      </c>
      <c r="V158" s="2" t="inlineStr">
        <is>
          <t>Garnlav</t>
        </is>
      </c>
      <c r="W158">
        <f>HYPERLINK("https://klasma.github.io/Logging_2582/artfynd/A 2565-2026 artfynd.xlsx", "A 2565-2026")</f>
        <v/>
      </c>
      <c r="X158">
        <f>HYPERLINK("https://klasma.github.io/Logging_2582/kartor/A 2565-2026 karta.png", "A 2565-2026")</f>
        <v/>
      </c>
      <c r="Y158">
        <f>HYPERLINK("https://klasma.github.io/Logging_2582/kartor_geotiff/A 2565-2026 georefererad karta.tif", "A 2565-2026")</f>
        <v/>
      </c>
      <c r="AA158">
        <f>HYPERLINK("https://klasma.github.io/Logging_2582/klagomål/A 2565-2026 FSC-klagomål.docx", "A 2565-2026")</f>
        <v/>
      </c>
      <c r="AB158">
        <f>HYPERLINK("https://klasma.github.io/Logging_2582/klagomålsmail/A 2565-2026 FSC-klagomål mail.docx", "A 2565-2026")</f>
        <v/>
      </c>
      <c r="AC158">
        <f>HYPERLINK("https://klasma.github.io/Logging_2582/tillsyn/A 2565-2026 tillsynsbegäran.docx", "A 2565-2026")</f>
        <v/>
      </c>
      <c r="AD158">
        <f>HYPERLINK("https://klasma.github.io/Logging_2582/tillsynsmail/A 2565-2026 tillsynsbegäran mail.docx", "A 2565-2026")</f>
        <v/>
      </c>
    </row>
    <row r="159" ht="15" customHeight="1">
      <c r="A159" t="inlineStr">
        <is>
          <t>A 35299-2026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46262</v>
      </c>
      <c r="F159" t="inlineStr">
        <is>
          <t>NORRBOTTENS LÄN</t>
        </is>
      </c>
      <c r="G159" t="inlineStr">
        <is>
          <t>BODEN</t>
        </is>
      </c>
      <c r="I159" t="n">
        <v>3.3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Knärot</t>
        </is>
      </c>
      <c r="W159">
        <f>HYPERLINK("https://klasma.github.io/Logging_2582/artfynd/A 35299-2026 artfynd.xlsx", "A 35299-2026")</f>
        <v/>
      </c>
      <c r="X159">
        <f>HYPERLINK("https://klasma.github.io/Logging_2582/kartor/A 35299-2026 karta.png", "A 35299-2026")</f>
        <v/>
      </c>
      <c r="Y159">
        <f>HYPERLINK("https://klasma.github.io/Logging_2582/kartor_geotiff/A 35299-2026 georefererad karta.tif", "A 35299-2026")</f>
        <v/>
      </c>
      <c r="Z159">
        <f>HYPERLINK("https://klasma.github.io/Logging_2582/knärot/A 35299-2026 karta knärot.png", "A 35299-2026")</f>
        <v/>
      </c>
      <c r="AA159">
        <f>HYPERLINK("https://klasma.github.io/Logging_2582/klagomål/A 35299-2026 FSC-klagomål.docx", "A 35299-2026")</f>
        <v/>
      </c>
      <c r="AB159">
        <f>HYPERLINK("https://klasma.github.io/Logging_2582/klagomålsmail/A 35299-2026 FSC-klagomål mail.docx", "A 35299-2026")</f>
        <v/>
      </c>
      <c r="AC159">
        <f>HYPERLINK("https://klasma.github.io/Logging_2582/tillsyn/A 35299-2026 tillsynsbegäran.docx", "A 35299-2026")</f>
        <v/>
      </c>
      <c r="AD159">
        <f>HYPERLINK("https://klasma.github.io/Logging_2582/tillsynsmail/A 35299-2026 tillsynsbegäran mail.docx", "A 35299-2026")</f>
        <v/>
      </c>
    </row>
    <row r="160" ht="15" customHeight="1">
      <c r="A160" t="inlineStr">
        <is>
          <t>S 187-2023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44944</v>
      </c>
      <c r="E160" s="1" t="n">
        <v>46262</v>
      </c>
      <c r="F160" t="inlineStr">
        <is>
          <t>NORRBOTTENS LÄN</t>
        </is>
      </c>
      <c r="G160" t="inlineStr">
        <is>
          <t>BODEN</t>
        </is>
      </c>
      <c r="H160" t="inlineStr">
        <is>
          <t>SCA</t>
        </is>
      </c>
      <c r="I160" t="n">
        <v>407.1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Duvhök</t>
        </is>
      </c>
      <c r="W160">
        <f>HYPERLINK("https://klasma.github.io/Logging_2582/artfynd/S 187-2023 artfynd.xlsx", "S 187-2023")</f>
        <v/>
      </c>
      <c r="X160">
        <f>HYPERLINK("https://klasma.github.io/Logging_2582/kartor/S 187-2023 karta.png", "S 187-2023")</f>
        <v/>
      </c>
      <c r="Y160">
        <f>HYPERLINK("https://klasma.github.io/Logging_2582/kartor_geotiff/S 187-2023 georefererad karta.tif", "S 187-2023")</f>
        <v/>
      </c>
      <c r="AA160">
        <f>HYPERLINK("https://klasma.github.io/Logging_2582/klagomål/S 187-2023 FSC-klagomål.docx", "S 187-2023")</f>
        <v/>
      </c>
      <c r="AB160">
        <f>HYPERLINK("https://klasma.github.io/Logging_2582/klagomålsmail/S 187-2023 FSC-klagomål mail.docx", "S 187-2023")</f>
        <v/>
      </c>
      <c r="AC160">
        <f>HYPERLINK("https://klasma.github.io/Logging_2582/tillsyn/S 187-2023 tillsynsbegäran.docx", "S 187-2023")</f>
        <v/>
      </c>
      <c r="AD160">
        <f>HYPERLINK("https://klasma.github.io/Logging_2582/tillsynsmail/S 187-2023 tillsynsbegäran mail.docx", "S 187-2023")</f>
        <v/>
      </c>
      <c r="AE160">
        <f>HYPERLINK("https://klasma.github.io/Logging_2582/fåglar/S 187-2023 prioriterade fågelarter.docx", "S 187-2023")</f>
        <v/>
      </c>
    </row>
    <row r="161" ht="15" customHeight="1">
      <c r="A161" t="inlineStr">
        <is>
          <t>S 1448-2024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45418</v>
      </c>
      <c r="E161" s="1" t="n">
        <v>46262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Tallticka</t>
        </is>
      </c>
      <c r="W161">
        <f>HYPERLINK("https://klasma.github.io/Logging_2582/artfynd/S 1448-2024 artfynd.xlsx", "S 1448-2024")</f>
        <v/>
      </c>
      <c r="X161">
        <f>HYPERLINK("https://klasma.github.io/Logging_2582/kartor/S 1448-2024 karta.png", "S 1448-2024")</f>
        <v/>
      </c>
      <c r="Y161">
        <f>HYPERLINK("https://klasma.github.io/Logging_2582/kartor_geotiff/S 1448-2024 georefererad karta.tif", "S 1448-2024")</f>
        <v/>
      </c>
      <c r="AA161">
        <f>HYPERLINK("https://klasma.github.io/Logging_2582/klagomål/S 1448-2024 FSC-klagomål.docx", "S 1448-2024")</f>
        <v/>
      </c>
      <c r="AB161">
        <f>HYPERLINK("https://klasma.github.io/Logging_2582/klagomålsmail/S 1448-2024 FSC-klagomål mail.docx", "S 1448-2024")</f>
        <v/>
      </c>
      <c r="AC161">
        <f>HYPERLINK("https://klasma.github.io/Logging_2582/tillsyn/S 1448-2024 tillsynsbegäran.docx", "S 1448-2024")</f>
        <v/>
      </c>
      <c r="AD161">
        <f>HYPERLINK("https://klasma.github.io/Logging_2582/tillsynsmail/S 1448-2024 tillsynsbegäran mail.docx", "S 1448-2024")</f>
        <v/>
      </c>
    </row>
    <row r="162" ht="15" customHeight="1">
      <c r="A162" t="inlineStr">
        <is>
          <t>S 1234-2023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45028</v>
      </c>
      <c r="E162" s="1" t="n">
        <v>46262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100.1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Lunglav</t>
        </is>
      </c>
      <c r="W162">
        <f>HYPERLINK("https://klasma.github.io/Logging_2582/artfynd/S 1234-2023 artfynd.xlsx", "S 1234-2023")</f>
        <v/>
      </c>
      <c r="X162">
        <f>HYPERLINK("https://klasma.github.io/Logging_2582/kartor/S 1234-2023 karta.png", "S 1234-2023")</f>
        <v/>
      </c>
      <c r="Y162">
        <f>HYPERLINK("https://klasma.github.io/Logging_2582/kartor_geotiff/S 1234-2023 georefererad karta.tif", "S 1234-2023")</f>
        <v/>
      </c>
      <c r="AA162">
        <f>HYPERLINK("https://klasma.github.io/Logging_2582/klagomål/S 1234-2023 FSC-klagomål.docx", "S 1234-2023")</f>
        <v/>
      </c>
      <c r="AB162">
        <f>HYPERLINK("https://klasma.github.io/Logging_2582/klagomålsmail/S 1234-2023 FSC-klagomål mail.docx", "S 1234-2023")</f>
        <v/>
      </c>
      <c r="AC162">
        <f>HYPERLINK("https://klasma.github.io/Logging_2582/tillsyn/S 1234-2023 tillsynsbegäran.docx", "S 1234-2023")</f>
        <v/>
      </c>
      <c r="AD162">
        <f>HYPERLINK("https://klasma.github.io/Logging_2582/tillsynsmail/S 1234-2023 tillsynsbegäran mail.docx", "S 1234-2023")</f>
        <v/>
      </c>
    </row>
    <row r="163" ht="15" customHeight="1">
      <c r="A163" t="inlineStr">
        <is>
          <t>S 5116-2024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45643</v>
      </c>
      <c r="E163" s="1" t="n">
        <v>46262</v>
      </c>
      <c r="F163" t="inlineStr">
        <is>
          <t>NORRBOTTENS LÄN</t>
        </is>
      </c>
      <c r="G163" t="inlineStr">
        <is>
          <t>BODEN</t>
        </is>
      </c>
      <c r="I163" t="n">
        <v>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Mattlummer</t>
        </is>
      </c>
      <c r="W163">
        <f>HYPERLINK("https://klasma.github.io/Logging_2582/artfynd/S 5116-2024 artfynd.xlsx", "S 5116-2024")</f>
        <v/>
      </c>
      <c r="X163">
        <f>HYPERLINK("https://klasma.github.io/Logging_2582/kartor/S 5116-2024 karta.png", "S 5116-2024")</f>
        <v/>
      </c>
      <c r="Y163">
        <f>HYPERLINK("https://klasma.github.io/Logging_2582/kartor_geotiff/S 5116-2024 georefererad karta.tif", "S 5116-2024")</f>
        <v/>
      </c>
      <c r="AA163">
        <f>HYPERLINK("https://klasma.github.io/Logging_2582/klagomål/S 5116-2024 FSC-klagomål.docx", "S 5116-2024")</f>
        <v/>
      </c>
      <c r="AB163">
        <f>HYPERLINK("https://klasma.github.io/Logging_2582/klagomålsmail/S 5116-2024 FSC-klagomål mail.docx", "S 5116-2024")</f>
        <v/>
      </c>
      <c r="AC163">
        <f>HYPERLINK("https://klasma.github.io/Logging_2582/tillsyn/S 5116-2024 tillsynsbegäran.docx", "S 5116-2024")</f>
        <v/>
      </c>
      <c r="AD163">
        <f>HYPERLINK("https://klasma.github.io/Logging_2582/tillsynsmail/S 5116-2024 tillsynsbegäran mail.docx", "S 5116-2024")</f>
        <v/>
      </c>
    </row>
    <row r="164" ht="15" customHeight="1">
      <c r="A164" t="inlineStr">
        <is>
          <t>S 1634-2025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45799</v>
      </c>
      <c r="E164" s="1" t="n">
        <v>46262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1.9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Knärot</t>
        </is>
      </c>
      <c r="W164">
        <f>HYPERLINK("https://klasma.github.io/Logging_2582/artfynd/S 1634-2025 artfynd.xlsx", "S 1634-2025")</f>
        <v/>
      </c>
      <c r="X164">
        <f>HYPERLINK("https://klasma.github.io/Logging_2582/kartor/S 1634-2025 karta.png", "S 1634-2025")</f>
        <v/>
      </c>
      <c r="Y164">
        <f>HYPERLINK("https://klasma.github.io/Logging_2582/kartor_geotiff/S 1634-2025 georefererad karta.tif", "S 1634-2025")</f>
        <v/>
      </c>
      <c r="Z164">
        <f>HYPERLINK("https://klasma.github.io/Logging_2582/knärot/S 1634-2025 karta knärot.png", "S 1634-2025")</f>
        <v/>
      </c>
      <c r="AA164">
        <f>HYPERLINK("https://klasma.github.io/Logging_2582/klagomål/S 1634-2025 FSC-klagomål.docx", "S 1634-2025")</f>
        <v/>
      </c>
      <c r="AB164">
        <f>HYPERLINK("https://klasma.github.io/Logging_2582/klagomålsmail/S 1634-2025 FSC-klagomål mail.docx", "S 1634-2025")</f>
        <v/>
      </c>
      <c r="AC164">
        <f>HYPERLINK("https://klasma.github.io/Logging_2582/tillsyn/S 1634-2025 tillsynsbegäran.docx", "S 1634-2025")</f>
        <v/>
      </c>
      <c r="AD164">
        <f>HYPERLINK("https://klasma.github.io/Logging_2582/tillsynsmail/S 1634-2025 tillsynsbegäran mail.docx", "S 1634-2025")</f>
        <v/>
      </c>
    </row>
    <row r="165" ht="15" customHeight="1">
      <c r="A165" t="inlineStr">
        <is>
          <t>S 2450-2025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45901</v>
      </c>
      <c r="E165" s="1" t="n">
        <v>46262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Kolflarnlav</t>
        </is>
      </c>
      <c r="W165">
        <f>HYPERLINK("https://klasma.github.io/Logging_2582/artfynd/S 2450-2025 artfynd.xlsx", "S 2450-2025")</f>
        <v/>
      </c>
      <c r="X165">
        <f>HYPERLINK("https://klasma.github.io/Logging_2582/kartor/S 2450-2025 karta.png", "S 2450-2025")</f>
        <v/>
      </c>
      <c r="Y165">
        <f>HYPERLINK("https://klasma.github.io/Logging_2582/kartor_geotiff/S 2450-2025 georefererad karta.tif", "S 2450-2025")</f>
        <v/>
      </c>
      <c r="AA165">
        <f>HYPERLINK("https://klasma.github.io/Logging_2582/klagomål/S 2450-2025 FSC-klagomål.docx", "S 2450-2025")</f>
        <v/>
      </c>
      <c r="AB165">
        <f>HYPERLINK("https://klasma.github.io/Logging_2582/klagomålsmail/S 2450-2025 FSC-klagomål mail.docx", "S 2450-2025")</f>
        <v/>
      </c>
      <c r="AC165">
        <f>HYPERLINK("https://klasma.github.io/Logging_2582/tillsyn/S 2450-2025 tillsynsbegäran.docx", "S 2450-2025")</f>
        <v/>
      </c>
      <c r="AD165">
        <f>HYPERLINK("https://klasma.github.io/Logging_2582/tillsynsmail/S 2450-2025 tillsynsbegäran mail.docx", "S 2450-2025")</f>
        <v/>
      </c>
    </row>
    <row r="166" ht="15" customHeight="1">
      <c r="A166" t="inlineStr">
        <is>
          <t>S 2940-2025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45952</v>
      </c>
      <c r="E166" s="1" t="n">
        <v>46262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0.7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Skinnlav</t>
        </is>
      </c>
      <c r="W166">
        <f>HYPERLINK("https://klasma.github.io/Logging_2582/artfynd/S 2940-2025 artfynd.xlsx", "S 2940-2025")</f>
        <v/>
      </c>
      <c r="X166">
        <f>HYPERLINK("https://klasma.github.io/Logging_2582/kartor/S 2940-2025 karta.png", "S 2940-2025")</f>
        <v/>
      </c>
      <c r="Y166">
        <f>HYPERLINK("https://klasma.github.io/Logging_2582/kartor_geotiff/S 2940-2025 georefererad karta.tif", "S 2940-2025")</f>
        <v/>
      </c>
      <c r="AA166">
        <f>HYPERLINK("https://klasma.github.io/Logging_2582/klagomål/S 2940-2025 FSC-klagomål.docx", "S 2940-2025")</f>
        <v/>
      </c>
      <c r="AB166">
        <f>HYPERLINK("https://klasma.github.io/Logging_2582/klagomålsmail/S 2940-2025 FSC-klagomål mail.docx", "S 2940-2025")</f>
        <v/>
      </c>
      <c r="AC166">
        <f>HYPERLINK("https://klasma.github.io/Logging_2582/tillsyn/S 2940-2025 tillsynsbegäran.docx", "S 2940-2025")</f>
        <v/>
      </c>
      <c r="AD166">
        <f>HYPERLINK("https://klasma.github.io/Logging_2582/tillsynsmail/S 2940-2025 tillsynsbegäran mail.docx", "S 2940-2025")</f>
        <v/>
      </c>
    </row>
    <row r="167" ht="15" customHeight="1">
      <c r="A167" t="inlineStr">
        <is>
          <t>A 63790-2021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46262</v>
      </c>
      <c r="F167" t="inlineStr">
        <is>
          <t>NORRBOTTENS LÄN</t>
        </is>
      </c>
      <c r="G167" t="inlineStr">
        <is>
          <t>BODEN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46262</v>
      </c>
      <c r="F168" t="inlineStr">
        <is>
          <t>NORRBOTTENS LÄN</t>
        </is>
      </c>
      <c r="G168" t="inlineStr">
        <is>
          <t>BODEN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44577</v>
      </c>
      <c r="E169" s="1" t="n">
        <v>46262</v>
      </c>
      <c r="F169" t="inlineStr">
        <is>
          <t>NORRBOTTENS LÄN</t>
        </is>
      </c>
      <c r="G169" t="inlineStr">
        <is>
          <t>BODEN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46262</v>
      </c>
      <c r="F170" t="inlineStr">
        <is>
          <t>NORRBOTTENS LÄN</t>
        </is>
      </c>
      <c r="G170" t="inlineStr">
        <is>
          <t>BODEN</t>
        </is>
      </c>
      <c r="I170" t="n">
        <v>11.2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46262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44671</v>
      </c>
      <c r="E172" s="1" t="n">
        <v>46262</v>
      </c>
      <c r="F172" t="inlineStr">
        <is>
          <t>NORRBOTTENS LÄN</t>
        </is>
      </c>
      <c r="G172" t="inlineStr">
        <is>
          <t>BODEN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46262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46262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38722-2022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44815</v>
      </c>
      <c r="E175" s="1" t="n">
        <v>46262</v>
      </c>
      <c r="F175" t="inlineStr">
        <is>
          <t>NORRBOTTENS LÄN</t>
        </is>
      </c>
      <c r="G175" t="inlineStr">
        <is>
          <t>BODEN</t>
        </is>
      </c>
      <c r="H175" t="inlineStr">
        <is>
          <t>Övriga statliga verk och myndigheter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46262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51902-2021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44462</v>
      </c>
      <c r="E177" s="1" t="n">
        <v>46262</v>
      </c>
      <c r="F177" t="inlineStr">
        <is>
          <t>NORRBOTTENS LÄN</t>
        </is>
      </c>
      <c r="G177" t="inlineStr">
        <is>
          <t>BODEN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44617</v>
      </c>
      <c r="E178" s="1" t="n">
        <v>46262</v>
      </c>
      <c r="F178" t="inlineStr">
        <is>
          <t>NORRBOTTENS LÄN</t>
        </is>
      </c>
      <c r="G178" t="inlineStr">
        <is>
          <t>BODEN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44648</v>
      </c>
      <c r="E179" s="1" t="n">
        <v>46262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45185-2021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44439</v>
      </c>
      <c r="E180" s="1" t="n">
        <v>46262</v>
      </c>
      <c r="F180" t="inlineStr">
        <is>
          <t>NORRBOTTENS LÄN</t>
        </is>
      </c>
      <c r="G180" t="inlineStr">
        <is>
          <t>BODEN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52345-2021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44464</v>
      </c>
      <c r="E181" s="1" t="n">
        <v>46262</v>
      </c>
      <c r="F181" t="inlineStr">
        <is>
          <t>NORRBOTTENS LÄN</t>
        </is>
      </c>
      <c r="G181" t="inlineStr">
        <is>
          <t>BODEN</t>
        </is>
      </c>
      <c r="I181" t="n">
        <v>11.7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46262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44609</v>
      </c>
      <c r="E183" s="1" t="n">
        <v>46262</v>
      </c>
      <c r="F183" t="inlineStr">
        <is>
          <t>NORRBOTTENS LÄN</t>
        </is>
      </c>
      <c r="G183" t="inlineStr">
        <is>
          <t>BODEN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44609</v>
      </c>
      <c r="E184" s="1" t="n">
        <v>46262</v>
      </c>
      <c r="F184" t="inlineStr">
        <is>
          <t>NORRBOTTENS LÄN</t>
        </is>
      </c>
      <c r="G184" t="inlineStr">
        <is>
          <t>BODEN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46262</v>
      </c>
      <c r="F185" t="inlineStr">
        <is>
          <t>NORRBOTTENS LÄN</t>
        </is>
      </c>
      <c r="G185" t="inlineStr">
        <is>
          <t>BODEN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51328-2021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44461</v>
      </c>
      <c r="E186" s="1" t="n">
        <v>46262</v>
      </c>
      <c r="F186" t="inlineStr">
        <is>
          <t>NORRBOTTENS LÄN</t>
        </is>
      </c>
      <c r="G186" t="inlineStr">
        <is>
          <t>BODEN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23546-2022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44721</v>
      </c>
      <c r="E187" s="1" t="n">
        <v>46262</v>
      </c>
      <c r="F187" t="inlineStr">
        <is>
          <t>NORRBOTTENS LÄN</t>
        </is>
      </c>
      <c r="G187" t="inlineStr">
        <is>
          <t>BODEN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71833-2021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46262</v>
      </c>
      <c r="F188" t="inlineStr">
        <is>
          <t>NORRBOTTENS LÄN</t>
        </is>
      </c>
      <c r="G188" t="inlineStr">
        <is>
          <t>BODEN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46262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68914-2021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46262</v>
      </c>
      <c r="F190" t="inlineStr">
        <is>
          <t>NORRBOTTENS LÄN</t>
        </is>
      </c>
      <c r="G190" t="inlineStr">
        <is>
          <t>BODEN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13552-2022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44648</v>
      </c>
      <c r="E191" s="1" t="n">
        <v>46262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54818-2021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46262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44734</v>
      </c>
      <c r="E193" s="1" t="n">
        <v>46262</v>
      </c>
      <c r="F193" t="inlineStr">
        <is>
          <t>NORRBOTTENS LÄN</t>
        </is>
      </c>
      <c r="G193" t="inlineStr">
        <is>
          <t>BODEN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710-2022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44566</v>
      </c>
      <c r="E194" s="1" t="n">
        <v>46262</v>
      </c>
      <c r="F194" t="inlineStr">
        <is>
          <t>NORRBOTTENS LÄN</t>
        </is>
      </c>
      <c r="G194" t="inlineStr">
        <is>
          <t>BODEN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714-2022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44566</v>
      </c>
      <c r="E195" s="1" t="n">
        <v>46262</v>
      </c>
      <c r="F195" t="inlineStr">
        <is>
          <t>NORRBOTTENS LÄN</t>
        </is>
      </c>
      <c r="G195" t="inlineStr">
        <is>
          <t>BODEN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44600</v>
      </c>
      <c r="E196" s="1" t="n">
        <v>46262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46262</v>
      </c>
      <c r="F197" t="inlineStr">
        <is>
          <t>NORRBOTTENS LÄN</t>
        </is>
      </c>
      <c r="G197" t="inlineStr">
        <is>
          <t>BODEN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29119-2022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44749</v>
      </c>
      <c r="E198" s="1" t="n">
        <v>46262</v>
      </c>
      <c r="F198" t="inlineStr">
        <is>
          <t>NORRBOTTENS LÄN</t>
        </is>
      </c>
      <c r="G198" t="inlineStr">
        <is>
          <t>BODEN</t>
        </is>
      </c>
      <c r="I198" t="n">
        <v>10.4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44438</v>
      </c>
      <c r="E199" s="1" t="n">
        <v>46262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56467-2021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44480</v>
      </c>
      <c r="E200" s="1" t="n">
        <v>46262</v>
      </c>
      <c r="F200" t="inlineStr">
        <is>
          <t>NORRBOTTENS LÄN</t>
        </is>
      </c>
      <c r="G200" t="inlineStr">
        <is>
          <t>BODEN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69124-2021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44530</v>
      </c>
      <c r="E201" s="1" t="n">
        <v>46262</v>
      </c>
      <c r="F201" t="inlineStr">
        <is>
          <t>NORRBOTTENS LÄN</t>
        </is>
      </c>
      <c r="G201" t="inlineStr">
        <is>
          <t>BODEN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44565</v>
      </c>
      <c r="E202" s="1" t="n">
        <v>46262</v>
      </c>
      <c r="F202" t="inlineStr">
        <is>
          <t>NORRBOTTENS LÄN</t>
        </is>
      </c>
      <c r="G202" t="inlineStr">
        <is>
          <t>BODEN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46262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46262</v>
      </c>
      <c r="F204" t="inlineStr">
        <is>
          <t>NORRBOTTENS LÄN</t>
        </is>
      </c>
      <c r="G204" t="inlineStr">
        <is>
          <t>BODEN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44617</v>
      </c>
      <c r="E205" s="1" t="n">
        <v>46262</v>
      </c>
      <c r="F205" t="inlineStr">
        <is>
          <t>NORRBOTTENS LÄN</t>
        </is>
      </c>
      <c r="G205" t="inlineStr">
        <is>
          <t>BODEN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46262</v>
      </c>
      <c r="F206" t="inlineStr">
        <is>
          <t>NORRBOTTENS LÄN</t>
        </is>
      </c>
      <c r="G206" t="inlineStr">
        <is>
          <t>BODEN</t>
        </is>
      </c>
      <c r="H206" t="inlineStr">
        <is>
          <t>Sveaskog</t>
        </is>
      </c>
      <c r="I206" t="n">
        <v>11.3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10709-2022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44625</v>
      </c>
      <c r="E207" s="1" t="n">
        <v>46262</v>
      </c>
      <c r="F207" t="inlineStr">
        <is>
          <t>NORRBOTTENS LÄN</t>
        </is>
      </c>
      <c r="G207" t="inlineStr">
        <is>
          <t>BODEN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46262</v>
      </c>
      <c r="F208" t="inlineStr">
        <is>
          <t>NORRBOTTENS LÄN</t>
        </is>
      </c>
      <c r="G208" t="inlineStr">
        <is>
          <t>BODEN</t>
        </is>
      </c>
      <c r="H208" t="inlineStr">
        <is>
          <t>Övriga statliga verk och myndigheter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44831</v>
      </c>
      <c r="E209" s="1" t="n">
        <v>46262</v>
      </c>
      <c r="F209" t="inlineStr">
        <is>
          <t>NORRBOTTENS LÄN</t>
        </is>
      </c>
      <c r="G209" t="inlineStr">
        <is>
          <t>BODEN</t>
        </is>
      </c>
      <c r="H209" t="inlineStr">
        <is>
          <t>SCA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44799</v>
      </c>
      <c r="E210" s="1" t="n">
        <v>46262</v>
      </c>
      <c r="F210" t="inlineStr">
        <is>
          <t>NORRBOTTENS LÄN</t>
        </is>
      </c>
      <c r="G210" t="inlineStr">
        <is>
          <t>BODEN</t>
        </is>
      </c>
      <c r="H210" t="inlineStr">
        <is>
          <t>SCA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44799</v>
      </c>
      <c r="E211" s="1" t="n">
        <v>46262</v>
      </c>
      <c r="F211" t="inlineStr">
        <is>
          <t>NORRBOTTENS LÄN</t>
        </is>
      </c>
      <c r="G211" t="inlineStr">
        <is>
          <t>BODEN</t>
        </is>
      </c>
      <c r="H211" t="inlineStr">
        <is>
          <t>SCA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27688-2022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44743</v>
      </c>
      <c r="E212" s="1" t="n">
        <v>46262</v>
      </c>
      <c r="F212" t="inlineStr">
        <is>
          <t>NORRBOTTENS LÄN</t>
        </is>
      </c>
      <c r="G212" t="inlineStr">
        <is>
          <t>BODEN</t>
        </is>
      </c>
      <c r="I212" t="n">
        <v>13.5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56485-2021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46262</v>
      </c>
      <c r="F213" t="inlineStr">
        <is>
          <t>NORRBOTTENS LÄN</t>
        </is>
      </c>
      <c r="G213" t="inlineStr">
        <is>
          <t>BODEN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68569-2021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44529</v>
      </c>
      <c r="E214" s="1" t="n">
        <v>46262</v>
      </c>
      <c r="F214" t="inlineStr">
        <is>
          <t>NORRBOTTENS LÄN</t>
        </is>
      </c>
      <c r="G214" t="inlineStr">
        <is>
          <t>BODEN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44565</v>
      </c>
      <c r="E215" s="1" t="n">
        <v>46262</v>
      </c>
      <c r="F215" t="inlineStr">
        <is>
          <t>NORRBOTTENS LÄN</t>
        </is>
      </c>
      <c r="G215" t="inlineStr">
        <is>
          <t>BODEN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45189-2021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44439</v>
      </c>
      <c r="E216" s="1" t="n">
        <v>46262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46262</v>
      </c>
      <c r="F217" t="inlineStr">
        <is>
          <t>NORRBOTTENS LÄN</t>
        </is>
      </c>
      <c r="G217" t="inlineStr">
        <is>
          <t>BODEN</t>
        </is>
      </c>
      <c r="H217" t="inlineStr">
        <is>
          <t>Kyrkan</t>
        </is>
      </c>
      <c r="I217" t="n">
        <v>16.5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44797</v>
      </c>
      <c r="E218" s="1" t="n">
        <v>46262</v>
      </c>
      <c r="F218" t="inlineStr">
        <is>
          <t>NORRBOTTENS LÄN</t>
        </is>
      </c>
      <c r="G218" t="inlineStr">
        <is>
          <t>BODEN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46262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46262</v>
      </c>
      <c r="F220" t="inlineStr">
        <is>
          <t>NORRBOTTENS LÄN</t>
        </is>
      </c>
      <c r="G220" t="inlineStr">
        <is>
          <t>BODEN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57583-2021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44484</v>
      </c>
      <c r="E221" s="1" t="n">
        <v>46262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44489</v>
      </c>
      <c r="E222" s="1" t="n">
        <v>46262</v>
      </c>
      <c r="F222" t="inlineStr">
        <is>
          <t>NORRBOTTENS LÄN</t>
        </is>
      </c>
      <c r="G222" t="inlineStr">
        <is>
          <t>BODEN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44795</v>
      </c>
      <c r="E223" s="1" t="n">
        <v>46262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44671</v>
      </c>
      <c r="E224" s="1" t="n">
        <v>46262</v>
      </c>
      <c r="F224" t="inlineStr">
        <is>
          <t>NORRBOTTENS LÄN</t>
        </is>
      </c>
      <c r="G224" t="inlineStr">
        <is>
          <t>BODEN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46262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2426-2024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45310</v>
      </c>
      <c r="E226" s="1" t="n">
        <v>46262</v>
      </c>
      <c r="F226" t="inlineStr">
        <is>
          <t>NORRBOTTENS LÄN</t>
        </is>
      </c>
      <c r="G226" t="inlineStr">
        <is>
          <t>BODEN</t>
        </is>
      </c>
      <c r="H226" t="inlineStr">
        <is>
          <t>SCA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52075-2021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44463</v>
      </c>
      <c r="E227" s="1" t="n">
        <v>46262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46262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73910-2021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46262</v>
      </c>
      <c r="F229" t="inlineStr">
        <is>
          <t>NORRBOTTENS LÄN</t>
        </is>
      </c>
      <c r="G229" t="inlineStr">
        <is>
          <t>BODEN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44833</v>
      </c>
      <c r="E230" s="1" t="n">
        <v>46262</v>
      </c>
      <c r="F230" t="inlineStr">
        <is>
          <t>NORRBOTTENS LÄN</t>
        </is>
      </c>
      <c r="G230" t="inlineStr">
        <is>
          <t>BODEN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46262</v>
      </c>
      <c r="F231" t="inlineStr">
        <is>
          <t>NORRBOTTENS LÄN</t>
        </is>
      </c>
      <c r="G231" t="inlineStr">
        <is>
          <t>BODEN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8120-2022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46262</v>
      </c>
      <c r="F232" t="inlineStr">
        <is>
          <t>NORRBOTTENS LÄN</t>
        </is>
      </c>
      <c r="G232" t="inlineStr">
        <is>
          <t>BODEN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46262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46262</v>
      </c>
      <c r="F234" t="inlineStr">
        <is>
          <t>NORRBOTTENS LÄN</t>
        </is>
      </c>
      <c r="G234" t="inlineStr">
        <is>
          <t>BODEN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45762</v>
      </c>
      <c r="E235" s="1" t="n">
        <v>46262</v>
      </c>
      <c r="F235" t="inlineStr">
        <is>
          <t>NORRBOTTENS LÄN</t>
        </is>
      </c>
      <c r="G235" t="inlineStr">
        <is>
          <t>BODEN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46262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44783</v>
      </c>
      <c r="E237" s="1" t="n">
        <v>46262</v>
      </c>
      <c r="F237" t="inlineStr">
        <is>
          <t>NORRBOTTENS LÄN</t>
        </is>
      </c>
      <c r="G237" t="inlineStr">
        <is>
          <t>BODEN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46262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46262</v>
      </c>
      <c r="F239" t="inlineStr">
        <is>
          <t>NORRBOTTENS LÄN</t>
        </is>
      </c>
      <c r="G239" t="inlineStr">
        <is>
          <t>BODEN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45125</v>
      </c>
      <c r="E240" s="1" t="n">
        <v>46262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46262</v>
      </c>
      <c r="F241" t="inlineStr">
        <is>
          <t>NORRBOTTENS LÄN</t>
        </is>
      </c>
      <c r="G241" t="inlineStr">
        <is>
          <t>BODEN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46262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46262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46262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46262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45947</v>
      </c>
      <c r="E246" s="1" t="n">
        <v>46262</v>
      </c>
      <c r="F246" t="inlineStr">
        <is>
          <t>NORRBOTTENS LÄN</t>
        </is>
      </c>
      <c r="G246" t="inlineStr">
        <is>
          <t>BODEN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46262</v>
      </c>
      <c r="F247" t="inlineStr">
        <is>
          <t>NORRBOTTENS LÄN</t>
        </is>
      </c>
      <c r="G247" t="inlineStr">
        <is>
          <t>BODEN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45254</v>
      </c>
      <c r="E248" s="1" t="n">
        <v>46262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22372-2025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45786</v>
      </c>
      <c r="E249" s="1" t="n">
        <v>46262</v>
      </c>
      <c r="F249" t="inlineStr">
        <is>
          <t>NORRBOTTENS LÄN</t>
        </is>
      </c>
      <c r="G249" t="inlineStr">
        <is>
          <t>BODEN</t>
        </is>
      </c>
      <c r="H249" t="inlineStr">
        <is>
          <t>Kommuner</t>
        </is>
      </c>
      <c r="I249" t="n">
        <v>16.3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46262</v>
      </c>
      <c r="F250" t="inlineStr">
        <is>
          <t>NORRBOTTENS LÄN</t>
        </is>
      </c>
      <c r="G250" t="inlineStr">
        <is>
          <t>BODEN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46262</v>
      </c>
      <c r="F251" t="inlineStr">
        <is>
          <t>NORRBOTTENS LÄN</t>
        </is>
      </c>
      <c r="G251" t="inlineStr">
        <is>
          <t>BODEN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60466-2024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45643</v>
      </c>
      <c r="E252" s="1" t="n">
        <v>46262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46262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46262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46262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46262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45379</v>
      </c>
      <c r="E257" s="1" t="n">
        <v>46262</v>
      </c>
      <c r="F257" t="inlineStr">
        <is>
          <t>NORRBOTTENS LÄN</t>
        </is>
      </c>
      <c r="G257" t="inlineStr">
        <is>
          <t>BODEN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46262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45793</v>
      </c>
      <c r="E259" s="1" t="n">
        <v>46262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7442-2024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45345</v>
      </c>
      <c r="E260" s="1" t="n">
        <v>46262</v>
      </c>
      <c r="F260" t="inlineStr">
        <is>
          <t>NORRBOTTENS LÄN</t>
        </is>
      </c>
      <c r="G260" t="inlineStr">
        <is>
          <t>BODEN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46262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59331-2021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44490</v>
      </c>
      <c r="E262" s="1" t="n">
        <v>46262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46262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46262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46262</v>
      </c>
      <c r="F265" t="inlineStr">
        <is>
          <t>NORRBOTTENS LÄN</t>
        </is>
      </c>
      <c r="G265" t="inlineStr">
        <is>
          <t>BODEN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46262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45590</v>
      </c>
      <c r="E267" s="1" t="n">
        <v>46262</v>
      </c>
      <c r="F267" t="inlineStr">
        <is>
          <t>NORRBOTTENS LÄN</t>
        </is>
      </c>
      <c r="G267" t="inlineStr">
        <is>
          <t>BODEN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46262</v>
      </c>
      <c r="F268" t="inlineStr">
        <is>
          <t>NORRBOTTENS LÄN</t>
        </is>
      </c>
      <c r="G268" t="inlineStr">
        <is>
          <t>BODEN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46262</v>
      </c>
      <c r="F269" t="inlineStr">
        <is>
          <t>NORRBOTTENS LÄN</t>
        </is>
      </c>
      <c r="G269" t="inlineStr">
        <is>
          <t>BODEN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74264-2021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44558</v>
      </c>
      <c r="E270" s="1" t="n">
        <v>46262</v>
      </c>
      <c r="F270" t="inlineStr">
        <is>
          <t>NORRBOTTENS LÄN</t>
        </is>
      </c>
      <c r="G270" t="inlineStr">
        <is>
          <t>BODEN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45766</v>
      </c>
      <c r="E271" s="1" t="n">
        <v>46262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46262</v>
      </c>
      <c r="F272" t="inlineStr">
        <is>
          <t>NORRBOTTENS LÄN</t>
        </is>
      </c>
      <c r="G272" t="inlineStr">
        <is>
          <t>BODEN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45797</v>
      </c>
      <c r="E273" s="1" t="n">
        <v>46262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45539</v>
      </c>
      <c r="E274" s="1" t="n">
        <v>46262</v>
      </c>
      <c r="F274" t="inlineStr">
        <is>
          <t>NORRBOTTENS LÄN</t>
        </is>
      </c>
      <c r="G274" t="inlineStr">
        <is>
          <t>BODEN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45649</v>
      </c>
      <c r="E275" s="1" t="n">
        <v>46262</v>
      </c>
      <c r="F275" t="inlineStr">
        <is>
          <t>NORRBOTTENS LÄN</t>
        </is>
      </c>
      <c r="G275" t="inlineStr">
        <is>
          <t>BODEN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46262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46262</v>
      </c>
      <c r="F277" t="inlineStr">
        <is>
          <t>NORRBOTTENS LÄN</t>
        </is>
      </c>
      <c r="G277" t="inlineStr">
        <is>
          <t>BODEN</t>
        </is>
      </c>
      <c r="I277" t="n">
        <v>13.9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46262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46262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68565-2021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44529</v>
      </c>
      <c r="E280" s="1" t="n">
        <v>46262</v>
      </c>
      <c r="F280" t="inlineStr">
        <is>
          <t>NORRBOTTENS LÄN</t>
        </is>
      </c>
      <c r="G280" t="inlineStr">
        <is>
          <t>BODEN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46262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15.8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46262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49806-2022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44862</v>
      </c>
      <c r="E283" s="1" t="n">
        <v>46262</v>
      </c>
      <c r="F283" t="inlineStr">
        <is>
          <t>NORRBOTTENS LÄN</t>
        </is>
      </c>
      <c r="G283" t="inlineStr">
        <is>
          <t>BODEN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46262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45764</v>
      </c>
      <c r="E285" s="1" t="n">
        <v>46262</v>
      </c>
      <c r="F285" t="inlineStr">
        <is>
          <t>NORRBOTTENS LÄN</t>
        </is>
      </c>
      <c r="G285" t="inlineStr">
        <is>
          <t>BODEN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46262</v>
      </c>
      <c r="F286" t="inlineStr">
        <is>
          <t>NORRBOTTENS LÄN</t>
        </is>
      </c>
      <c r="G286" t="inlineStr">
        <is>
          <t>BODEN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46262</v>
      </c>
      <c r="F287" t="inlineStr">
        <is>
          <t>NORRBOTTENS LÄN</t>
        </is>
      </c>
      <c r="G287" t="inlineStr">
        <is>
          <t>BODEN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46262</v>
      </c>
      <c r="F288" t="inlineStr">
        <is>
          <t>NORRBOTTENS LÄN</t>
        </is>
      </c>
      <c r="G288" t="inlineStr">
        <is>
          <t>BODEN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44970</v>
      </c>
      <c r="E289" s="1" t="n">
        <v>46262</v>
      </c>
      <c r="F289" t="inlineStr">
        <is>
          <t>NORRBOTTENS LÄN</t>
        </is>
      </c>
      <c r="G289" t="inlineStr">
        <is>
          <t>BODEN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46262</v>
      </c>
      <c r="F290" t="inlineStr">
        <is>
          <t>NORRBOTTENS LÄN</t>
        </is>
      </c>
      <c r="G290" t="inlineStr">
        <is>
          <t>BODEN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46262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45590</v>
      </c>
      <c r="E292" s="1" t="n">
        <v>46262</v>
      </c>
      <c r="F292" t="inlineStr">
        <is>
          <t>NORRBOTTENS LÄN</t>
        </is>
      </c>
      <c r="G292" t="inlineStr">
        <is>
          <t>BODEN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45285</v>
      </c>
      <c r="E293" s="1" t="n">
        <v>46262</v>
      </c>
      <c r="F293" t="inlineStr">
        <is>
          <t>NORRBOTTENS LÄN</t>
        </is>
      </c>
      <c r="G293" t="inlineStr">
        <is>
          <t>BODEN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46262</v>
      </c>
      <c r="F294" t="inlineStr">
        <is>
          <t>NORRBOTTENS LÄN</t>
        </is>
      </c>
      <c r="G294" t="inlineStr">
        <is>
          <t>BODEN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45464</v>
      </c>
      <c r="E295" s="1" t="n">
        <v>46262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51525-2025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45950</v>
      </c>
      <c r="E296" s="1" t="n">
        <v>46262</v>
      </c>
      <c r="F296" t="inlineStr">
        <is>
          <t>NORRBOTTENS LÄN</t>
        </is>
      </c>
      <c r="G296" t="inlineStr">
        <is>
          <t>BODEN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46262</v>
      </c>
      <c r="F297" t="inlineStr">
        <is>
          <t>NORRBOTTENS LÄN</t>
        </is>
      </c>
      <c r="G297" t="inlineStr">
        <is>
          <t>BODEN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46262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46262</v>
      </c>
      <c r="F299" t="inlineStr">
        <is>
          <t>NORRBOTTENS LÄN</t>
        </is>
      </c>
      <c r="G299" t="inlineStr">
        <is>
          <t>BODEN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45955</v>
      </c>
      <c r="E300" s="1" t="n">
        <v>46262</v>
      </c>
      <c r="F300" t="inlineStr">
        <is>
          <t>NORRBOTTENS LÄN</t>
        </is>
      </c>
      <c r="G300" t="inlineStr">
        <is>
          <t>BODEN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45955</v>
      </c>
      <c r="E301" s="1" t="n">
        <v>46262</v>
      </c>
      <c r="F301" t="inlineStr">
        <is>
          <t>NORRBOTTENS LÄN</t>
        </is>
      </c>
      <c r="G301" t="inlineStr">
        <is>
          <t>BODEN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45677-2021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44441</v>
      </c>
      <c r="E302" s="1" t="n">
        <v>46262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45546</v>
      </c>
      <c r="E303" s="1" t="n">
        <v>46262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45397</v>
      </c>
      <c r="E304" s="1" t="n">
        <v>46262</v>
      </c>
      <c r="F304" t="inlineStr">
        <is>
          <t>NORRBOTTENS LÄN</t>
        </is>
      </c>
      <c r="G304" t="inlineStr">
        <is>
          <t>BODEN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46262</v>
      </c>
      <c r="F305" t="inlineStr">
        <is>
          <t>NORRBOTTENS LÄN</t>
        </is>
      </c>
      <c r="G305" t="inlineStr">
        <is>
          <t>BODEN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46262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46262</v>
      </c>
      <c r="F307" t="inlineStr">
        <is>
          <t>NORRBOTTENS LÄN</t>
        </is>
      </c>
      <c r="G307" t="inlineStr">
        <is>
          <t>BODEN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46262</v>
      </c>
      <c r="F308" t="inlineStr">
        <is>
          <t>NORRBOTTENS LÄN</t>
        </is>
      </c>
      <c r="G308" t="inlineStr">
        <is>
          <t>BODEN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46262</v>
      </c>
      <c r="F309" t="inlineStr">
        <is>
          <t>NORRBOTTENS LÄN</t>
        </is>
      </c>
      <c r="G309" t="inlineStr">
        <is>
          <t>BODEN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45960</v>
      </c>
      <c r="E310" s="1" t="n">
        <v>46262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11.7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53893-2025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46262</v>
      </c>
      <c r="F311" t="inlineStr">
        <is>
          <t>NORRBOTTENS LÄN</t>
        </is>
      </c>
      <c r="G311" t="inlineStr">
        <is>
          <t>BODEN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46262</v>
      </c>
      <c r="F312" t="inlineStr">
        <is>
          <t>NORRBOTTENS LÄN</t>
        </is>
      </c>
      <c r="G312" t="inlineStr">
        <is>
          <t>BODEN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46262</v>
      </c>
      <c r="F313" t="inlineStr">
        <is>
          <t>NORRBOTTENS LÄN</t>
        </is>
      </c>
      <c r="G313" t="inlineStr">
        <is>
          <t>BODEN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46262</v>
      </c>
      <c r="F314" t="inlineStr">
        <is>
          <t>NORRBOTTENS LÄN</t>
        </is>
      </c>
      <c r="G314" t="inlineStr">
        <is>
          <t>BODEN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46262</v>
      </c>
      <c r="F315" t="inlineStr">
        <is>
          <t>NORRBOTTENS LÄN</t>
        </is>
      </c>
      <c r="G315" t="inlineStr">
        <is>
          <t>BODEN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46262</v>
      </c>
      <c r="F316" t="inlineStr">
        <is>
          <t>NORRBOTTENS LÄN</t>
        </is>
      </c>
      <c r="G316" t="inlineStr">
        <is>
          <t>BODEN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46262</v>
      </c>
      <c r="F317" t="inlineStr">
        <is>
          <t>NORRBOTTENS LÄN</t>
        </is>
      </c>
      <c r="G317" t="inlineStr">
        <is>
          <t>BODEN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46262</v>
      </c>
      <c r="F318" t="inlineStr">
        <is>
          <t>NORRBOTTENS LÄN</t>
        </is>
      </c>
      <c r="G318" t="inlineStr">
        <is>
          <t>BODEN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46262</v>
      </c>
      <c r="F319" t="inlineStr">
        <is>
          <t>NORRBOTTENS LÄN</t>
        </is>
      </c>
      <c r="G319" t="inlineStr">
        <is>
          <t>BODEN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46262</v>
      </c>
      <c r="F320" t="inlineStr">
        <is>
          <t>NORRBOTTENS LÄN</t>
        </is>
      </c>
      <c r="G320" t="inlineStr">
        <is>
          <t>BODEN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41691-2025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45902</v>
      </c>
      <c r="E321" s="1" t="n">
        <v>46262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46262</v>
      </c>
      <c r="F322" t="inlineStr">
        <is>
          <t>NORRBOTTENS LÄN</t>
        </is>
      </c>
      <c r="G322" t="inlineStr">
        <is>
          <t>BODEN</t>
        </is>
      </c>
      <c r="I322" t="n">
        <v>11.9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46262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46262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45316</v>
      </c>
      <c r="E325" s="1" t="n">
        <v>46262</v>
      </c>
      <c r="F325" t="inlineStr">
        <is>
          <t>NORRBOTTENS LÄN</t>
        </is>
      </c>
      <c r="G325" t="inlineStr">
        <is>
          <t>BODEN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46262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46262</v>
      </c>
      <c r="F327" t="inlineStr">
        <is>
          <t>NORRBOTTENS LÄN</t>
        </is>
      </c>
      <c r="G327" t="inlineStr">
        <is>
          <t>BODEN</t>
        </is>
      </c>
      <c r="H327" t="inlineStr">
        <is>
          <t>Naturvårdsverket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46262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46262</v>
      </c>
      <c r="F329" t="inlineStr">
        <is>
          <t>NORRBOTTENS LÄN</t>
        </is>
      </c>
      <c r="G329" t="inlineStr">
        <is>
          <t>BODEN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44983</v>
      </c>
      <c r="E330" s="1" t="n">
        <v>46262</v>
      </c>
      <c r="F330" t="inlineStr">
        <is>
          <t>NORRBOTTENS LÄN</t>
        </is>
      </c>
      <c r="G330" t="inlineStr">
        <is>
          <t>BODEN</t>
        </is>
      </c>
      <c r="I330" t="n">
        <v>37.1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46262</v>
      </c>
      <c r="F331" t="inlineStr">
        <is>
          <t>NORRBOTTENS LÄN</t>
        </is>
      </c>
      <c r="G331" t="inlineStr">
        <is>
          <t>BODEN</t>
        </is>
      </c>
      <c r="H331" t="inlineStr">
        <is>
          <t>Naturvårdsverket</t>
        </is>
      </c>
      <c r="I331" t="n">
        <v>10.4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46262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46262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29109-2024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45481</v>
      </c>
      <c r="E334" s="1" t="n">
        <v>46262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58203-2025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45984</v>
      </c>
      <c r="E335" s="1" t="n">
        <v>46262</v>
      </c>
      <c r="F335" t="inlineStr">
        <is>
          <t>NORRBOTTENS LÄN</t>
        </is>
      </c>
      <c r="G335" t="inlineStr">
        <is>
          <t>BODEN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46262</v>
      </c>
      <c r="F336" t="inlineStr">
        <is>
          <t>NORRBOTTENS LÄN</t>
        </is>
      </c>
      <c r="G336" t="inlineStr">
        <is>
          <t>BODEN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58294-2025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45985</v>
      </c>
      <c r="E337" s="1" t="n">
        <v>46262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58662-2025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45986</v>
      </c>
      <c r="E338" s="1" t="n">
        <v>46262</v>
      </c>
      <c r="F338" t="inlineStr">
        <is>
          <t>NORRBOTTENS LÄN</t>
        </is>
      </c>
      <c r="G338" t="inlineStr">
        <is>
          <t>BODEN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46262</v>
      </c>
      <c r="F339" t="inlineStr">
        <is>
          <t>NORRBOTTENS LÄN</t>
        </is>
      </c>
      <c r="G339" t="inlineStr">
        <is>
          <t>BODEN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46262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45766</v>
      </c>
      <c r="E341" s="1" t="n">
        <v>46262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28297-2025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46262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45427</v>
      </c>
      <c r="E343" s="1" t="n">
        <v>46262</v>
      </c>
      <c r="F343" t="inlineStr">
        <is>
          <t>NORRBOTTENS LÄN</t>
        </is>
      </c>
      <c r="G343" t="inlineStr">
        <is>
          <t>BODEN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45907</v>
      </c>
      <c r="E344" s="1" t="n">
        <v>46262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46262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44625-2024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45574</v>
      </c>
      <c r="E346" s="1" t="n">
        <v>46262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28270-2025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45818</v>
      </c>
      <c r="E347" s="1" t="n">
        <v>46262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46262</v>
      </c>
      <c r="F348" t="inlineStr">
        <is>
          <t>NORRBOTTENS LÄN</t>
        </is>
      </c>
      <c r="G348" t="inlineStr">
        <is>
          <t>BODEN</t>
        </is>
      </c>
      <c r="I348" t="n">
        <v>9.699999999999999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55080-2021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44474</v>
      </c>
      <c r="E349" s="1" t="n">
        <v>46262</v>
      </c>
      <c r="F349" t="inlineStr">
        <is>
          <t>NORRBOTTENS LÄN</t>
        </is>
      </c>
      <c r="G349" t="inlineStr">
        <is>
          <t>BODEN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45910</v>
      </c>
      <c r="E350" s="1" t="n">
        <v>46262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46262</v>
      </c>
      <c r="F351" t="inlineStr">
        <is>
          <t>NORRBOTTENS LÄN</t>
        </is>
      </c>
      <c r="G351" t="inlineStr">
        <is>
          <t>BODEN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46262</v>
      </c>
      <c r="F352" t="inlineStr">
        <is>
          <t>NORRBOTTENS LÄN</t>
        </is>
      </c>
      <c r="G352" t="inlineStr">
        <is>
          <t>BODEN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45910</v>
      </c>
      <c r="E353" s="1" t="n">
        <v>46262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46262</v>
      </c>
      <c r="F354" t="inlineStr">
        <is>
          <t>NORRBOTTENS LÄN</t>
        </is>
      </c>
      <c r="G354" t="inlineStr">
        <is>
          <t>BODEN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46262</v>
      </c>
      <c r="F355" t="inlineStr">
        <is>
          <t>NORRBOTTENS LÄN</t>
        </is>
      </c>
      <c r="G355" t="inlineStr">
        <is>
          <t>BODEN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46262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46262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46262</v>
      </c>
      <c r="F358" t="inlineStr">
        <is>
          <t>NORRBOTTENS LÄN</t>
        </is>
      </c>
      <c r="G358" t="inlineStr">
        <is>
          <t>BODEN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46262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45912</v>
      </c>
      <c r="E360" s="1" t="n">
        <v>46262</v>
      </c>
      <c r="F360" t="inlineStr">
        <is>
          <t>NORRBOTTENS LÄN</t>
        </is>
      </c>
      <c r="G360" t="inlineStr">
        <is>
          <t>BODEN</t>
        </is>
      </c>
      <c r="I360" t="n">
        <v>10.1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45912</v>
      </c>
      <c r="E361" s="1" t="n">
        <v>46262</v>
      </c>
      <c r="F361" t="inlineStr">
        <is>
          <t>NORRBOTTENS LÄN</t>
        </is>
      </c>
      <c r="G361" t="inlineStr">
        <is>
          <t>BODEN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46262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46262</v>
      </c>
      <c r="F363" t="inlineStr">
        <is>
          <t>NORRBOTTENS LÄN</t>
        </is>
      </c>
      <c r="G363" t="inlineStr">
        <is>
          <t>BODEN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46262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9.800000000000001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46262</v>
      </c>
      <c r="F365" t="inlineStr">
        <is>
          <t>NORRBOTTENS LÄN</t>
        </is>
      </c>
      <c r="G365" t="inlineStr">
        <is>
          <t>BODEN</t>
        </is>
      </c>
      <c r="H365" t="inlineStr">
        <is>
          <t>Övriga Aktiebolag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45919</v>
      </c>
      <c r="E366" s="1" t="n">
        <v>46262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45211-2025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45919</v>
      </c>
      <c r="E367" s="1" t="n">
        <v>46262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46262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46262</v>
      </c>
      <c r="F369" t="inlineStr">
        <is>
          <t>NORRBOTTENS LÄN</t>
        </is>
      </c>
      <c r="G369" t="inlineStr">
        <is>
          <t>BODEN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45616-2025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46262</v>
      </c>
      <c r="F370" t="inlineStr">
        <is>
          <t>NORRBOTTENS LÄN</t>
        </is>
      </c>
      <c r="G370" t="inlineStr">
        <is>
          <t>BODEN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45617-2025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46262</v>
      </c>
      <c r="F371" t="inlineStr">
        <is>
          <t>NORRBOTTENS LÄN</t>
        </is>
      </c>
      <c r="G371" t="inlineStr">
        <is>
          <t>BODEN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45803</v>
      </c>
      <c r="E372" s="1" t="n">
        <v>46262</v>
      </c>
      <c r="F372" t="inlineStr">
        <is>
          <t>NORRBOTTENS LÄN</t>
        </is>
      </c>
      <c r="G372" t="inlineStr">
        <is>
          <t>BODEN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45260</v>
      </c>
      <c r="E373" s="1" t="n">
        <v>46262</v>
      </c>
      <c r="F373" t="inlineStr">
        <is>
          <t>NORRBOTTENS LÄN</t>
        </is>
      </c>
      <c r="G373" t="inlineStr">
        <is>
          <t>BODEN</t>
        </is>
      </c>
      <c r="I373" t="n">
        <v>33.9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45527</v>
      </c>
      <c r="E374" s="1" t="n">
        <v>46262</v>
      </c>
      <c r="F374" t="inlineStr">
        <is>
          <t>NORRBOTTENS LÄN</t>
        </is>
      </c>
      <c r="G374" t="inlineStr">
        <is>
          <t>BODEN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46262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46262</v>
      </c>
      <c r="F376" t="inlineStr">
        <is>
          <t>NORRBOTTENS LÄN</t>
        </is>
      </c>
      <c r="G376" t="inlineStr">
        <is>
          <t>BODEN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57873-2021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44484</v>
      </c>
      <c r="E377" s="1" t="n">
        <v>46262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33130-2025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45840</v>
      </c>
      <c r="E378" s="1" t="n">
        <v>46262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46262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46262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46262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46262</v>
      </c>
      <c r="F382" t="inlineStr">
        <is>
          <t>NORRBOTTENS LÄN</t>
        </is>
      </c>
      <c r="G382" t="inlineStr">
        <is>
          <t>BODEN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45747</v>
      </c>
      <c r="E383" s="1" t="n">
        <v>46262</v>
      </c>
      <c r="F383" t="inlineStr">
        <is>
          <t>NORRBOTTENS LÄN</t>
        </is>
      </c>
      <c r="G383" t="inlineStr">
        <is>
          <t>BODEN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45969-2025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45924</v>
      </c>
      <c r="E384" s="1" t="n">
        <v>46262</v>
      </c>
      <c r="F384" t="inlineStr">
        <is>
          <t>NORRBOTTENS LÄN</t>
        </is>
      </c>
      <c r="G384" t="inlineStr">
        <is>
          <t>BODEN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45843</v>
      </c>
      <c r="E385" s="1" t="n">
        <v>46262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46262</v>
      </c>
      <c r="F386" t="inlineStr">
        <is>
          <t>NORRBOTTENS LÄN</t>
        </is>
      </c>
      <c r="G386" t="inlineStr">
        <is>
          <t>BODEN</t>
        </is>
      </c>
      <c r="H386" t="inlineStr">
        <is>
          <t>Övriga Aktiebolag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46770-2025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46262</v>
      </c>
      <c r="F387" t="inlineStr">
        <is>
          <t>NORRBOTTENS LÄN</t>
        </is>
      </c>
      <c r="G387" t="inlineStr">
        <is>
          <t>BODEN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45516</v>
      </c>
      <c r="E388" s="1" t="n">
        <v>46262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32913-2024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45516</v>
      </c>
      <c r="E389" s="1" t="n">
        <v>46262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45926</v>
      </c>
      <c r="E390" s="1" t="n">
        <v>46262</v>
      </c>
      <c r="F390" t="inlineStr">
        <is>
          <t>NORRBOTTENS LÄN</t>
        </is>
      </c>
      <c r="G390" t="inlineStr">
        <is>
          <t>BODEN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46262</v>
      </c>
      <c r="F391" t="inlineStr">
        <is>
          <t>NORRBOTTENS LÄN</t>
        </is>
      </c>
      <c r="G391" t="inlineStr">
        <is>
          <t>BODEN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45589</v>
      </c>
      <c r="E392" s="1" t="n">
        <v>46262</v>
      </c>
      <c r="F392" t="inlineStr">
        <is>
          <t>NORRBOTTENS LÄN</t>
        </is>
      </c>
      <c r="G392" t="inlineStr">
        <is>
          <t>BODEN</t>
        </is>
      </c>
      <c r="H392" t="inlineStr">
        <is>
          <t>Naturvårdsverket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45931</v>
      </c>
      <c r="E393" s="1" t="n">
        <v>46262</v>
      </c>
      <c r="F393" t="inlineStr">
        <is>
          <t>NORRBOTTENS LÄN</t>
        </is>
      </c>
      <c r="G393" t="inlineStr">
        <is>
          <t>BODEN</t>
        </is>
      </c>
      <c r="H393" t="inlineStr">
        <is>
          <t>Övriga Aktiebolag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47204-2025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45930</v>
      </c>
      <c r="E394" s="1" t="n">
        <v>46262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45930</v>
      </c>
      <c r="E395" s="1" t="n">
        <v>46262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46262</v>
      </c>
      <c r="F396" t="inlineStr">
        <is>
          <t>NORRBOTTENS LÄN</t>
        </is>
      </c>
      <c r="G396" t="inlineStr">
        <is>
          <t>BODEN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45543</v>
      </c>
      <c r="E397" s="1" t="n">
        <v>46262</v>
      </c>
      <c r="F397" t="inlineStr">
        <is>
          <t>NORRBOTTENS LÄN</t>
        </is>
      </c>
      <c r="G397" t="inlineStr">
        <is>
          <t>BODEN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46262</v>
      </c>
      <c r="F398" t="inlineStr">
        <is>
          <t>NORRBOTTENS LÄN</t>
        </is>
      </c>
      <c r="G398" t="inlineStr">
        <is>
          <t>BODEN</t>
        </is>
      </c>
      <c r="H398" t="inlineStr">
        <is>
          <t>Övriga Aktiebolag</t>
        </is>
      </c>
      <c r="I398" t="n">
        <v>14.3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48091-2025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45933</v>
      </c>
      <c r="E399" s="1" t="n">
        <v>46262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45856</v>
      </c>
      <c r="E400" s="1" t="n">
        <v>46262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45906</v>
      </c>
      <c r="E401" s="1" t="n">
        <v>46262</v>
      </c>
      <c r="F401" t="inlineStr">
        <is>
          <t>NORRBOTTENS LÄN</t>
        </is>
      </c>
      <c r="G401" t="inlineStr">
        <is>
          <t>BODEN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45560</v>
      </c>
      <c r="E402" s="1" t="n">
        <v>46262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57563-2023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45246</v>
      </c>
      <c r="E403" s="1" t="n">
        <v>46262</v>
      </c>
      <c r="F403" t="inlineStr">
        <is>
          <t>NORRBOTTENS LÄN</t>
        </is>
      </c>
      <c r="G403" t="inlineStr">
        <is>
          <t>BODEN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45796</v>
      </c>
      <c r="E404" s="1" t="n">
        <v>46262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45674</v>
      </c>
      <c r="E405" s="1" t="n">
        <v>46262</v>
      </c>
      <c r="F405" t="inlineStr">
        <is>
          <t>NORRBOTTENS LÄN</t>
        </is>
      </c>
      <c r="G405" t="inlineStr">
        <is>
          <t>BODEN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45933</v>
      </c>
      <c r="E406" s="1" t="n">
        <v>46262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45933</v>
      </c>
      <c r="E407" s="1" t="n">
        <v>46262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49728-2024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45596</v>
      </c>
      <c r="E408" s="1" t="n">
        <v>46262</v>
      </c>
      <c r="F408" t="inlineStr">
        <is>
          <t>NORRBOTTENS LÄN</t>
        </is>
      </c>
      <c r="G408" t="inlineStr">
        <is>
          <t>BODEN</t>
        </is>
      </c>
      <c r="I408" t="n">
        <v>22.7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36019-2025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45863</v>
      </c>
      <c r="E409" s="1" t="n">
        <v>46262</v>
      </c>
      <c r="F409" t="inlineStr">
        <is>
          <t>NORRBOTTENS LÄN</t>
        </is>
      </c>
      <c r="G409" t="inlineStr">
        <is>
          <t>BODEN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45936</v>
      </c>
      <c r="E410" s="1" t="n">
        <v>46262</v>
      </c>
      <c r="F410" t="inlineStr">
        <is>
          <t>NORRBOTTENS LÄN</t>
        </is>
      </c>
      <c r="G410" t="inlineStr">
        <is>
          <t>BODEN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45194</v>
      </c>
      <c r="E411" s="1" t="n">
        <v>46262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46262</v>
      </c>
      <c r="F412" t="inlineStr">
        <is>
          <t>NORRBOTTENS LÄN</t>
        </is>
      </c>
      <c r="G412" t="inlineStr">
        <is>
          <t>BODEN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46262</v>
      </c>
      <c r="F413" t="inlineStr">
        <is>
          <t>NORRBOTTENS LÄN</t>
        </is>
      </c>
      <c r="G413" t="inlineStr">
        <is>
          <t>BODEN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46262</v>
      </c>
      <c r="F414" t="inlineStr">
        <is>
          <t>NORRBOTTENS LÄN</t>
        </is>
      </c>
      <c r="G414" t="inlineStr">
        <is>
          <t>BODEN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46262</v>
      </c>
      <c r="F415" t="inlineStr">
        <is>
          <t>NORRBOTTENS LÄN</t>
        </is>
      </c>
      <c r="G415" t="inlineStr">
        <is>
          <t>BODEN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49357-2025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46262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46262</v>
      </c>
      <c r="F417" t="inlineStr">
        <is>
          <t>NORRBOTTENS LÄN</t>
        </is>
      </c>
      <c r="G417" t="inlineStr">
        <is>
          <t>BODEN</t>
        </is>
      </c>
      <c r="H417" t="inlineStr">
        <is>
          <t>Övriga statliga verk och myndigheter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48805-2025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46262</v>
      </c>
      <c r="F418" t="inlineStr">
        <is>
          <t>NORRBOTTENS LÄN</t>
        </is>
      </c>
      <c r="G418" t="inlineStr">
        <is>
          <t>BODEN</t>
        </is>
      </c>
      <c r="I418" t="n">
        <v>10.2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45456</v>
      </c>
      <c r="E419" s="1" t="n">
        <v>46262</v>
      </c>
      <c r="F419" t="inlineStr">
        <is>
          <t>NORRBOTTENS LÄN</t>
        </is>
      </c>
      <c r="G419" t="inlineStr">
        <is>
          <t>BODEN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45748</v>
      </c>
      <c r="E420" s="1" t="n">
        <v>46262</v>
      </c>
      <c r="F420" t="inlineStr">
        <is>
          <t>NORRBOTTENS LÄN</t>
        </is>
      </c>
      <c r="G420" t="inlineStr">
        <is>
          <t>BODEN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45369</v>
      </c>
      <c r="E421" s="1" t="n">
        <v>46262</v>
      </c>
      <c r="F421" t="inlineStr">
        <is>
          <t>NORRBOTTENS LÄN</t>
        </is>
      </c>
      <c r="G421" t="inlineStr">
        <is>
          <t>BODEN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49215-2025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46262</v>
      </c>
      <c r="F422" t="inlineStr">
        <is>
          <t>NORRBOTTENS LÄN</t>
        </is>
      </c>
      <c r="G422" t="inlineStr">
        <is>
          <t>BODEN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46262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46262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45838</v>
      </c>
      <c r="E425" s="1" t="n">
        <v>46262</v>
      </c>
      <c r="F425" t="inlineStr">
        <is>
          <t>NORRBOTTENS LÄN</t>
        </is>
      </c>
      <c r="G425" t="inlineStr">
        <is>
          <t>BODEN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45943</v>
      </c>
      <c r="E426" s="1" t="n">
        <v>46262</v>
      </c>
      <c r="F426" t="inlineStr">
        <is>
          <t>NORRBOTTENS LÄN</t>
        </is>
      </c>
      <c r="G426" t="inlineStr">
        <is>
          <t>BODEN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36310-2025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45868</v>
      </c>
      <c r="E427" s="1" t="n">
        <v>46262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45945</v>
      </c>
      <c r="E428" s="1" t="n">
        <v>46262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46262</v>
      </c>
      <c r="F429" t="inlineStr">
        <is>
          <t>NORRBOTTENS LÄN</t>
        </is>
      </c>
      <c r="G429" t="inlineStr">
        <is>
          <t>BODEN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45995</v>
      </c>
      <c r="E430" s="1" t="n">
        <v>46262</v>
      </c>
      <c r="F430" t="inlineStr">
        <is>
          <t>NORRBOTTENS LÄN</t>
        </is>
      </c>
      <c r="G430" t="inlineStr">
        <is>
          <t>BODEN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45944</v>
      </c>
      <c r="E431" s="1" t="n">
        <v>46262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45874</v>
      </c>
      <c r="E432" s="1" t="n">
        <v>46262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8.4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46262</v>
      </c>
      <c r="F433" t="inlineStr">
        <is>
          <t>NORRBOTTENS LÄN</t>
        </is>
      </c>
      <c r="G433" t="inlineStr">
        <is>
          <t>BODEN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50419-2025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45944</v>
      </c>
      <c r="E434" s="1" t="n">
        <v>46262</v>
      </c>
      <c r="F434" t="inlineStr">
        <is>
          <t>NORRBOTTENS LÄN</t>
        </is>
      </c>
      <c r="G434" t="inlineStr">
        <is>
          <t>BODEN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45110</v>
      </c>
      <c r="E435" s="1" t="n">
        <v>46262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45995</v>
      </c>
      <c r="E436" s="1" t="n">
        <v>46262</v>
      </c>
      <c r="F436" t="inlineStr">
        <is>
          <t>NORRBOTTENS LÄN</t>
        </is>
      </c>
      <c r="G436" t="inlineStr">
        <is>
          <t>BODEN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45944</v>
      </c>
      <c r="E437" s="1" t="n">
        <v>46262</v>
      </c>
      <c r="F437" t="inlineStr">
        <is>
          <t>NORRBOTTENS LÄN</t>
        </is>
      </c>
      <c r="G437" t="inlineStr">
        <is>
          <t>BODEN</t>
        </is>
      </c>
      <c r="H437" t="inlineStr">
        <is>
          <t>Sveaskog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50410-2025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45944</v>
      </c>
      <c r="E438" s="1" t="n">
        <v>46262</v>
      </c>
      <c r="F438" t="inlineStr">
        <is>
          <t>NORRBOTTENS LÄN</t>
        </is>
      </c>
      <c r="G438" t="inlineStr">
        <is>
          <t>BODEN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50471-2025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45945</v>
      </c>
      <c r="E439" s="1" t="n">
        <v>46262</v>
      </c>
      <c r="F439" t="inlineStr">
        <is>
          <t>NORRBOTTENS LÄN</t>
        </is>
      </c>
      <c r="G439" t="inlineStr">
        <is>
          <t>BODEN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37404-2025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45877</v>
      </c>
      <c r="E440" s="1" t="n">
        <v>46262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45944</v>
      </c>
      <c r="E441" s="1" t="n">
        <v>46262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60238-2025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45994</v>
      </c>
      <c r="E442" s="1" t="n">
        <v>46262</v>
      </c>
      <c r="F442" t="inlineStr">
        <is>
          <t>NORRBOTTENS LÄN</t>
        </is>
      </c>
      <c r="G442" t="inlineStr">
        <is>
          <t>BODEN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46262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60225-2025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45994</v>
      </c>
      <c r="E444" s="1" t="n">
        <v>46262</v>
      </c>
      <c r="F444" t="inlineStr">
        <is>
          <t>NORRBOTTENS LÄN</t>
        </is>
      </c>
      <c r="G444" t="inlineStr">
        <is>
          <t>BODEN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60236-2025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45994</v>
      </c>
      <c r="E445" s="1" t="n">
        <v>46262</v>
      </c>
      <c r="F445" t="inlineStr">
        <is>
          <t>NORRBOTTENS LÄN</t>
        </is>
      </c>
      <c r="G445" t="inlineStr">
        <is>
          <t>BODEN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45996</v>
      </c>
      <c r="E446" s="1" t="n">
        <v>46262</v>
      </c>
      <c r="F446" t="inlineStr">
        <is>
          <t>NORRBOTTENS LÄN</t>
        </is>
      </c>
      <c r="G446" t="inlineStr">
        <is>
          <t>BODEN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28745-2023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46262</v>
      </c>
      <c r="F447" t="inlineStr">
        <is>
          <t>NORRBOTTENS LÄN</t>
        </is>
      </c>
      <c r="G447" t="inlineStr">
        <is>
          <t>BODEN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37854-2025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45881</v>
      </c>
      <c r="E448" s="1" t="n">
        <v>46262</v>
      </c>
      <c r="F448" t="inlineStr">
        <is>
          <t>NORRBOTTENS LÄN</t>
        </is>
      </c>
      <c r="G448" t="inlineStr">
        <is>
          <t>BODEN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45882</v>
      </c>
      <c r="E449" s="1" t="n">
        <v>46262</v>
      </c>
      <c r="F449" t="inlineStr">
        <is>
          <t>NORRBOTTENS LÄN</t>
        </is>
      </c>
      <c r="G449" t="inlineStr">
        <is>
          <t>BODEN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45882</v>
      </c>
      <c r="E450" s="1" t="n">
        <v>46262</v>
      </c>
      <c r="F450" t="inlineStr">
        <is>
          <t>NORRBOTTENS LÄN</t>
        </is>
      </c>
      <c r="G450" t="inlineStr">
        <is>
          <t>BODEN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45070</v>
      </c>
      <c r="E451" s="1" t="n">
        <v>46262</v>
      </c>
      <c r="F451" t="inlineStr">
        <is>
          <t>NORRBOTTENS LÄN</t>
        </is>
      </c>
      <c r="G451" t="inlineStr">
        <is>
          <t>BODEN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46262</v>
      </c>
      <c r="F452" t="inlineStr">
        <is>
          <t>NORRBOTTENS LÄN</t>
        </is>
      </c>
      <c r="G452" t="inlineStr">
        <is>
          <t>BODEN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45764</v>
      </c>
      <c r="E453" s="1" t="n">
        <v>46262</v>
      </c>
      <c r="F453" t="inlineStr">
        <is>
          <t>NORRBOTTENS LÄN</t>
        </is>
      </c>
      <c r="G453" t="inlineStr">
        <is>
          <t>BODEN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45906</v>
      </c>
      <c r="E454" s="1" t="n">
        <v>46262</v>
      </c>
      <c r="F454" t="inlineStr">
        <is>
          <t>NORRBOTTENS LÄN</t>
        </is>
      </c>
      <c r="G454" t="inlineStr">
        <is>
          <t>BODEN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61227-2025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46262</v>
      </c>
      <c r="F455" t="inlineStr">
        <is>
          <t>NORRBOTTENS LÄN</t>
        </is>
      </c>
      <c r="G455" t="inlineStr">
        <is>
          <t>BODEN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61384-2025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46001</v>
      </c>
      <c r="E456" s="1" t="n">
        <v>46262</v>
      </c>
      <c r="F456" t="inlineStr">
        <is>
          <t>NORRBOTTENS LÄN</t>
        </is>
      </c>
      <c r="G456" t="inlineStr">
        <is>
          <t>BODEN</t>
        </is>
      </c>
      <c r="I456" t="n">
        <v>17.1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45672</v>
      </c>
      <c r="E457" s="1" t="n">
        <v>46262</v>
      </c>
      <c r="F457" t="inlineStr">
        <is>
          <t>NORRBOTTENS LÄN</t>
        </is>
      </c>
      <c r="G457" t="inlineStr">
        <is>
          <t>BODEN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61560-2025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46001</v>
      </c>
      <c r="E458" s="1" t="n">
        <v>46262</v>
      </c>
      <c r="F458" t="inlineStr">
        <is>
          <t>NORRBOTTENS LÄN</t>
        </is>
      </c>
      <c r="G458" t="inlineStr">
        <is>
          <t>BODEN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18871-2025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46262</v>
      </c>
      <c r="F459" t="inlineStr">
        <is>
          <t>NORRBOTTENS LÄN</t>
        </is>
      </c>
      <c r="G459" t="inlineStr">
        <is>
          <t>BODEN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45884</v>
      </c>
      <c r="E460" s="1" t="n">
        <v>46262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46003</v>
      </c>
      <c r="E461" s="1" t="n">
        <v>46262</v>
      </c>
      <c r="F461" t="inlineStr">
        <is>
          <t>NORRBOTTENS LÄN</t>
        </is>
      </c>
      <c r="G461" t="inlineStr">
        <is>
          <t>BODEN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59890-2023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45254</v>
      </c>
      <c r="E462" s="1" t="n">
        <v>46262</v>
      </c>
      <c r="F462" t="inlineStr">
        <is>
          <t>NORRBOTTENS LÄN</t>
        </is>
      </c>
      <c r="G462" t="inlineStr">
        <is>
          <t>BODEN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46262</v>
      </c>
      <c r="F463" t="inlineStr">
        <is>
          <t>NORRBOTTENS LÄN</t>
        </is>
      </c>
      <c r="G463" t="inlineStr">
        <is>
          <t>BODEN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46001</v>
      </c>
      <c r="E464" s="1" t="n">
        <v>46262</v>
      </c>
      <c r="F464" t="inlineStr">
        <is>
          <t>NORRBOTTENS LÄN</t>
        </is>
      </c>
      <c r="G464" t="inlineStr">
        <is>
          <t>BODEN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45446</v>
      </c>
      <c r="E465" s="1" t="n">
        <v>46262</v>
      </c>
      <c r="F465" t="inlineStr">
        <is>
          <t>NORRBOTTENS LÄN</t>
        </is>
      </c>
      <c r="G465" t="inlineStr">
        <is>
          <t>BODEN</t>
        </is>
      </c>
      <c r="I465" t="n">
        <v>6.7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45463</v>
      </c>
      <c r="E466" s="1" t="n">
        <v>46262</v>
      </c>
      <c r="F466" t="inlineStr">
        <is>
          <t>NORRBOTTENS LÄN</t>
        </is>
      </c>
      <c r="G466" t="inlineStr">
        <is>
          <t>BODEN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46262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46262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46262</v>
      </c>
      <c r="F469" t="inlineStr">
        <is>
          <t>NORRBOTTENS LÄN</t>
        </is>
      </c>
      <c r="G469" t="inlineStr">
        <is>
          <t>BODEN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62687-2025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46008</v>
      </c>
      <c r="E470" s="1" t="n">
        <v>46262</v>
      </c>
      <c r="F470" t="inlineStr">
        <is>
          <t>NORRBOTTENS LÄN</t>
        </is>
      </c>
      <c r="G470" t="inlineStr">
        <is>
          <t>BODEN</t>
        </is>
      </c>
      <c r="I470" t="n">
        <v>10.1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46262</v>
      </c>
      <c r="F471" t="inlineStr">
        <is>
          <t>NORRBOTTENS LÄN</t>
        </is>
      </c>
      <c r="G471" t="inlineStr">
        <is>
          <t>BODEN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45667</v>
      </c>
      <c r="E472" s="1" t="n">
        <v>46262</v>
      </c>
      <c r="F472" t="inlineStr">
        <is>
          <t>NORRBOTTENS LÄN</t>
        </is>
      </c>
      <c r="G472" t="inlineStr">
        <is>
          <t>BODEN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62992-2025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46009</v>
      </c>
      <c r="E473" s="1" t="n">
        <v>46262</v>
      </c>
      <c r="F473" t="inlineStr">
        <is>
          <t>NORRBOTTENS LÄN</t>
        </is>
      </c>
      <c r="G473" t="inlineStr">
        <is>
          <t>BODEN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42173-2025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45902</v>
      </c>
      <c r="E474" s="1" t="n">
        <v>46262</v>
      </c>
      <c r="F474" t="inlineStr">
        <is>
          <t>NORRBOTTENS LÄN</t>
        </is>
      </c>
      <c r="G474" t="inlineStr">
        <is>
          <t>BODEN</t>
        </is>
      </c>
      <c r="H474" t="inlineStr">
        <is>
          <t>Övriga statliga verk och myndigheter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46012</v>
      </c>
      <c r="E475" s="1" t="n">
        <v>46262</v>
      </c>
      <c r="F475" t="inlineStr">
        <is>
          <t>NORRBOTTENS LÄN</t>
        </is>
      </c>
      <c r="G475" t="inlineStr">
        <is>
          <t>BODEN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63400-2025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46012</v>
      </c>
      <c r="E476" s="1" t="n">
        <v>46262</v>
      </c>
      <c r="F476" t="inlineStr">
        <is>
          <t>NORRBOTTENS LÄN</t>
        </is>
      </c>
      <c r="G476" t="inlineStr">
        <is>
          <t>BODEN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63398-2025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46012</v>
      </c>
      <c r="E477" s="1" t="n">
        <v>46262</v>
      </c>
      <c r="F477" t="inlineStr">
        <is>
          <t>NORRBOTTENS LÄN</t>
        </is>
      </c>
      <c r="G477" t="inlineStr">
        <is>
          <t>BODEN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44628</v>
      </c>
      <c r="E478" s="1" t="n">
        <v>46262</v>
      </c>
      <c r="F478" t="inlineStr">
        <is>
          <t>NORRBOTTENS LÄN</t>
        </is>
      </c>
      <c r="G478" t="inlineStr">
        <is>
          <t>BODEN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38371-2023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46262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46262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45718</v>
      </c>
      <c r="E481" s="1" t="n">
        <v>46262</v>
      </c>
      <c r="F481" t="inlineStr">
        <is>
          <t>NORRBOTTENS LÄN</t>
        </is>
      </c>
      <c r="G481" t="inlineStr">
        <is>
          <t>BODEN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57579-2023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45246</v>
      </c>
      <c r="E482" s="1" t="n">
        <v>46262</v>
      </c>
      <c r="F482" t="inlineStr">
        <is>
          <t>NORRBOTTENS LÄN</t>
        </is>
      </c>
      <c r="G482" t="inlineStr">
        <is>
          <t>BODEN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46262</v>
      </c>
      <c r="F483" t="inlineStr">
        <is>
          <t>NORRBOTTENS LÄN</t>
        </is>
      </c>
      <c r="G483" t="inlineStr">
        <is>
          <t>BODEN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46020</v>
      </c>
      <c r="E484" s="1" t="n">
        <v>46262</v>
      </c>
      <c r="F484" t="inlineStr">
        <is>
          <t>NORRBOTTENS LÄN</t>
        </is>
      </c>
      <c r="G484" t="inlineStr">
        <is>
          <t>BODEN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46262</v>
      </c>
      <c r="F485" t="inlineStr">
        <is>
          <t>NORRBOTTENS LÄN</t>
        </is>
      </c>
      <c r="G485" t="inlineStr">
        <is>
          <t>BODEN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46262</v>
      </c>
      <c r="F486" t="inlineStr">
        <is>
          <t>NORRBOTTENS LÄN</t>
        </is>
      </c>
      <c r="G486" t="inlineStr">
        <is>
          <t>BODEN</t>
        </is>
      </c>
      <c r="I486" t="n">
        <v>9.6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46066</v>
      </c>
      <c r="E487" s="1" t="n">
        <v>46262</v>
      </c>
      <c r="F487" t="inlineStr">
        <is>
          <t>NORRBOTTENS LÄN</t>
        </is>
      </c>
      <c r="G487" t="inlineStr">
        <is>
          <t>BODEN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45102</v>
      </c>
      <c r="E488" s="1" t="n">
        <v>46262</v>
      </c>
      <c r="F488" t="inlineStr">
        <is>
          <t>NORRBOTTENS LÄN</t>
        </is>
      </c>
      <c r="G488" t="inlineStr">
        <is>
          <t>BODEN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45316</v>
      </c>
      <c r="E489" s="1" t="n">
        <v>46262</v>
      </c>
      <c r="F489" t="inlineStr">
        <is>
          <t>NORRBOTTENS LÄN</t>
        </is>
      </c>
      <c r="G489" t="inlineStr">
        <is>
          <t>BODEN</t>
        </is>
      </c>
      <c r="I489" t="n">
        <v>8.800000000000001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19590-2025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45770</v>
      </c>
      <c r="E490" s="1" t="n">
        <v>46262</v>
      </c>
      <c r="F490" t="inlineStr">
        <is>
          <t>NORRBOTTENS LÄN</t>
        </is>
      </c>
      <c r="G490" t="inlineStr">
        <is>
          <t>BODEN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46262</v>
      </c>
      <c r="F491" t="inlineStr">
        <is>
          <t>NORRBOTTENS LÄN</t>
        </is>
      </c>
      <c r="G491" t="inlineStr">
        <is>
          <t>BODEN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68611-2021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44529</v>
      </c>
      <c r="E492" s="1" t="n">
        <v>46262</v>
      </c>
      <c r="F492" t="inlineStr">
        <is>
          <t>NORRBOTTENS LÄN</t>
        </is>
      </c>
      <c r="G492" t="inlineStr">
        <is>
          <t>BODEN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46262</v>
      </c>
      <c r="F493" t="inlineStr">
        <is>
          <t>NORRBOTTENS LÄN</t>
        </is>
      </c>
      <c r="G493" t="inlineStr">
        <is>
          <t>BODEN</t>
        </is>
      </c>
      <c r="H493" t="inlineStr">
        <is>
          <t>SCA</t>
        </is>
      </c>
      <c r="I493" t="n">
        <v>31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46262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10.3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13556-2022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44648</v>
      </c>
      <c r="E495" s="1" t="n">
        <v>46262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46262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51193-2023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45212</v>
      </c>
      <c r="E497" s="1" t="n">
        <v>46262</v>
      </c>
      <c r="F497" t="inlineStr">
        <is>
          <t>NORRBOTTENS LÄN</t>
        </is>
      </c>
      <c r="G497" t="inlineStr">
        <is>
          <t>BODEN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45476</v>
      </c>
      <c r="E498" s="1" t="n">
        <v>46262</v>
      </c>
      <c r="F498" t="inlineStr">
        <is>
          <t>NORRBOTTENS LÄN</t>
        </is>
      </c>
      <c r="G498" t="inlineStr">
        <is>
          <t>BODEN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63841-2025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46020</v>
      </c>
      <c r="E499" s="1" t="n">
        <v>46262</v>
      </c>
      <c r="F499" t="inlineStr">
        <is>
          <t>NORRBOTTENS LÄN</t>
        </is>
      </c>
      <c r="G499" t="inlineStr">
        <is>
          <t>BODEN</t>
        </is>
      </c>
      <c r="I499" t="n">
        <v>10.9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54935-2021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44474</v>
      </c>
      <c r="E500" s="1" t="n">
        <v>46262</v>
      </c>
      <c r="F500" t="inlineStr">
        <is>
          <t>NORRBOTTENS LÄN</t>
        </is>
      </c>
      <c r="G500" t="inlineStr">
        <is>
          <t>BODEN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708-2022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44566</v>
      </c>
      <c r="E501" s="1" t="n">
        <v>46262</v>
      </c>
      <c r="F501" t="inlineStr">
        <is>
          <t>NORRBOTTENS LÄN</t>
        </is>
      </c>
      <c r="G501" t="inlineStr">
        <is>
          <t>BODEN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39272-2024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45551</v>
      </c>
      <c r="E502" s="1" t="n">
        <v>46262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45707</v>
      </c>
      <c r="E503" s="1" t="n">
        <v>46262</v>
      </c>
      <c r="F503" t="inlineStr">
        <is>
          <t>NORRBOTTENS LÄN</t>
        </is>
      </c>
      <c r="G503" t="inlineStr">
        <is>
          <t>BODEN</t>
        </is>
      </c>
      <c r="I503" t="n">
        <v>11.3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56111-2021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44477</v>
      </c>
      <c r="E504" s="1" t="n">
        <v>46262</v>
      </c>
      <c r="F504" t="inlineStr">
        <is>
          <t>NORRBOTTENS LÄN</t>
        </is>
      </c>
      <c r="G504" t="inlineStr">
        <is>
          <t>BODEN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45132</v>
      </c>
      <c r="E505" s="1" t="n">
        <v>46262</v>
      </c>
      <c r="F505" t="inlineStr">
        <is>
          <t>NORRBOTTENS LÄN</t>
        </is>
      </c>
      <c r="G505" t="inlineStr">
        <is>
          <t>BODEN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61748-2024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45649</v>
      </c>
      <c r="E506" s="1" t="n">
        <v>46262</v>
      </c>
      <c r="F506" t="inlineStr">
        <is>
          <t>NORRBOTTENS LÄN</t>
        </is>
      </c>
      <c r="G506" t="inlineStr">
        <is>
          <t>BODEN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45649</v>
      </c>
      <c r="E507" s="1" t="n">
        <v>46262</v>
      </c>
      <c r="F507" t="inlineStr">
        <is>
          <t>NORRBOTTENS LÄN</t>
        </is>
      </c>
      <c r="G507" t="inlineStr">
        <is>
          <t>BODEN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46042</v>
      </c>
      <c r="E508" s="1" t="n">
        <v>46262</v>
      </c>
      <c r="F508" t="inlineStr">
        <is>
          <t>NORRBOTTENS LÄN</t>
        </is>
      </c>
      <c r="G508" t="inlineStr">
        <is>
          <t>BODEN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46262</v>
      </c>
      <c r="F509" t="inlineStr">
        <is>
          <t>NORRBOTTENS LÄN</t>
        </is>
      </c>
      <c r="G509" t="inlineStr">
        <is>
          <t>BODEN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46262</v>
      </c>
      <c r="F510" t="inlineStr">
        <is>
          <t>NORRBOTTENS LÄN</t>
        </is>
      </c>
      <c r="G510" t="inlineStr">
        <is>
          <t>BODEN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47097-2023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45201</v>
      </c>
      <c r="E511" s="1" t="n">
        <v>46262</v>
      </c>
      <c r="F511" t="inlineStr">
        <is>
          <t>NORRBOTTENS LÄN</t>
        </is>
      </c>
      <c r="G511" t="inlineStr">
        <is>
          <t>BODEN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45099</v>
      </c>
      <c r="E512" s="1" t="n">
        <v>46262</v>
      </c>
      <c r="F512" t="inlineStr">
        <is>
          <t>NORRBOTTENS LÄN</t>
        </is>
      </c>
      <c r="G512" t="inlineStr">
        <is>
          <t>BODEN</t>
        </is>
      </c>
      <c r="I512" t="n">
        <v>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11647-2023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44994</v>
      </c>
      <c r="E513" s="1" t="n">
        <v>46262</v>
      </c>
      <c r="F513" t="inlineStr">
        <is>
          <t>NORRBOTTENS LÄN</t>
        </is>
      </c>
      <c r="G513" t="inlineStr">
        <is>
          <t>BODEN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57895-2021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44486</v>
      </c>
      <c r="E514" s="1" t="n">
        <v>46262</v>
      </c>
      <c r="F514" t="inlineStr">
        <is>
          <t>NORRBOTTENS LÄN</t>
        </is>
      </c>
      <c r="G514" t="inlineStr">
        <is>
          <t>BODEN</t>
        </is>
      </c>
      <c r="I514" t="n">
        <v>9.199999999999999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11865-2025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45728</v>
      </c>
      <c r="E515" s="1" t="n">
        <v>46262</v>
      </c>
      <c r="F515" t="inlineStr">
        <is>
          <t>NORRBOTTENS LÄN</t>
        </is>
      </c>
      <c r="G515" t="inlineStr">
        <is>
          <t>BODEN</t>
        </is>
      </c>
      <c r="H515" t="inlineStr">
        <is>
          <t>Övriga Aktiebolag</t>
        </is>
      </c>
      <c r="I515" t="n">
        <v>10.6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46262</v>
      </c>
      <c r="F516" t="inlineStr">
        <is>
          <t>NORRBOTTENS LÄN</t>
        </is>
      </c>
      <c r="G516" t="inlineStr">
        <is>
          <t>BODEN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46262</v>
      </c>
      <c r="F517" t="inlineStr">
        <is>
          <t>NORRBOTTENS LÄN</t>
        </is>
      </c>
      <c r="G517" t="inlineStr">
        <is>
          <t>BODEN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46901-2024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45583</v>
      </c>
      <c r="E518" s="1" t="n">
        <v>46262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46541-2021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44445</v>
      </c>
      <c r="E519" s="1" t="n">
        <v>46262</v>
      </c>
      <c r="F519" t="inlineStr">
        <is>
          <t>NORRBOTTENS LÄN</t>
        </is>
      </c>
      <c r="G519" t="inlineStr">
        <is>
          <t>BODEN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45341</v>
      </c>
      <c r="E520" s="1" t="n">
        <v>46262</v>
      </c>
      <c r="F520" t="inlineStr">
        <is>
          <t>NORRBOTTENS LÄN</t>
        </is>
      </c>
      <c r="G520" t="inlineStr">
        <is>
          <t>BODEN</t>
        </is>
      </c>
      <c r="H520" t="inlineStr">
        <is>
          <t>Övriga statliga verk och myndigheter</t>
        </is>
      </c>
      <c r="I520" t="n">
        <v>12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46262</v>
      </c>
      <c r="F521" t="inlineStr">
        <is>
          <t>NORRBOTTENS LÄN</t>
        </is>
      </c>
      <c r="G521" t="inlineStr">
        <is>
          <t>BODEN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41957-2024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45561</v>
      </c>
      <c r="E522" s="1" t="n">
        <v>46262</v>
      </c>
      <c r="F522" t="inlineStr">
        <is>
          <t>NORRBOTTENS LÄN</t>
        </is>
      </c>
      <c r="G522" t="inlineStr">
        <is>
          <t>BODEN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46262</v>
      </c>
      <c r="F523" t="inlineStr">
        <is>
          <t>NORRBOTTENS LÄN</t>
        </is>
      </c>
      <c r="G523" t="inlineStr">
        <is>
          <t>BODEN</t>
        </is>
      </c>
      <c r="I523" t="n">
        <v>9.800000000000001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59983-2023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45257</v>
      </c>
      <c r="E524" s="1" t="n">
        <v>46262</v>
      </c>
      <c r="F524" t="inlineStr">
        <is>
          <t>NORRBOTTENS LÄN</t>
        </is>
      </c>
      <c r="G524" t="inlineStr">
        <is>
          <t>BODEN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6708-2026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46262</v>
      </c>
      <c r="F525" t="inlineStr">
        <is>
          <t>NORRBOTTENS LÄN</t>
        </is>
      </c>
      <c r="G525" t="inlineStr">
        <is>
          <t>BODEN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67068-2021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44522</v>
      </c>
      <c r="E526" s="1" t="n">
        <v>46262</v>
      </c>
      <c r="F526" t="inlineStr">
        <is>
          <t>NORRBOTTENS LÄN</t>
        </is>
      </c>
      <c r="G526" t="inlineStr">
        <is>
          <t>BODEN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46057</v>
      </c>
      <c r="E527" s="1" t="n">
        <v>46262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46262</v>
      </c>
      <c r="F528" t="inlineStr">
        <is>
          <t>NORRBOTTENS LÄN</t>
        </is>
      </c>
      <c r="G528" t="inlineStr">
        <is>
          <t>BODEN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45596</v>
      </c>
      <c r="E529" s="1" t="n">
        <v>46262</v>
      </c>
      <c r="F529" t="inlineStr">
        <is>
          <t>NORRBOTTENS LÄN</t>
        </is>
      </c>
      <c r="G529" t="inlineStr">
        <is>
          <t>BODEN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45587</v>
      </c>
      <c r="E530" s="1" t="n">
        <v>46262</v>
      </c>
      <c r="F530" t="inlineStr">
        <is>
          <t>NORRBOTTENS LÄN</t>
        </is>
      </c>
      <c r="G530" t="inlineStr">
        <is>
          <t>BODEN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46262</v>
      </c>
      <c r="F531" t="inlineStr">
        <is>
          <t>NORRBOTTENS LÄN</t>
        </is>
      </c>
      <c r="G531" t="inlineStr">
        <is>
          <t>BODEN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45884</v>
      </c>
      <c r="E532" s="1" t="n">
        <v>46262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46262</v>
      </c>
      <c r="F533" t="inlineStr">
        <is>
          <t>NORRBOTTENS LÄN</t>
        </is>
      </c>
      <c r="G533" t="inlineStr">
        <is>
          <t>BODEN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46262</v>
      </c>
      <c r="F534" t="inlineStr">
        <is>
          <t>NORRBOTTENS LÄN</t>
        </is>
      </c>
      <c r="G534" t="inlineStr">
        <is>
          <t>BODEN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7923-2026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46262</v>
      </c>
      <c r="F535" t="inlineStr">
        <is>
          <t>NORRBOTTENS LÄN</t>
        </is>
      </c>
      <c r="G535" t="inlineStr">
        <is>
          <t>BODEN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45685</v>
      </c>
      <c r="E536" s="1" t="n">
        <v>46262</v>
      </c>
      <c r="F536" t="inlineStr">
        <is>
          <t>NORRBOTTENS LÄN</t>
        </is>
      </c>
      <c r="G536" t="inlineStr">
        <is>
          <t>BODEN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46262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9.699999999999999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44994</v>
      </c>
      <c r="E538" s="1" t="n">
        <v>46262</v>
      </c>
      <c r="F538" t="inlineStr">
        <is>
          <t>NORRBOTTENS LÄN</t>
        </is>
      </c>
      <c r="G538" t="inlineStr">
        <is>
          <t>BODEN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45512</v>
      </c>
      <c r="E539" s="1" t="n">
        <v>46262</v>
      </c>
      <c r="F539" t="inlineStr">
        <is>
          <t>NORRBOTTENS LÄN</t>
        </is>
      </c>
      <c r="G539" t="inlineStr">
        <is>
          <t>BODEN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46078</v>
      </c>
      <c r="E540" s="1" t="n">
        <v>46262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56163-2022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44889</v>
      </c>
      <c r="E541" s="1" t="n">
        <v>46262</v>
      </c>
      <c r="F541" t="inlineStr">
        <is>
          <t>NORRBOTTENS LÄN</t>
        </is>
      </c>
      <c r="G541" t="inlineStr">
        <is>
          <t>BODEN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46262</v>
      </c>
      <c r="F542" t="inlineStr">
        <is>
          <t>NORRBOTTENS LÄN</t>
        </is>
      </c>
      <c r="G542" t="inlineStr">
        <is>
          <t>BODEN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46076</v>
      </c>
      <c r="E543" s="1" t="n">
        <v>46262</v>
      </c>
      <c r="F543" t="inlineStr">
        <is>
          <t>NORRBOTTENS LÄN</t>
        </is>
      </c>
      <c r="G543" t="inlineStr">
        <is>
          <t>BODEN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45406</v>
      </c>
      <c r="E544" s="1" t="n">
        <v>46262</v>
      </c>
      <c r="F544" t="inlineStr">
        <is>
          <t>NORRBOTTENS LÄN</t>
        </is>
      </c>
      <c r="G544" t="inlineStr">
        <is>
          <t>BODEN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19968-2025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45771</v>
      </c>
      <c r="E545" s="1" t="n">
        <v>46262</v>
      </c>
      <c r="F545" t="inlineStr">
        <is>
          <t>NORRBOTTENS LÄN</t>
        </is>
      </c>
      <c r="G545" t="inlineStr">
        <is>
          <t>BODEN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46076</v>
      </c>
      <c r="E546" s="1" t="n">
        <v>46262</v>
      </c>
      <c r="F546" t="inlineStr">
        <is>
          <t>NORRBOTTENS LÄN</t>
        </is>
      </c>
      <c r="G546" t="inlineStr">
        <is>
          <t>BODEN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54104-2022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44881</v>
      </c>
      <c r="E547" s="1" t="n">
        <v>46262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46084</v>
      </c>
      <c r="E548" s="1" t="n">
        <v>46262</v>
      </c>
      <c r="F548" t="inlineStr">
        <is>
          <t>NORRBOTTENS LÄN</t>
        </is>
      </c>
      <c r="G548" t="inlineStr">
        <is>
          <t>BODEN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11633-2026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46262</v>
      </c>
      <c r="F549" t="inlineStr">
        <is>
          <t>NORRBOTTENS LÄN</t>
        </is>
      </c>
      <c r="G549" t="inlineStr">
        <is>
          <t>BODEN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47423-2024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45587</v>
      </c>
      <c r="E550" s="1" t="n">
        <v>46262</v>
      </c>
      <c r="F550" t="inlineStr">
        <is>
          <t>NORRBOTTENS LÄN</t>
        </is>
      </c>
      <c r="G550" t="inlineStr">
        <is>
          <t>BODEN</t>
        </is>
      </c>
      <c r="I550" t="n">
        <v>17.2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45248</v>
      </c>
      <c r="E551" s="1" t="n">
        <v>46262</v>
      </c>
      <c r="F551" t="inlineStr">
        <is>
          <t>NORRBOTTENS LÄN</t>
        </is>
      </c>
      <c r="G551" t="inlineStr">
        <is>
          <t>BODEN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11569-2026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46084</v>
      </c>
      <c r="E552" s="1" t="n">
        <v>46262</v>
      </c>
      <c r="F552" t="inlineStr">
        <is>
          <t>NORRBOTTENS LÄN</t>
        </is>
      </c>
      <c r="G552" t="inlineStr">
        <is>
          <t>BODEN</t>
        </is>
      </c>
      <c r="I552" t="n">
        <v>9.199999999999999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46262</v>
      </c>
      <c r="F553" t="inlineStr">
        <is>
          <t>NORRBOTTENS LÄN</t>
        </is>
      </c>
      <c r="G553" t="inlineStr">
        <is>
          <t>BODEN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46262</v>
      </c>
      <c r="F554" t="inlineStr">
        <is>
          <t>NORRBOTTENS LÄN</t>
        </is>
      </c>
      <c r="G554" t="inlineStr">
        <is>
          <t>BODEN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46262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45691</v>
      </c>
      <c r="E556" s="1" t="n">
        <v>46262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46262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13714-2022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44648</v>
      </c>
      <c r="E558" s="1" t="n">
        <v>46262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44565</v>
      </c>
      <c r="E559" s="1" t="n">
        <v>46262</v>
      </c>
      <c r="F559" t="inlineStr">
        <is>
          <t>NORRBOTTENS LÄN</t>
        </is>
      </c>
      <c r="G559" t="inlineStr">
        <is>
          <t>BODEN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61743-2024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45649</v>
      </c>
      <c r="E560" s="1" t="n">
        <v>46262</v>
      </c>
      <c r="F560" t="inlineStr">
        <is>
          <t>NORRBOTTENS LÄN</t>
        </is>
      </c>
      <c r="G560" t="inlineStr">
        <is>
          <t>BODEN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44553-2024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45574</v>
      </c>
      <c r="E561" s="1" t="n">
        <v>46262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12875-2026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46262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45301</v>
      </c>
      <c r="E563" s="1" t="n">
        <v>46262</v>
      </c>
      <c r="F563" t="inlineStr">
        <is>
          <t>NORRBOTTENS LÄN</t>
        </is>
      </c>
      <c r="G563" t="inlineStr">
        <is>
          <t>BODEN</t>
        </is>
      </c>
      <c r="H563" t="inlineStr">
        <is>
          <t>Övriga statliga verk och myndigheter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46262</v>
      </c>
      <c r="F564" t="inlineStr">
        <is>
          <t>NORRBOTTENS LÄN</t>
        </is>
      </c>
      <c r="G564" t="inlineStr">
        <is>
          <t>BODEN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16180-2025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45750</v>
      </c>
      <c r="E565" s="1" t="n">
        <v>46262</v>
      </c>
      <c r="F565" t="inlineStr">
        <is>
          <t>NORRBOTTENS LÄN</t>
        </is>
      </c>
      <c r="G565" t="inlineStr">
        <is>
          <t>BODEN</t>
        </is>
      </c>
      <c r="H565" t="inlineStr">
        <is>
          <t>Övriga Aktiebolag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46262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45376-2025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45922</v>
      </c>
      <c r="E567" s="1" t="n">
        <v>46262</v>
      </c>
      <c r="F567" t="inlineStr">
        <is>
          <t>NORRBOTTENS LÄN</t>
        </is>
      </c>
      <c r="G567" t="inlineStr">
        <is>
          <t>BODEN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46262</v>
      </c>
      <c r="F568" t="inlineStr">
        <is>
          <t>NORRBOTTENS LÄN</t>
        </is>
      </c>
      <c r="G568" t="inlineStr">
        <is>
          <t>BODEN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45761</v>
      </c>
      <c r="E569" s="1" t="n">
        <v>46262</v>
      </c>
      <c r="F569" t="inlineStr">
        <is>
          <t>NORRBOTTENS LÄN</t>
        </is>
      </c>
      <c r="G569" t="inlineStr">
        <is>
          <t>BODEN</t>
        </is>
      </c>
      <c r="H569" t="inlineStr">
        <is>
          <t>Övriga statliga verk och myndigheter</t>
        </is>
      </c>
      <c r="I569" t="n">
        <v>11.5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14245-2026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46099</v>
      </c>
      <c r="E570" s="1" t="n">
        <v>46262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61260-2023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46262</v>
      </c>
      <c r="F571" t="inlineStr">
        <is>
          <t>NORRBOTTENS LÄN</t>
        </is>
      </c>
      <c r="G571" t="inlineStr">
        <is>
          <t>BODEN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5452-2025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45692</v>
      </c>
      <c r="E572" s="1" t="n">
        <v>46262</v>
      </c>
      <c r="F572" t="inlineStr">
        <is>
          <t>NORRBOTTENS LÄN</t>
        </is>
      </c>
      <c r="G572" t="inlineStr">
        <is>
          <t>BODEN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46262</v>
      </c>
      <c r="F573" t="inlineStr">
        <is>
          <t>NORRBOTTENS LÄN</t>
        </is>
      </c>
      <c r="G573" t="inlineStr">
        <is>
          <t>BODEN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46262</v>
      </c>
      <c r="F574" t="inlineStr">
        <is>
          <t>NORRBOTTENS LÄN</t>
        </is>
      </c>
      <c r="G574" t="inlineStr">
        <is>
          <t>BODEN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59029-2022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44903</v>
      </c>
      <c r="E575" s="1" t="n">
        <v>46262</v>
      </c>
      <c r="F575" t="inlineStr">
        <is>
          <t>NORRBOTTENS LÄN</t>
        </is>
      </c>
      <c r="G575" t="inlineStr">
        <is>
          <t>BODEN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46262</v>
      </c>
      <c r="F576" t="inlineStr">
        <is>
          <t>NORRBOTTENS LÄN</t>
        </is>
      </c>
      <c r="G576" t="inlineStr">
        <is>
          <t>BODEN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46262</v>
      </c>
      <c r="F577" t="inlineStr">
        <is>
          <t>NORRBOTTENS LÄN</t>
        </is>
      </c>
      <c r="G577" t="inlineStr">
        <is>
          <t>BODEN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45590</v>
      </c>
      <c r="E578" s="1" t="n">
        <v>46262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48471-2024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45591</v>
      </c>
      <c r="E579" s="1" t="n">
        <v>46262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48472-2024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45591</v>
      </c>
      <c r="E580" s="1" t="n">
        <v>46262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45425</v>
      </c>
      <c r="E581" s="1" t="n">
        <v>46262</v>
      </c>
      <c r="F581" t="inlineStr">
        <is>
          <t>NORRBOTTENS LÄN</t>
        </is>
      </c>
      <c r="G581" t="inlineStr">
        <is>
          <t>BODEN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15017-2022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44657</v>
      </c>
      <c r="E582" s="1" t="n">
        <v>46262</v>
      </c>
      <c r="F582" t="inlineStr">
        <is>
          <t>NORRBOTTENS LÄN</t>
        </is>
      </c>
      <c r="G582" t="inlineStr">
        <is>
          <t>BODEN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46262</v>
      </c>
      <c r="F583" t="inlineStr">
        <is>
          <t>NORRBOTTENS LÄN</t>
        </is>
      </c>
      <c r="G583" t="inlineStr">
        <is>
          <t>BODEN</t>
        </is>
      </c>
      <c r="I583" t="n">
        <v>19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46564-2022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44847</v>
      </c>
      <c r="E584" s="1" t="n">
        <v>46262</v>
      </c>
      <c r="F584" t="inlineStr">
        <is>
          <t>NORRBOTTENS LÄN</t>
        </is>
      </c>
      <c r="G584" t="inlineStr">
        <is>
          <t>BODEN</t>
        </is>
      </c>
      <c r="I584" t="n">
        <v>28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49162-2023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45210</v>
      </c>
      <c r="E585" s="1" t="n">
        <v>46262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46262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46262</v>
      </c>
      <c r="F587" t="inlineStr">
        <is>
          <t>NORRBOTTENS LÄN</t>
        </is>
      </c>
      <c r="G587" t="inlineStr">
        <is>
          <t>BODEN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44573</v>
      </c>
      <c r="E588" s="1" t="n">
        <v>46262</v>
      </c>
      <c r="F588" t="inlineStr">
        <is>
          <t>NORRBOTTENS LÄN</t>
        </is>
      </c>
      <c r="G588" t="inlineStr">
        <is>
          <t>BODEN</t>
        </is>
      </c>
      <c r="H588" t="inlineStr">
        <is>
          <t>Övriga statliga verk och myndigheter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46262</v>
      </c>
      <c r="F589" t="inlineStr">
        <is>
          <t>NORRBOTTENS LÄN</t>
        </is>
      </c>
      <c r="G589" t="inlineStr">
        <is>
          <t>BODEN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48950-2022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44859</v>
      </c>
      <c r="E590" s="1" t="n">
        <v>46262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46126</v>
      </c>
      <c r="E591" s="1" t="n">
        <v>46262</v>
      </c>
      <c r="F591" t="inlineStr">
        <is>
          <t>NORRBOTTENS LÄN</t>
        </is>
      </c>
      <c r="G591" t="inlineStr">
        <is>
          <t>BODEN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45544</v>
      </c>
      <c r="E592" s="1" t="n">
        <v>46262</v>
      </c>
      <c r="F592" t="inlineStr">
        <is>
          <t>NORRBOTTENS LÄN</t>
        </is>
      </c>
      <c r="G592" t="inlineStr">
        <is>
          <t>BODEN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45314</v>
      </c>
      <c r="E593" s="1" t="n">
        <v>46262</v>
      </c>
      <c r="F593" t="inlineStr">
        <is>
          <t>NORRBOTTENS LÄN</t>
        </is>
      </c>
      <c r="G593" t="inlineStr">
        <is>
          <t>BODEN</t>
        </is>
      </c>
      <c r="I593" t="n">
        <v>17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45429</v>
      </c>
      <c r="E594" s="1" t="n">
        <v>46262</v>
      </c>
      <c r="F594" t="inlineStr">
        <is>
          <t>NORRBOTTENS LÄN</t>
        </is>
      </c>
      <c r="G594" t="inlineStr">
        <is>
          <t>BODEN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46262</v>
      </c>
      <c r="F595" t="inlineStr">
        <is>
          <t>NORRBOTTENS LÄN</t>
        </is>
      </c>
      <c r="G595" t="inlineStr">
        <is>
          <t>BODEN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44963</v>
      </c>
      <c r="E596" s="1" t="n">
        <v>46262</v>
      </c>
      <c r="F596" t="inlineStr">
        <is>
          <t>NORRBOTTENS LÄN</t>
        </is>
      </c>
      <c r="G596" t="inlineStr">
        <is>
          <t>BODEN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46183-2021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44441</v>
      </c>
      <c r="E597" s="1" t="n">
        <v>46262</v>
      </c>
      <c r="F597" t="inlineStr">
        <is>
          <t>NORRBOTTENS LÄN</t>
        </is>
      </c>
      <c r="G597" t="inlineStr">
        <is>
          <t>BODEN</t>
        </is>
      </c>
      <c r="I597" t="n">
        <v>13.6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31456-2024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45505</v>
      </c>
      <c r="E598" s="1" t="n">
        <v>46262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46262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19091-2026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46132</v>
      </c>
      <c r="E600" s="1" t="n">
        <v>46262</v>
      </c>
      <c r="F600" t="inlineStr">
        <is>
          <t>NORRBOTTENS LÄN</t>
        </is>
      </c>
      <c r="G600" t="inlineStr">
        <is>
          <t>BODEN</t>
        </is>
      </c>
      <c r="I600" t="n">
        <v>11.7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46132</v>
      </c>
      <c r="E601" s="1" t="n">
        <v>46262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9969-2023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44979</v>
      </c>
      <c r="E602" s="1" t="n">
        <v>46262</v>
      </c>
      <c r="F602" t="inlineStr">
        <is>
          <t>NORRBOTTENS LÄN</t>
        </is>
      </c>
      <c r="G602" t="inlineStr">
        <is>
          <t>BODEN</t>
        </is>
      </c>
      <c r="H602" t="inlineStr">
        <is>
          <t>Övriga statliga verk och myndigheter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46132</v>
      </c>
      <c r="E603" s="1" t="n">
        <v>46262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62589-2025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46007</v>
      </c>
      <c r="E604" s="1" t="n">
        <v>46262</v>
      </c>
      <c r="F604" t="inlineStr">
        <is>
          <t>NORRBOTTENS LÄN</t>
        </is>
      </c>
      <c r="G604" t="inlineStr">
        <is>
          <t>BODEN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26806-2024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46262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Aktiebolag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46136</v>
      </c>
      <c r="E606" s="1" t="n">
        <v>46262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46076</v>
      </c>
      <c r="E607" s="1" t="n">
        <v>46262</v>
      </c>
      <c r="F607" t="inlineStr">
        <is>
          <t>NORRBOTTENS LÄN</t>
        </is>
      </c>
      <c r="G607" t="inlineStr">
        <is>
          <t>BODEN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68591-2021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44529</v>
      </c>
      <c r="E608" s="1" t="n">
        <v>46262</v>
      </c>
      <c r="F608" t="inlineStr">
        <is>
          <t>NORRBOTTENS LÄN</t>
        </is>
      </c>
      <c r="G608" t="inlineStr">
        <is>
          <t>BODEN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44567-2024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45574</v>
      </c>
      <c r="E609" s="1" t="n">
        <v>46262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62017-2025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46003</v>
      </c>
      <c r="E610" s="1" t="n">
        <v>46262</v>
      </c>
      <c r="F610" t="inlineStr">
        <is>
          <t>NORRBOTTENS LÄN</t>
        </is>
      </c>
      <c r="G610" t="inlineStr">
        <is>
          <t>BODEN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57600-2021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44484</v>
      </c>
      <c r="E611" s="1" t="n">
        <v>46262</v>
      </c>
      <c r="F611" t="inlineStr">
        <is>
          <t>NORRBOTTENS LÄN</t>
        </is>
      </c>
      <c r="G611" t="inlineStr">
        <is>
          <t>BODEN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46262</v>
      </c>
      <c r="F612" t="inlineStr">
        <is>
          <t>NORRBOTTENS LÄN</t>
        </is>
      </c>
      <c r="G612" t="inlineStr">
        <is>
          <t>BODEN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19051-2025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46262</v>
      </c>
      <c r="F613" t="inlineStr">
        <is>
          <t>NORRBOTTENS LÄN</t>
        </is>
      </c>
      <c r="G613" t="inlineStr">
        <is>
          <t>BODEN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60776-2025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45999</v>
      </c>
      <c r="E614" s="1" t="n">
        <v>46262</v>
      </c>
      <c r="F614" t="inlineStr">
        <is>
          <t>NORRBOTTENS LÄN</t>
        </is>
      </c>
      <c r="G614" t="inlineStr">
        <is>
          <t>BODEN</t>
        </is>
      </c>
      <c r="I614" t="n">
        <v>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61988-2025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46003</v>
      </c>
      <c r="E615" s="1" t="n">
        <v>46262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14757-2023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45014</v>
      </c>
      <c r="E616" s="1" t="n">
        <v>46262</v>
      </c>
      <c r="F616" t="inlineStr">
        <is>
          <t>NORRBOTTENS LÄN</t>
        </is>
      </c>
      <c r="G616" t="inlineStr">
        <is>
          <t>BODEN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45408</v>
      </c>
      <c r="E617" s="1" t="n">
        <v>46262</v>
      </c>
      <c r="F617" t="inlineStr">
        <is>
          <t>NORRBOTTENS LÄN</t>
        </is>
      </c>
      <c r="G617" t="inlineStr">
        <is>
          <t>BODEN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45944</v>
      </c>
      <c r="E618" s="1" t="n">
        <v>46262</v>
      </c>
      <c r="F618" t="inlineStr">
        <is>
          <t>NORRBOTTENS LÄN</t>
        </is>
      </c>
      <c r="G618" t="inlineStr">
        <is>
          <t>BODEN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46262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19624-2025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45770</v>
      </c>
      <c r="E620" s="1" t="n">
        <v>46262</v>
      </c>
      <c r="F620" t="inlineStr">
        <is>
          <t>NORRBOTTENS LÄN</t>
        </is>
      </c>
      <c r="G620" t="inlineStr">
        <is>
          <t>BODEN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59893-2023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45254</v>
      </c>
      <c r="E621" s="1" t="n">
        <v>46262</v>
      </c>
      <c r="F621" t="inlineStr">
        <is>
          <t>NORRBOTTENS LÄN</t>
        </is>
      </c>
      <c r="G621" t="inlineStr">
        <is>
          <t>BODEN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35755-2025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45860</v>
      </c>
      <c r="E622" s="1" t="n">
        <v>46262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35040-2022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44796</v>
      </c>
      <c r="E623" s="1" t="n">
        <v>46262</v>
      </c>
      <c r="F623" t="inlineStr">
        <is>
          <t>NORRBOTTENS LÄN</t>
        </is>
      </c>
      <c r="G623" t="inlineStr">
        <is>
          <t>BODEN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48459-2025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45935</v>
      </c>
      <c r="E624" s="1" t="n">
        <v>46262</v>
      </c>
      <c r="F624" t="inlineStr">
        <is>
          <t>NORRBOTTENS LÄN</t>
        </is>
      </c>
      <c r="G624" t="inlineStr">
        <is>
          <t>BODEN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45694</v>
      </c>
      <c r="E625" s="1" t="n">
        <v>46262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45523</v>
      </c>
      <c r="E626" s="1" t="n">
        <v>46262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46262</v>
      </c>
      <c r="F627" t="inlineStr">
        <is>
          <t>NORRBOTTENS LÄN</t>
        </is>
      </c>
      <c r="G627" t="inlineStr">
        <is>
          <t>BODEN</t>
        </is>
      </c>
      <c r="I627" t="n">
        <v>16.1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45054</v>
      </c>
      <c r="E628" s="1" t="n">
        <v>46262</v>
      </c>
      <c r="F628" t="inlineStr">
        <is>
          <t>NORRBOTTENS LÄN</t>
        </is>
      </c>
      <c r="G628" t="inlineStr">
        <is>
          <t>BODEN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45429</v>
      </c>
      <c r="E629" s="1" t="n">
        <v>46262</v>
      </c>
      <c r="F629" t="inlineStr">
        <is>
          <t>NORRBOTTENS LÄN</t>
        </is>
      </c>
      <c r="G629" t="inlineStr">
        <is>
          <t>BODEN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45085</v>
      </c>
      <c r="E630" s="1" t="n">
        <v>46262</v>
      </c>
      <c r="F630" t="inlineStr">
        <is>
          <t>NORRBOTTENS LÄN</t>
        </is>
      </c>
      <c r="G630" t="inlineStr">
        <is>
          <t>BODEN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45839</v>
      </c>
      <c r="E631" s="1" t="n">
        <v>46262</v>
      </c>
      <c r="F631" t="inlineStr">
        <is>
          <t>NORRBOTTENS LÄN</t>
        </is>
      </c>
      <c r="G631" t="inlineStr">
        <is>
          <t>BODEN</t>
        </is>
      </c>
      <c r="I631" t="n">
        <v>13.6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46029</v>
      </c>
      <c r="E632" s="1" t="n">
        <v>46262</v>
      </c>
      <c r="F632" t="inlineStr">
        <is>
          <t>NORRBOTTENS LÄN</t>
        </is>
      </c>
      <c r="G632" t="inlineStr">
        <is>
          <t>BODEN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64649-2023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46262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47024-2024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45586</v>
      </c>
      <c r="E634" s="1" t="n">
        <v>46262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12.8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59028-2022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44903</v>
      </c>
      <c r="E635" s="1" t="n">
        <v>46262</v>
      </c>
      <c r="F635" t="inlineStr">
        <is>
          <t>NORRBOTTENS LÄN</t>
        </is>
      </c>
      <c r="G635" t="inlineStr">
        <is>
          <t>BODEN</t>
        </is>
      </c>
      <c r="I635" t="n">
        <v>16.1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49127-2023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45210</v>
      </c>
      <c r="E636" s="1" t="n">
        <v>46262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11634-2026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46262</v>
      </c>
      <c r="F637" t="inlineStr">
        <is>
          <t>NORRBOTTENS LÄN</t>
        </is>
      </c>
      <c r="G637" t="inlineStr">
        <is>
          <t>BODEN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10240-2026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46262</v>
      </c>
      <c r="F638" t="inlineStr">
        <is>
          <t>NORRBOTTENS LÄN</t>
        </is>
      </c>
      <c r="G638" t="inlineStr">
        <is>
          <t>BODEN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31195-2025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45832</v>
      </c>
      <c r="E639" s="1" t="n">
        <v>46262</v>
      </c>
      <c r="F639" t="inlineStr">
        <is>
          <t>NORRBOTTENS LÄN</t>
        </is>
      </c>
      <c r="G639" t="inlineStr">
        <is>
          <t>BODEN</t>
        </is>
      </c>
      <c r="I639" t="n">
        <v>8.9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43007-2022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44833</v>
      </c>
      <c r="E640" s="1" t="n">
        <v>46262</v>
      </c>
      <c r="F640" t="inlineStr">
        <is>
          <t>NORRBOTTENS LÄN</t>
        </is>
      </c>
      <c r="G640" t="inlineStr">
        <is>
          <t>BODEN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28248-2025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46262</v>
      </c>
      <c r="F641" t="inlineStr">
        <is>
          <t>NORRBOTTENS LÄN</t>
        </is>
      </c>
      <c r="G641" t="inlineStr">
        <is>
          <t>BODEN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46262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67438-2021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44524</v>
      </c>
      <c r="E643" s="1" t="n">
        <v>46262</v>
      </c>
      <c r="F643" t="inlineStr">
        <is>
          <t>NORRBOTTENS LÄN</t>
        </is>
      </c>
      <c r="G643" t="inlineStr">
        <is>
          <t>BODEN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46512-2021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44445</v>
      </c>
      <c r="E644" s="1" t="n">
        <v>46262</v>
      </c>
      <c r="F644" t="inlineStr">
        <is>
          <t>NORRBOTTENS LÄN</t>
        </is>
      </c>
      <c r="G644" t="inlineStr">
        <is>
          <t>BODEN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49859-2023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45212</v>
      </c>
      <c r="E645" s="1" t="n">
        <v>46262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21279-2026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46262</v>
      </c>
      <c r="F646" t="inlineStr">
        <is>
          <t>NORRBOTTENS LÄN</t>
        </is>
      </c>
      <c r="G646" t="inlineStr">
        <is>
          <t>BODEN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40115-2025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45893</v>
      </c>
      <c r="E647" s="1" t="n">
        <v>46262</v>
      </c>
      <c r="F647" t="inlineStr">
        <is>
          <t>NORRBOTTENS LÄN</t>
        </is>
      </c>
      <c r="G647" t="inlineStr">
        <is>
          <t>BODEN</t>
        </is>
      </c>
      <c r="H647" t="inlineStr">
        <is>
          <t>Övriga statliga verk och myndigheter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21421-2022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44706</v>
      </c>
      <c r="E648" s="1" t="n">
        <v>46262</v>
      </c>
      <c r="F648" t="inlineStr">
        <is>
          <t>NORRBOTTENS LÄN</t>
        </is>
      </c>
      <c r="G648" t="inlineStr">
        <is>
          <t>BODEN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28432-2022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44747</v>
      </c>
      <c r="E649" s="1" t="n">
        <v>46262</v>
      </c>
      <c r="F649" t="inlineStr">
        <is>
          <t>NORRBOTTENS LÄN</t>
        </is>
      </c>
      <c r="G649" t="inlineStr">
        <is>
          <t>BODEN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33511-2025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45841</v>
      </c>
      <c r="E650" s="1" t="n">
        <v>46262</v>
      </c>
      <c r="F650" t="inlineStr">
        <is>
          <t>NORRBOTTENS LÄN</t>
        </is>
      </c>
      <c r="G650" t="inlineStr">
        <is>
          <t>BODEN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16741-2022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44673</v>
      </c>
      <c r="E651" s="1" t="n">
        <v>46262</v>
      </c>
      <c r="F651" t="inlineStr">
        <is>
          <t>NORRBOTTENS LÄN</t>
        </is>
      </c>
      <c r="G651" t="inlineStr">
        <is>
          <t>BODEN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46262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46149</v>
      </c>
      <c r="E653" s="1" t="n">
        <v>46262</v>
      </c>
      <c r="F653" t="inlineStr">
        <is>
          <t>NORRBOTTENS LÄN</t>
        </is>
      </c>
      <c r="G653" t="inlineStr">
        <is>
          <t>BODEN</t>
        </is>
      </c>
      <c r="I653" t="n">
        <v>11.6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38994-2024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45548</v>
      </c>
      <c r="E654" s="1" t="n">
        <v>46262</v>
      </c>
      <c r="F654" t="inlineStr">
        <is>
          <t>NORRBOTTENS LÄN</t>
        </is>
      </c>
      <c r="G654" t="inlineStr">
        <is>
          <t>BODEN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14995-2022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44657</v>
      </c>
      <c r="E655" s="1" t="n">
        <v>46262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15000-2022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44657</v>
      </c>
      <c r="E656" s="1" t="n">
        <v>46262</v>
      </c>
      <c r="F656" t="inlineStr">
        <is>
          <t>NORRBOTTENS LÄN</t>
        </is>
      </c>
      <c r="G656" t="inlineStr">
        <is>
          <t>BODEN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46149</v>
      </c>
      <c r="E657" s="1" t="n">
        <v>46262</v>
      </c>
      <c r="F657" t="inlineStr">
        <is>
          <t>NORRBOTTENS LÄN</t>
        </is>
      </c>
      <c r="G657" t="inlineStr">
        <is>
          <t>BODEN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21703-2026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46262</v>
      </c>
      <c r="F658" t="inlineStr">
        <is>
          <t>NORRBOTTENS LÄN</t>
        </is>
      </c>
      <c r="G658" t="inlineStr">
        <is>
          <t>BODEN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22264-2026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46150</v>
      </c>
      <c r="E659" s="1" t="n">
        <v>46262</v>
      </c>
      <c r="F659" t="inlineStr">
        <is>
          <t>NORRBOTTENS LÄN</t>
        </is>
      </c>
      <c r="G659" t="inlineStr">
        <is>
          <t>BODEN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22259-2026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46262</v>
      </c>
      <c r="F660" t="inlineStr">
        <is>
          <t>NORRBOTTENS LÄN</t>
        </is>
      </c>
      <c r="G660" t="inlineStr">
        <is>
          <t>BODEN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44966</v>
      </c>
      <c r="E661" s="1" t="n">
        <v>46262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21784-2026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46150</v>
      </c>
      <c r="E662" s="1" t="n">
        <v>46262</v>
      </c>
      <c r="F662" t="inlineStr">
        <is>
          <t>NORRBOTTENS LÄN</t>
        </is>
      </c>
      <c r="G662" t="inlineStr">
        <is>
          <t>BODEN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16699-2024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45408</v>
      </c>
      <c r="E663" s="1" t="n">
        <v>46262</v>
      </c>
      <c r="F663" t="inlineStr">
        <is>
          <t>NORRBOTTENS LÄN</t>
        </is>
      </c>
      <c r="G663" t="inlineStr">
        <is>
          <t>BODEN</t>
        </is>
      </c>
      <c r="I663" t="n">
        <v>14.9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22373-2026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46262</v>
      </c>
      <c r="F664" t="inlineStr">
        <is>
          <t>NORRBOTTENS LÄN</t>
        </is>
      </c>
      <c r="G664" t="inlineStr">
        <is>
          <t>BODEN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61587-2024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46262</v>
      </c>
      <c r="F665" t="inlineStr">
        <is>
          <t>NORRBOTTENS LÄN</t>
        </is>
      </c>
      <c r="G665" t="inlineStr">
        <is>
          <t>BODEN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46155</v>
      </c>
      <c r="E666" s="1" t="n">
        <v>46262</v>
      </c>
      <c r="F666" t="inlineStr">
        <is>
          <t>NORRBOTTENS LÄN</t>
        </is>
      </c>
      <c r="G666" t="inlineStr">
        <is>
          <t>BODEN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45639</v>
      </c>
      <c r="E667" s="1" t="n">
        <v>46262</v>
      </c>
      <c r="F667" t="inlineStr">
        <is>
          <t>NORRBOTTENS LÄN</t>
        </is>
      </c>
      <c r="G667" t="inlineStr">
        <is>
          <t>BODEN</t>
        </is>
      </c>
      <c r="I667" t="n">
        <v>9.5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22239-2026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46154</v>
      </c>
      <c r="E668" s="1" t="n">
        <v>46262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45988</v>
      </c>
      <c r="E669" s="1" t="n">
        <v>46262</v>
      </c>
      <c r="F669" t="inlineStr">
        <is>
          <t>NORRBOTTENS LÄN</t>
        </is>
      </c>
      <c r="G669" t="inlineStr">
        <is>
          <t>BODEN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48592-2024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45593</v>
      </c>
      <c r="E670" s="1" t="n">
        <v>46262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45427</v>
      </c>
      <c r="E671" s="1" t="n">
        <v>46262</v>
      </c>
      <c r="F671" t="inlineStr">
        <is>
          <t>NORRBOTTENS LÄN</t>
        </is>
      </c>
      <c r="G671" t="inlineStr">
        <is>
          <t>BODEN</t>
        </is>
      </c>
      <c r="I671" t="n">
        <v>22.1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21329-2024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45440</v>
      </c>
      <c r="E672" s="1" t="n">
        <v>46262</v>
      </c>
      <c r="F672" t="inlineStr">
        <is>
          <t>NORRBOTTENS LÄN</t>
        </is>
      </c>
      <c r="G672" t="inlineStr">
        <is>
          <t>BODEN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28139-2025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45818</v>
      </c>
      <c r="E673" s="1" t="n">
        <v>46262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11.3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15157-2025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45744</v>
      </c>
      <c r="E674" s="1" t="n">
        <v>46262</v>
      </c>
      <c r="F674" t="inlineStr">
        <is>
          <t>NORRBOTTENS LÄN</t>
        </is>
      </c>
      <c r="G674" t="inlineStr">
        <is>
          <t>BODEN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45429</v>
      </c>
      <c r="E675" s="1" t="n">
        <v>46262</v>
      </c>
      <c r="F675" t="inlineStr">
        <is>
          <t>NORRBOTTENS LÄN</t>
        </is>
      </c>
      <c r="G675" t="inlineStr">
        <is>
          <t>BODEN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19533-2024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45429</v>
      </c>
      <c r="E676" s="1" t="n">
        <v>46262</v>
      </c>
      <c r="F676" t="inlineStr">
        <is>
          <t>NORRBOTTENS LÄN</t>
        </is>
      </c>
      <c r="G676" t="inlineStr">
        <is>
          <t>BODEN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45691</v>
      </c>
      <c r="E677" s="1" t="n">
        <v>46262</v>
      </c>
      <c r="F677" t="inlineStr">
        <is>
          <t>NORRBOTTENS LÄN</t>
        </is>
      </c>
      <c r="G677" t="inlineStr">
        <is>
          <t>BODEN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25920-2023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45085</v>
      </c>
      <c r="E678" s="1" t="n">
        <v>46262</v>
      </c>
      <c r="F678" t="inlineStr">
        <is>
          <t>NORRBOTTENS LÄN</t>
        </is>
      </c>
      <c r="G678" t="inlineStr">
        <is>
          <t>BODEN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37212-2025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46262</v>
      </c>
      <c r="F679" t="inlineStr">
        <is>
          <t>NORRBOTTENS LÄN</t>
        </is>
      </c>
      <c r="G679" t="inlineStr">
        <is>
          <t>BODEN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29377-2024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45483</v>
      </c>
      <c r="E680" s="1" t="n">
        <v>46262</v>
      </c>
      <c r="F680" t="inlineStr">
        <is>
          <t>NORRBOTTENS LÄN</t>
        </is>
      </c>
      <c r="G680" t="inlineStr">
        <is>
          <t>BODEN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36915-2023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46262</v>
      </c>
      <c r="F681" t="inlineStr">
        <is>
          <t>NORRBOTTENS LÄN</t>
        </is>
      </c>
      <c r="G681" t="inlineStr">
        <is>
          <t>BODEN</t>
        </is>
      </c>
      <c r="I681" t="n">
        <v>7.5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45509</v>
      </c>
      <c r="E682" s="1" t="n">
        <v>46262</v>
      </c>
      <c r="F682" t="inlineStr">
        <is>
          <t>NORRBOTTENS LÄN</t>
        </is>
      </c>
      <c r="G682" t="inlineStr">
        <is>
          <t>BODEN</t>
        </is>
      </c>
      <c r="I682" t="n">
        <v>11.1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45256</v>
      </c>
      <c r="E683" s="1" t="n">
        <v>46262</v>
      </c>
      <c r="F683" t="inlineStr">
        <is>
          <t>NORRBOTTENS LÄN</t>
        </is>
      </c>
      <c r="G683" t="inlineStr">
        <is>
          <t>BODEN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42196-2024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45562</v>
      </c>
      <c r="E684" s="1" t="n">
        <v>46262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61932-2024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45653</v>
      </c>
      <c r="E685" s="1" t="n">
        <v>46262</v>
      </c>
      <c r="F685" t="inlineStr">
        <is>
          <t>NORRBOTTENS LÄN</t>
        </is>
      </c>
      <c r="G685" t="inlineStr">
        <is>
          <t>BODEN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57968-2023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45247</v>
      </c>
      <c r="E686" s="1" t="n">
        <v>46262</v>
      </c>
      <c r="F686" t="inlineStr">
        <is>
          <t>NORRBOTTENS LÄN</t>
        </is>
      </c>
      <c r="G686" t="inlineStr">
        <is>
          <t>BODEN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2547-2025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45674</v>
      </c>
      <c r="E687" s="1" t="n">
        <v>46262</v>
      </c>
      <c r="F687" t="inlineStr">
        <is>
          <t>NORRBOTTENS LÄN</t>
        </is>
      </c>
      <c r="G687" t="inlineStr">
        <is>
          <t>BODEN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40157-2025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46262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17.6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46164</v>
      </c>
      <c r="E689" s="1" t="n">
        <v>46262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46164</v>
      </c>
      <c r="E690" s="1" t="n">
        <v>46262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46262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7.1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23789-2026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46262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31007-2024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45499</v>
      </c>
      <c r="E693" s="1" t="n">
        <v>46262</v>
      </c>
      <c r="F693" t="inlineStr">
        <is>
          <t>NORRBOTTENS LÄN</t>
        </is>
      </c>
      <c r="G693" t="inlineStr">
        <is>
          <t>BODEN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46262</v>
      </c>
      <c r="F694" t="inlineStr">
        <is>
          <t>NORRBOTTENS LÄN</t>
        </is>
      </c>
      <c r="G694" t="inlineStr">
        <is>
          <t>BODEN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37384-2023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45156</v>
      </c>
      <c r="E695" s="1" t="n">
        <v>46262</v>
      </c>
      <c r="F695" t="inlineStr">
        <is>
          <t>NORRBOTTENS LÄN</t>
        </is>
      </c>
      <c r="G695" t="inlineStr">
        <is>
          <t>BODEN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46262</v>
      </c>
      <c r="F696" t="inlineStr">
        <is>
          <t>NORRBOTTENS LÄN</t>
        </is>
      </c>
      <c r="G696" t="inlineStr">
        <is>
          <t>BODEN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46262</v>
      </c>
      <c r="F697" t="inlineStr">
        <is>
          <t>NORRBOTTENS LÄN</t>
        </is>
      </c>
      <c r="G697" t="inlineStr">
        <is>
          <t>BODEN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24430-2026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46262</v>
      </c>
      <c r="F698" t="inlineStr">
        <is>
          <t>NORRBOTTENS LÄN</t>
        </is>
      </c>
      <c r="G698" t="inlineStr">
        <is>
          <t>BODEN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24234-2026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46262</v>
      </c>
      <c r="F699" t="inlineStr">
        <is>
          <t>NORRBOTTENS LÄN</t>
        </is>
      </c>
      <c r="G699" t="inlineStr">
        <is>
          <t>BODEN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12893-2022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44642</v>
      </c>
      <c r="E700" s="1" t="n">
        <v>46262</v>
      </c>
      <c r="F700" t="inlineStr">
        <is>
          <t>NORRBOTTENS LÄN</t>
        </is>
      </c>
      <c r="G700" t="inlineStr">
        <is>
          <t>BODEN</t>
        </is>
      </c>
      <c r="H700" t="inlineStr">
        <is>
          <t>Övriga statliga verk och myndigheter</t>
        </is>
      </c>
      <c r="I700" t="n">
        <v>15.8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46262</v>
      </c>
      <c r="F701" t="inlineStr">
        <is>
          <t>NORRBOTTENS LÄN</t>
        </is>
      </c>
      <c r="G701" t="inlineStr">
        <is>
          <t>BODEN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24227-2026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46262</v>
      </c>
      <c r="F702" t="inlineStr">
        <is>
          <t>NORRBOTTENS LÄN</t>
        </is>
      </c>
      <c r="G702" t="inlineStr">
        <is>
          <t>BODEN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22458-2023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45070</v>
      </c>
      <c r="E703" s="1" t="n">
        <v>46262</v>
      </c>
      <c r="F703" t="inlineStr">
        <is>
          <t>NORRBOTTENS LÄN</t>
        </is>
      </c>
      <c r="G703" t="inlineStr">
        <is>
          <t>BODEN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58373-2022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44901</v>
      </c>
      <c r="E704" s="1" t="n">
        <v>46262</v>
      </c>
      <c r="F704" t="inlineStr">
        <is>
          <t>NORRBOTTENS LÄN</t>
        </is>
      </c>
      <c r="G704" t="inlineStr">
        <is>
          <t>BODEN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24225-2026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46168</v>
      </c>
      <c r="E705" s="1" t="n">
        <v>46262</v>
      </c>
      <c r="F705" t="inlineStr">
        <is>
          <t>NORRBOTTENS LÄN</t>
        </is>
      </c>
      <c r="G705" t="inlineStr">
        <is>
          <t>BODEN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45929-2023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45195</v>
      </c>
      <c r="E706" s="1" t="n">
        <v>46262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24805-2026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46172</v>
      </c>
      <c r="E707" s="1" t="n">
        <v>46262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24717-2026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46262</v>
      </c>
      <c r="F708" t="inlineStr">
        <is>
          <t>NORRBOTTENS LÄN</t>
        </is>
      </c>
      <c r="G708" t="inlineStr">
        <is>
          <t>BODEN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25042-2026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46262</v>
      </c>
      <c r="F709" t="inlineStr">
        <is>
          <t>NORRBOTTENS LÄN</t>
        </is>
      </c>
      <c r="G709" t="inlineStr">
        <is>
          <t>BODEN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61750-2024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45649</v>
      </c>
      <c r="E710" s="1" t="n">
        <v>46262</v>
      </c>
      <c r="F710" t="inlineStr">
        <is>
          <t>NORRBOTTENS LÄN</t>
        </is>
      </c>
      <c r="G710" t="inlineStr">
        <is>
          <t>BODEN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47922-2024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45589</v>
      </c>
      <c r="E711" s="1" t="n">
        <v>46262</v>
      </c>
      <c r="F711" t="inlineStr">
        <is>
          <t>NORRBOTTENS LÄN</t>
        </is>
      </c>
      <c r="G711" t="inlineStr">
        <is>
          <t>BODEN</t>
        </is>
      </c>
      <c r="H711" t="inlineStr">
        <is>
          <t>Naturvårdsverket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47924-2024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45589</v>
      </c>
      <c r="E712" s="1" t="n">
        <v>46262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24744-2024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45460</v>
      </c>
      <c r="E713" s="1" t="n">
        <v>46262</v>
      </c>
      <c r="F713" t="inlineStr">
        <is>
          <t>NORRBOTTENS LÄN</t>
        </is>
      </c>
      <c r="G713" t="inlineStr">
        <is>
          <t>BODEN</t>
        </is>
      </c>
      <c r="H713" t="inlineStr">
        <is>
          <t>Övriga Aktiebolag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25240-2026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46175</v>
      </c>
      <c r="E714" s="1" t="n">
        <v>46262</v>
      </c>
      <c r="F714" t="inlineStr">
        <is>
          <t>NORRBOTTENS LÄN</t>
        </is>
      </c>
      <c r="G714" t="inlineStr">
        <is>
          <t>BODEN</t>
        </is>
      </c>
      <c r="I714" t="n">
        <v>6.4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8028-2024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45350</v>
      </c>
      <c r="E715" s="1" t="n">
        <v>46262</v>
      </c>
      <c r="F715" t="inlineStr">
        <is>
          <t>NORRBOTTENS LÄN</t>
        </is>
      </c>
      <c r="G715" t="inlineStr">
        <is>
          <t>BODEN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46262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8869-2024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45356</v>
      </c>
      <c r="E717" s="1" t="n">
        <v>46262</v>
      </c>
      <c r="F717" t="inlineStr">
        <is>
          <t>NORRBOTTENS LÄN</t>
        </is>
      </c>
      <c r="G717" t="inlineStr">
        <is>
          <t>BODEN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44732</v>
      </c>
      <c r="E718" s="1" t="n">
        <v>46262</v>
      </c>
      <c r="F718" t="inlineStr">
        <is>
          <t>NORRBOTTENS LÄN</t>
        </is>
      </c>
      <c r="G718" t="inlineStr">
        <is>
          <t>BODEN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45677</v>
      </c>
      <c r="E719" s="1" t="n">
        <v>46262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25536-2026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46177</v>
      </c>
      <c r="E720" s="1" t="n">
        <v>46262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61107-2022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44908</v>
      </c>
      <c r="E721" s="1" t="n">
        <v>46262</v>
      </c>
      <c r="F721" t="inlineStr">
        <is>
          <t>NORRBOTTENS LÄN</t>
        </is>
      </c>
      <c r="G721" t="inlineStr">
        <is>
          <t>BODEN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50327-2023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45216</v>
      </c>
      <c r="E722" s="1" t="n">
        <v>46262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24400-2022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44726</v>
      </c>
      <c r="E723" s="1" t="n">
        <v>46262</v>
      </c>
      <c r="F723" t="inlineStr">
        <is>
          <t>NORRBOTTENS LÄN</t>
        </is>
      </c>
      <c r="G723" t="inlineStr">
        <is>
          <t>BODEN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706-2022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44566</v>
      </c>
      <c r="E724" s="1" t="n">
        <v>46262</v>
      </c>
      <c r="F724" t="inlineStr">
        <is>
          <t>NORRBOTTENS LÄN</t>
        </is>
      </c>
      <c r="G724" t="inlineStr">
        <is>
          <t>BODEN</t>
        </is>
      </c>
      <c r="I724" t="n">
        <v>12.4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46262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45035-2022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44841</v>
      </c>
      <c r="E726" s="1" t="n">
        <v>46262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46262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46225</v>
      </c>
      <c r="E728" s="1" t="n">
        <v>46262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46225</v>
      </c>
      <c r="E729" s="1" t="n">
        <v>46262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11.1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8873-2024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45356</v>
      </c>
      <c r="E730" s="1" t="n">
        <v>46262</v>
      </c>
      <c r="F730" t="inlineStr">
        <is>
          <t>NORRBOTTENS LÄN</t>
        </is>
      </c>
      <c r="G730" t="inlineStr">
        <is>
          <t>BODEN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26122-2026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46181</v>
      </c>
      <c r="E731" s="1" t="n">
        <v>46262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26182-2026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46182</v>
      </c>
      <c r="E732" s="1" t="n">
        <v>46262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26056-2026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46181</v>
      </c>
      <c r="E733" s="1" t="n">
        <v>46262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26448-2026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46262</v>
      </c>
      <c r="F734" t="inlineStr">
        <is>
          <t>NORRBOTTENS LÄN</t>
        </is>
      </c>
      <c r="G734" t="inlineStr">
        <is>
          <t>BODEN</t>
        </is>
      </c>
      <c r="I734" t="n">
        <v>7.7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45115-2021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44438</v>
      </c>
      <c r="E735" s="1" t="n">
        <v>46262</v>
      </c>
      <c r="F735" t="inlineStr">
        <is>
          <t>NORRBOTTENS LÄN</t>
        </is>
      </c>
      <c r="G735" t="inlineStr">
        <is>
          <t>BODEN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26714-2026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46262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7.2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26776-2026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46184</v>
      </c>
      <c r="E737" s="1" t="n">
        <v>46262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  <c r="Z737">
        <f>HYPERLINK("https://klasma.github.io/Logging_2582/knärot/A 26776-2026 karta knärot.png", "A 26776-2026")</f>
        <v/>
      </c>
      <c r="AA737">
        <f>HYPERLINK("https://klasma.github.io/Logging_2582/klagomål/A 26776-2026 FSC-klagomål.docx", "A 26776-2026")</f>
        <v/>
      </c>
      <c r="AB737">
        <f>HYPERLINK("https://klasma.github.io/Logging_2582/klagomålsmail/A 26776-2026 FSC-klagomål mail.docx", "A 26776-2026")</f>
        <v/>
      </c>
      <c r="AC737">
        <f>HYPERLINK("https://klasma.github.io/Logging_2582/tillsyn/A 26776-2026 tillsynsbegäran.docx", "A 26776-2026")</f>
        <v/>
      </c>
      <c r="AD737">
        <f>HYPERLINK("https://klasma.github.io/Logging_2582/tillsynsmail/A 26776-2026 tillsynsbegäran mail.docx", "A 26776-2026")</f>
        <v/>
      </c>
    </row>
    <row r="738" ht="15" customHeight="1">
      <c r="A738" t="inlineStr">
        <is>
          <t>A 26375-2026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46262</v>
      </c>
      <c r="F738" t="inlineStr">
        <is>
          <t>NORRBOTTENS LÄN</t>
        </is>
      </c>
      <c r="G738" t="inlineStr">
        <is>
          <t>BODEN</t>
        </is>
      </c>
      <c r="I738" t="n">
        <v>18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26022-2022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44734</v>
      </c>
      <c r="E739" s="1" t="n">
        <v>46262</v>
      </c>
      <c r="F739" t="inlineStr">
        <is>
          <t>NORRBOTTENS LÄN</t>
        </is>
      </c>
      <c r="G739" t="inlineStr">
        <is>
          <t>BODEN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61969-2024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46262</v>
      </c>
      <c r="F740" t="inlineStr">
        <is>
          <t>NORRBOTTENS LÄN</t>
        </is>
      </c>
      <c r="G740" t="inlineStr">
        <is>
          <t>BODEN</t>
        </is>
      </c>
      <c r="I740" t="n">
        <v>9.699999999999999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26386-2026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46183</v>
      </c>
      <c r="E741" s="1" t="n">
        <v>46262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19584-2025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45770</v>
      </c>
      <c r="E742" s="1" t="n">
        <v>46262</v>
      </c>
      <c r="F742" t="inlineStr">
        <is>
          <t>NORRBOTTENS LÄN</t>
        </is>
      </c>
      <c r="G742" t="inlineStr">
        <is>
          <t>BODEN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26662-2026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46262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42.2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37866-2024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45544</v>
      </c>
      <c r="E744" s="1" t="n">
        <v>46262</v>
      </c>
      <c r="F744" t="inlineStr">
        <is>
          <t>NORRBOTTENS LÄN</t>
        </is>
      </c>
      <c r="G744" t="inlineStr">
        <is>
          <t>BODEN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34760-2022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44795</v>
      </c>
      <c r="E745" s="1" t="n">
        <v>46262</v>
      </c>
      <c r="F745" t="inlineStr">
        <is>
          <t>NORRBOTTENS LÄN</t>
        </is>
      </c>
      <c r="G745" t="inlineStr">
        <is>
          <t>BODEN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38874-2023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45161</v>
      </c>
      <c r="E746" s="1" t="n">
        <v>46262</v>
      </c>
      <c r="F746" t="inlineStr">
        <is>
          <t>NORRBOTTENS LÄN</t>
        </is>
      </c>
      <c r="G746" t="inlineStr">
        <is>
          <t>BODEN</t>
        </is>
      </c>
      <c r="I746" t="n">
        <v>15.5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26996-2026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46262</v>
      </c>
      <c r="F747" t="inlineStr">
        <is>
          <t>NORRBOTTENS LÄN</t>
        </is>
      </c>
      <c r="G747" t="inlineStr">
        <is>
          <t>BODEN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45448-2023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46262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61103-2022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44908</v>
      </c>
      <c r="E749" s="1" t="n">
        <v>46262</v>
      </c>
      <c r="F749" t="inlineStr">
        <is>
          <t>NORRBOTTENS LÄN</t>
        </is>
      </c>
      <c r="G749" t="inlineStr">
        <is>
          <t>BODEN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9319-2024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45358</v>
      </c>
      <c r="E750" s="1" t="n">
        <v>46262</v>
      </c>
      <c r="F750" t="inlineStr">
        <is>
          <t>NORRBOTTENS LÄN</t>
        </is>
      </c>
      <c r="G750" t="inlineStr">
        <is>
          <t>BODEN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3459-2025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45680</v>
      </c>
      <c r="E751" s="1" t="n">
        <v>46262</v>
      </c>
      <c r="F751" t="inlineStr">
        <is>
          <t>NORRBOTTENS LÄN</t>
        </is>
      </c>
      <c r="G751" t="inlineStr">
        <is>
          <t>BODEN</t>
        </is>
      </c>
      <c r="H751" t="inlineStr">
        <is>
          <t>Naturvårdsverket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32087-2026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46234</v>
      </c>
      <c r="E752" s="1" t="n">
        <v>46262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43648-2023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45187</v>
      </c>
      <c r="E753" s="1" t="n">
        <v>46262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46234</v>
      </c>
      <c r="E754" s="1" t="n">
        <v>46262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55540-2022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44887</v>
      </c>
      <c r="E755" s="1" t="n">
        <v>46262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39463-2023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45166</v>
      </c>
      <c r="E756" s="1" t="n">
        <v>46262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46262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27749-2026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46191</v>
      </c>
      <c r="E758" s="1" t="n">
        <v>46262</v>
      </c>
      <c r="F758" t="inlineStr">
        <is>
          <t>NORRBOTTENS LÄN</t>
        </is>
      </c>
      <c r="G758" t="inlineStr">
        <is>
          <t>BODEN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46238</v>
      </c>
      <c r="E759" s="1" t="n">
        <v>46262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32427-2026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46238</v>
      </c>
      <c r="E760" s="1" t="n">
        <v>46262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61921-2024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45653</v>
      </c>
      <c r="E761" s="1" t="n">
        <v>46262</v>
      </c>
      <c r="F761" t="inlineStr">
        <is>
          <t>NORRBOTTENS LÄN</t>
        </is>
      </c>
      <c r="G761" t="inlineStr">
        <is>
          <t>BODEN</t>
        </is>
      </c>
      <c r="I761" t="n">
        <v>47.3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41212-2023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45174</v>
      </c>
      <c r="E762" s="1" t="n">
        <v>46262</v>
      </c>
      <c r="F762" t="inlineStr">
        <is>
          <t>NORRBOTTENS LÄN</t>
        </is>
      </c>
      <c r="G762" t="inlineStr">
        <is>
          <t>BODEN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28241-2026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46262</v>
      </c>
      <c r="F763" t="inlineStr">
        <is>
          <t>NORRBOTTENS LÄN</t>
        </is>
      </c>
      <c r="G763" t="inlineStr">
        <is>
          <t>BODEN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32562-2026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46239</v>
      </c>
      <c r="E764" s="1" t="n">
        <v>46262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4055-2024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45323</v>
      </c>
      <c r="E765" s="1" t="n">
        <v>46262</v>
      </c>
      <c r="F765" t="inlineStr">
        <is>
          <t>NORRBOTTENS LÄN</t>
        </is>
      </c>
      <c r="G765" t="inlineStr">
        <is>
          <t>BODEN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877-2023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44931</v>
      </c>
      <c r="E766" s="1" t="n">
        <v>46262</v>
      </c>
      <c r="F766" t="inlineStr">
        <is>
          <t>NORRBOTTENS LÄN</t>
        </is>
      </c>
      <c r="G766" t="inlineStr">
        <is>
          <t>BODEN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12801-2023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45001</v>
      </c>
      <c r="E767" s="1" t="n">
        <v>46262</v>
      </c>
      <c r="F767" t="inlineStr">
        <is>
          <t>NORRBOTTENS LÄN</t>
        </is>
      </c>
      <c r="G767" t="inlineStr">
        <is>
          <t>BODEN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20041-2025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45772</v>
      </c>
      <c r="E768" s="1" t="n">
        <v>46262</v>
      </c>
      <c r="F768" t="inlineStr">
        <is>
          <t>NORRBOTTENS LÄN</t>
        </is>
      </c>
      <c r="G768" t="inlineStr">
        <is>
          <t>BODEN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19582-2025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46262</v>
      </c>
      <c r="F769" t="inlineStr">
        <is>
          <t>NORRBOTTENS LÄN</t>
        </is>
      </c>
      <c r="G769" t="inlineStr">
        <is>
          <t>BODEN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45708</v>
      </c>
      <c r="E770" s="1" t="n">
        <v>46262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Aktiebolag</t>
        </is>
      </c>
      <c r="I770" t="n">
        <v>15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60337-2024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45643</v>
      </c>
      <c r="E771" s="1" t="n">
        <v>46262</v>
      </c>
      <c r="F771" t="inlineStr">
        <is>
          <t>NORRBOTTENS LÄN</t>
        </is>
      </c>
      <c r="G771" t="inlineStr">
        <is>
          <t>BODEN</t>
        </is>
      </c>
      <c r="I771" t="n">
        <v>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6242-2023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44964</v>
      </c>
      <c r="E772" s="1" t="n">
        <v>46262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28566-2026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46262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32590-2026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46240</v>
      </c>
      <c r="E774" s="1" t="n">
        <v>46262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46262</v>
      </c>
      <c r="F775" t="inlineStr">
        <is>
          <t>NORRBOTTENS LÄN</t>
        </is>
      </c>
      <c r="G775" t="inlineStr">
        <is>
          <t>BODEN</t>
        </is>
      </c>
      <c r="I775" t="n">
        <v>14.5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28509-2026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46197</v>
      </c>
      <c r="E776" s="1" t="n">
        <v>46262</v>
      </c>
      <c r="F776" t="inlineStr">
        <is>
          <t>NORRBOTTENS LÄN</t>
        </is>
      </c>
      <c r="G776" t="inlineStr">
        <is>
          <t>BODEN</t>
        </is>
      </c>
      <c r="I776" t="n">
        <v>8.9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46240</v>
      </c>
      <c r="E777" s="1" t="n">
        <v>46262</v>
      </c>
      <c r="F777" t="inlineStr">
        <is>
          <t>NORRBOTTENS LÄN</t>
        </is>
      </c>
      <c r="G777" t="inlineStr">
        <is>
          <t>BODEN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28490-2026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46197</v>
      </c>
      <c r="E778" s="1" t="n">
        <v>46262</v>
      </c>
      <c r="F778" t="inlineStr">
        <is>
          <t>NORRBOTTENS LÄN</t>
        </is>
      </c>
      <c r="G778" t="inlineStr">
        <is>
          <t>BODEN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32678-2026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46240</v>
      </c>
      <c r="E779" s="1" t="n">
        <v>46262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28512-2026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46197</v>
      </c>
      <c r="E780" s="1" t="n">
        <v>46262</v>
      </c>
      <c r="F780" t="inlineStr">
        <is>
          <t>NORRBOTTENS LÄN</t>
        </is>
      </c>
      <c r="G780" t="inlineStr">
        <is>
          <t>BODEN</t>
        </is>
      </c>
      <c r="I780" t="n">
        <v>10.8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28496-2026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46197</v>
      </c>
      <c r="E781" s="1" t="n">
        <v>46262</v>
      </c>
      <c r="F781" t="inlineStr">
        <is>
          <t>NORRBOTTENS LÄN</t>
        </is>
      </c>
      <c r="G781" t="inlineStr">
        <is>
          <t>BODEN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17417-2023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45035</v>
      </c>
      <c r="E782" s="1" t="n">
        <v>46262</v>
      </c>
      <c r="F782" t="inlineStr">
        <is>
          <t>NORRBOTTENS LÄN</t>
        </is>
      </c>
      <c r="G782" t="inlineStr">
        <is>
          <t>BODEN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28615-2026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46262</v>
      </c>
      <c r="F783" t="inlineStr">
        <is>
          <t>NORRBOTTENS LÄN</t>
        </is>
      </c>
      <c r="G783" t="inlineStr">
        <is>
          <t>BODEN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28074-2024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45476</v>
      </c>
      <c r="E784" s="1" t="n">
        <v>46262</v>
      </c>
      <c r="F784" t="inlineStr">
        <is>
          <t>NORRBOTTENS LÄN</t>
        </is>
      </c>
      <c r="G784" t="inlineStr">
        <is>
          <t>BODEN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26964-2023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45093</v>
      </c>
      <c r="E785" s="1" t="n">
        <v>46262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54590-2022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44883</v>
      </c>
      <c r="E786" s="1" t="n">
        <v>46262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35115-2024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45529</v>
      </c>
      <c r="E787" s="1" t="n">
        <v>46262</v>
      </c>
      <c r="F787" t="inlineStr">
        <is>
          <t>NORRBOTTENS LÄN</t>
        </is>
      </c>
      <c r="G787" t="inlineStr">
        <is>
          <t>BODEN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30105-2023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45099</v>
      </c>
      <c r="E788" s="1" t="n">
        <v>46262</v>
      </c>
      <c r="F788" t="inlineStr">
        <is>
          <t>NORRBOTTENS LÄN</t>
        </is>
      </c>
      <c r="G788" t="inlineStr">
        <is>
          <t>BODEN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57604-2021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44484</v>
      </c>
      <c r="E789" s="1" t="n">
        <v>46262</v>
      </c>
      <c r="F789" t="inlineStr">
        <is>
          <t>NORRBOTTENS LÄN</t>
        </is>
      </c>
      <c r="G789" t="inlineStr">
        <is>
          <t>BODEN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29152-2026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46202</v>
      </c>
      <c r="E790" s="1" t="n">
        <v>46262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46202</v>
      </c>
      <c r="E791" s="1" t="n">
        <v>46262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29183-2026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46202</v>
      </c>
      <c r="E792" s="1" t="n">
        <v>46262</v>
      </c>
      <c r="F792" t="inlineStr">
        <is>
          <t>NORRBOTTENS LÄN</t>
        </is>
      </c>
      <c r="G792" t="inlineStr">
        <is>
          <t>BODEN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23706-2024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45454</v>
      </c>
      <c r="E793" s="1" t="n">
        <v>46262</v>
      </c>
      <c r="F793" t="inlineStr">
        <is>
          <t>NORRBOTTENS LÄN</t>
        </is>
      </c>
      <c r="G793" t="inlineStr">
        <is>
          <t>BODEN</t>
        </is>
      </c>
      <c r="I793" t="n">
        <v>10.9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8776-2022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44614</v>
      </c>
      <c r="E794" s="1" t="n">
        <v>46262</v>
      </c>
      <c r="F794" t="inlineStr">
        <is>
          <t>NORRBOTTENS LÄN</t>
        </is>
      </c>
      <c r="G794" t="inlineStr">
        <is>
          <t>BODEN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25387-2023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45079</v>
      </c>
      <c r="E795" s="1" t="n">
        <v>46262</v>
      </c>
      <c r="F795" t="inlineStr">
        <is>
          <t>NORRBOTTENS LÄN</t>
        </is>
      </c>
      <c r="G795" t="inlineStr">
        <is>
          <t>BODEN</t>
        </is>
      </c>
      <c r="I795" t="n">
        <v>6.7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29147-2026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46202</v>
      </c>
      <c r="E796" s="1" t="n">
        <v>46262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18428-2025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45762</v>
      </c>
      <c r="E797" s="1" t="n">
        <v>46262</v>
      </c>
      <c r="F797" t="inlineStr">
        <is>
          <t>NORRBOTTENS LÄN</t>
        </is>
      </c>
      <c r="G797" t="inlineStr">
        <is>
          <t>BODEN</t>
        </is>
      </c>
      <c r="I797" t="n">
        <v>5.8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62140-2024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46262</v>
      </c>
      <c r="F798" t="inlineStr">
        <is>
          <t>NORRBOTTENS LÄN</t>
        </is>
      </c>
      <c r="G798" t="inlineStr">
        <is>
          <t>BODEN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48129-2023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46262</v>
      </c>
      <c r="F799" t="inlineStr">
        <is>
          <t>NORRBOTTENS LÄN</t>
        </is>
      </c>
      <c r="G799" t="inlineStr">
        <is>
          <t>BODEN</t>
        </is>
      </c>
      <c r="I799" t="n">
        <v>7.1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54616-2023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45233</v>
      </c>
      <c r="E800" s="1" t="n">
        <v>46262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46203</v>
      </c>
      <c r="E801" s="1" t="n">
        <v>46262</v>
      </c>
      <c r="F801" t="inlineStr">
        <is>
          <t>NORRBOTTENS LÄN</t>
        </is>
      </c>
      <c r="G801" t="inlineStr">
        <is>
          <t>BODEN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29746-2026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46204</v>
      </c>
      <c r="E802" s="1" t="n">
        <v>46262</v>
      </c>
      <c r="F802" t="inlineStr">
        <is>
          <t>NORRBOTTENS LÄN</t>
        </is>
      </c>
      <c r="G802" t="inlineStr">
        <is>
          <t>BODEN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29568-2026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46204</v>
      </c>
      <c r="E803" s="1" t="n">
        <v>46262</v>
      </c>
      <c r="F803" t="inlineStr">
        <is>
          <t>NORRBOTTENS LÄN</t>
        </is>
      </c>
      <c r="G803" t="inlineStr">
        <is>
          <t>BODEN</t>
        </is>
      </c>
      <c r="I803" t="n">
        <v>12.2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46203</v>
      </c>
      <c r="E804" s="1" t="n">
        <v>46262</v>
      </c>
      <c r="F804" t="inlineStr">
        <is>
          <t>NORRBOTTENS LÄN</t>
        </is>
      </c>
      <c r="G804" t="inlineStr">
        <is>
          <t>BODEN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46246</v>
      </c>
      <c r="E805" s="1" t="n">
        <v>46262</v>
      </c>
      <c r="F805" t="inlineStr">
        <is>
          <t>NORRBOTTENS LÄN</t>
        </is>
      </c>
      <c r="G805" t="inlineStr">
        <is>
          <t>BODEN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12562-2024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45379</v>
      </c>
      <c r="E806" s="1" t="n">
        <v>46262</v>
      </c>
      <c r="F806" t="inlineStr">
        <is>
          <t>NORRBOTTENS LÄN</t>
        </is>
      </c>
      <c r="G806" t="inlineStr">
        <is>
          <t>BODEN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29759-2026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46262</v>
      </c>
      <c r="F807" t="inlineStr">
        <is>
          <t>NORRBOTTENS LÄN</t>
        </is>
      </c>
      <c r="G807" t="inlineStr">
        <is>
          <t>BODEN</t>
        </is>
      </c>
      <c r="I807" t="n">
        <v>38.7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46204</v>
      </c>
      <c r="E808" s="1" t="n">
        <v>46262</v>
      </c>
      <c r="F808" t="inlineStr">
        <is>
          <t>NORRBOTTENS LÄN</t>
        </is>
      </c>
      <c r="G808" t="inlineStr">
        <is>
          <t>BODEN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20260-2025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45773</v>
      </c>
      <c r="E809" s="1" t="n">
        <v>46262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11651-2023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44994</v>
      </c>
      <c r="E810" s="1" t="n">
        <v>46262</v>
      </c>
      <c r="F810" t="inlineStr">
        <is>
          <t>NORRBOTTENS LÄN</t>
        </is>
      </c>
      <c r="G810" t="inlineStr">
        <is>
          <t>BODEN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718-2022</t>
        </is>
      </c>
      <c r="B811" t="inlineStr">
        <is>
          <t>avverkningsanmälan</t>
        </is>
      </c>
      <c r="C811" t="inlineStr">
        <is>
          <t>Avverkning för att bevara och utveckla /försöksver</t>
        </is>
      </c>
      <c r="D811" s="1" t="n">
        <v>44568</v>
      </c>
      <c r="E811" s="1" t="n">
        <v>46262</v>
      </c>
      <c r="F811" t="inlineStr">
        <is>
          <t>NORRBOTTENS LÄN</t>
        </is>
      </c>
      <c r="G811" t="inlineStr">
        <is>
          <t>BODEN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43969-2024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45572</v>
      </c>
      <c r="E812" s="1" t="n">
        <v>46262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19048-2025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45764</v>
      </c>
      <c r="E813" s="1" t="n">
        <v>46262</v>
      </c>
      <c r="F813" t="inlineStr">
        <is>
          <t>NORRBOTTENS LÄN</t>
        </is>
      </c>
      <c r="G813" t="inlineStr">
        <is>
          <t>BODEN</t>
        </is>
      </c>
      <c r="I813" t="n">
        <v>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45764</v>
      </c>
      <c r="E814" s="1" t="n">
        <v>46262</v>
      </c>
      <c r="F814" t="inlineStr">
        <is>
          <t>NORRBOTTENS LÄN</t>
        </is>
      </c>
      <c r="G814" t="inlineStr">
        <is>
          <t>BODEN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33864-2026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46251</v>
      </c>
      <c r="E815" s="1" t="n">
        <v>46262</v>
      </c>
      <c r="F815" t="inlineStr">
        <is>
          <t>NORRBOTTENS LÄN</t>
        </is>
      </c>
      <c r="G815" t="inlineStr">
        <is>
          <t>BODEN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54718-2024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45618</v>
      </c>
      <c r="E816" s="1" t="n">
        <v>46262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28357-2023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45099</v>
      </c>
      <c r="E817" s="1" t="n">
        <v>46262</v>
      </c>
      <c r="F817" t="inlineStr">
        <is>
          <t>NORRBOTTENS LÄN</t>
        </is>
      </c>
      <c r="G817" t="inlineStr">
        <is>
          <t>BODEN</t>
        </is>
      </c>
      <c r="I817" t="n">
        <v>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30077-2026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46206</v>
      </c>
      <c r="E818" s="1" t="n">
        <v>46262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38219-2022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44812</v>
      </c>
      <c r="E819" s="1" t="n">
        <v>46262</v>
      </c>
      <c r="F819" t="inlineStr">
        <is>
          <t>NORRBOTTENS LÄN</t>
        </is>
      </c>
      <c r="G819" t="inlineStr">
        <is>
          <t>BODEN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33790-2026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46251</v>
      </c>
      <c r="E820" s="1" t="n">
        <v>46262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30025-2026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46206</v>
      </c>
      <c r="E821" s="1" t="n">
        <v>46262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5.2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40624-2022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44823</v>
      </c>
      <c r="E822" s="1" t="n">
        <v>46262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30332-2026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46208</v>
      </c>
      <c r="E823" s="1" t="n">
        <v>46262</v>
      </c>
      <c r="F823" t="inlineStr">
        <is>
          <t>NORRBOTTENS LÄN</t>
        </is>
      </c>
      <c r="G823" t="inlineStr">
        <is>
          <t>BODEN</t>
        </is>
      </c>
      <c r="I823" t="n">
        <v>9.800000000000001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46248</v>
      </c>
      <c r="E824" s="1" t="n">
        <v>46262</v>
      </c>
      <c r="F824" t="inlineStr">
        <is>
          <t>NORRBOTTENS LÄN</t>
        </is>
      </c>
      <c r="G824" t="inlineStr">
        <is>
          <t>BODEN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56457-2024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45625</v>
      </c>
      <c r="E825" s="1" t="n">
        <v>46262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30023-2026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46262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15.2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48107-2022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44856</v>
      </c>
      <c r="E827" s="1" t="n">
        <v>46262</v>
      </c>
      <c r="F827" t="inlineStr">
        <is>
          <t>NORRBOTTENS LÄN</t>
        </is>
      </c>
      <c r="G827" t="inlineStr">
        <is>
          <t>BODEN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30745-2026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46211</v>
      </c>
      <c r="E828" s="1" t="n">
        <v>46262</v>
      </c>
      <c r="F828" t="inlineStr">
        <is>
          <t>NORRBOTTENS LÄN</t>
        </is>
      </c>
      <c r="G828" t="inlineStr">
        <is>
          <t>BODEN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14743-2023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46262</v>
      </c>
      <c r="F829" t="inlineStr">
        <is>
          <t>NORRBOTTENS LÄN</t>
        </is>
      </c>
      <c r="G829" t="inlineStr">
        <is>
          <t>BODEN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3462-2022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44585</v>
      </c>
      <c r="E830" s="1" t="n">
        <v>46262</v>
      </c>
      <c r="F830" t="inlineStr">
        <is>
          <t>NORRBOTTENS LÄN</t>
        </is>
      </c>
      <c r="G830" t="inlineStr">
        <is>
          <t>BODEN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34022-2026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46252</v>
      </c>
      <c r="E831" s="1" t="n">
        <v>46262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19.5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30426-2026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46209</v>
      </c>
      <c r="E832" s="1" t="n">
        <v>46262</v>
      </c>
      <c r="F832" t="inlineStr">
        <is>
          <t>NORRBOTTENS LÄN</t>
        </is>
      </c>
      <c r="G832" t="inlineStr">
        <is>
          <t>BODEN</t>
        </is>
      </c>
      <c r="H832" t="inlineStr">
        <is>
          <t>Kommuner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30430-2026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46209</v>
      </c>
      <c r="E833" s="1" t="n">
        <v>46262</v>
      </c>
      <c r="F833" t="inlineStr">
        <is>
          <t>NORRBOTTENS LÄN</t>
        </is>
      </c>
      <c r="G833" t="inlineStr">
        <is>
          <t>BODEN</t>
        </is>
      </c>
      <c r="H833" t="inlineStr">
        <is>
          <t>Kommuner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49113-2023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45204</v>
      </c>
      <c r="E834" s="1" t="n">
        <v>46262</v>
      </c>
      <c r="F834" t="inlineStr">
        <is>
          <t>NORRBOTTENS LÄN</t>
        </is>
      </c>
      <c r="G834" t="inlineStr">
        <is>
          <t>BODEN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46253</v>
      </c>
      <c r="E835" s="1" t="n">
        <v>46262</v>
      </c>
      <c r="F835" t="inlineStr">
        <is>
          <t>NORRBOTTENS LÄN</t>
        </is>
      </c>
      <c r="G835" t="inlineStr">
        <is>
          <t>BODEN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4630-2025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45687</v>
      </c>
      <c r="E836" s="1" t="n">
        <v>46262</v>
      </c>
      <c r="F836" t="inlineStr">
        <is>
          <t>NORRBOTTENS LÄN</t>
        </is>
      </c>
      <c r="G836" t="inlineStr">
        <is>
          <t>BODEN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30432-2026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46209</v>
      </c>
      <c r="E837" s="1" t="n">
        <v>46262</v>
      </c>
      <c r="F837" t="inlineStr">
        <is>
          <t>NORRBOTTENS LÄN</t>
        </is>
      </c>
      <c r="G837" t="inlineStr">
        <is>
          <t>BODEN</t>
        </is>
      </c>
      <c r="H837" t="inlineStr">
        <is>
          <t>Kommuner</t>
        </is>
      </c>
      <c r="I837" t="n">
        <v>4.4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34333-2026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46254</v>
      </c>
      <c r="E838" s="1" t="n">
        <v>46262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18.5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1023-2023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44935</v>
      </c>
      <c r="E839" s="1" t="n">
        <v>46262</v>
      </c>
      <c r="F839" t="inlineStr">
        <is>
          <t>NORRBOTTENS LÄN</t>
        </is>
      </c>
      <c r="G839" t="inlineStr">
        <is>
          <t>BODEN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23232-2024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45453</v>
      </c>
      <c r="E840" s="1" t="n">
        <v>46262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45646</v>
      </c>
      <c r="E841" s="1" t="n">
        <v>46262</v>
      </c>
      <c r="F841" t="inlineStr">
        <is>
          <t>NORRBOTTENS LÄN</t>
        </is>
      </c>
      <c r="G841" t="inlineStr">
        <is>
          <t>BODEN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28758-2024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45478</v>
      </c>
      <c r="E842" s="1" t="n">
        <v>46262</v>
      </c>
      <c r="F842" t="inlineStr">
        <is>
          <t>NORRBOTTENS LÄN</t>
        </is>
      </c>
      <c r="G842" t="inlineStr">
        <is>
          <t>BODEN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34463-2026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46254</v>
      </c>
      <c r="E843" s="1" t="n">
        <v>46262</v>
      </c>
      <c r="F843" t="inlineStr">
        <is>
          <t>NORRBOTTENS LÄN</t>
        </is>
      </c>
      <c r="G843" t="inlineStr">
        <is>
          <t>BODEN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46254</v>
      </c>
      <c r="E844" s="1" t="n">
        <v>46262</v>
      </c>
      <c r="F844" t="inlineStr">
        <is>
          <t>NORRBOTTENS LÄN</t>
        </is>
      </c>
      <c r="G844" t="inlineStr">
        <is>
          <t>BODEN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13925-2024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45391</v>
      </c>
      <c r="E845" s="1" t="n">
        <v>46262</v>
      </c>
      <c r="F845" t="inlineStr">
        <is>
          <t>NORRBOTTENS LÄN</t>
        </is>
      </c>
      <c r="G845" t="inlineStr">
        <is>
          <t>BODEN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34517-2026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46255</v>
      </c>
      <c r="E846" s="1" t="n">
        <v>46262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21128-2025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45778</v>
      </c>
      <c r="E847" s="1" t="n">
        <v>46262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21349-2025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45782</v>
      </c>
      <c r="E848" s="1" t="n">
        <v>46262</v>
      </c>
      <c r="F848" t="inlineStr">
        <is>
          <t>NORRBOTTENS LÄN</t>
        </is>
      </c>
      <c r="G848" t="inlineStr">
        <is>
          <t>BODEN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34898-2026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46259</v>
      </c>
      <c r="E849" s="1" t="n">
        <v>46262</v>
      </c>
      <c r="F849" t="inlineStr">
        <is>
          <t>NORRBOTTENS LÄN</t>
        </is>
      </c>
      <c r="G849" t="inlineStr">
        <is>
          <t>BODEN</t>
        </is>
      </c>
      <c r="H849" t="inlineStr">
        <is>
          <t>Naturvårdsverket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34897-2026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46259</v>
      </c>
      <c r="E850" s="1" t="n">
        <v>46262</v>
      </c>
      <c r="F850" t="inlineStr">
        <is>
          <t>NORRBOTTENS LÄN</t>
        </is>
      </c>
      <c r="G850" t="inlineStr">
        <is>
          <t>BODEN</t>
        </is>
      </c>
      <c r="H850" t="inlineStr">
        <is>
          <t>Naturvårdsverket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35060-2026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46259</v>
      </c>
      <c r="E851" s="1" t="n">
        <v>46262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44.8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46262</v>
      </c>
      <c r="F852" t="inlineStr">
        <is>
          <t>NORRBOTTENS LÄN</t>
        </is>
      </c>
      <c r="G852" t="inlineStr">
        <is>
          <t>BODEN</t>
        </is>
      </c>
      <c r="H852" t="inlineStr">
        <is>
          <t>Naturvårdsverket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35418-2026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46262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35413-2026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46262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35407-2026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46262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46052-2025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46262</v>
      </c>
      <c r="F856" t="inlineStr">
        <is>
          <t>NORRBOTTENS LÄN</t>
        </is>
      </c>
      <c r="G856" t="inlineStr">
        <is>
          <t>BODEN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46029</v>
      </c>
      <c r="E857" s="1" t="n">
        <v>46262</v>
      </c>
      <c r="F857" t="inlineStr">
        <is>
          <t>NORRBOTTENS LÄN</t>
        </is>
      </c>
      <c r="G857" t="inlineStr">
        <is>
          <t>BODEN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35381-2026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46262</v>
      </c>
      <c r="F858" t="inlineStr">
        <is>
          <t>NORRBOTTENS LÄN</t>
        </is>
      </c>
      <c r="G858" t="inlineStr">
        <is>
          <t>BODEN</t>
        </is>
      </c>
      <c r="I858" t="n">
        <v>10.9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35372-2026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46261</v>
      </c>
      <c r="E859" s="1" t="n">
        <v>46262</v>
      </c>
      <c r="F859" t="inlineStr">
        <is>
          <t>NORRBOTTENS LÄN</t>
        </is>
      </c>
      <c r="G859" t="inlineStr">
        <is>
          <t>BODEN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46261</v>
      </c>
      <c r="E860" s="1" t="n">
        <v>46262</v>
      </c>
      <c r="F860" t="inlineStr">
        <is>
          <t>NORRBOTTENS LÄN</t>
        </is>
      </c>
      <c r="G860" t="inlineStr">
        <is>
          <t>BODEN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31226-2026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46217</v>
      </c>
      <c r="E861" s="1" t="n">
        <v>46262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40117-2025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45894</v>
      </c>
      <c r="E862" s="1" t="n">
        <v>46262</v>
      </c>
      <c r="F862" t="inlineStr">
        <is>
          <t>NORRBOTTENS LÄN</t>
        </is>
      </c>
      <c r="G862" t="inlineStr">
        <is>
          <t>BODEN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35410-2026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46262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35295-2026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46262</v>
      </c>
      <c r="F864" t="inlineStr">
        <is>
          <t>NORRBOTTENS LÄN</t>
        </is>
      </c>
      <c r="G864" t="inlineStr">
        <is>
          <t>BODEN</t>
        </is>
      </c>
      <c r="I864" t="n">
        <v>5.3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  <c r="Z864">
        <f>HYPERLINK("https://klasma.github.io/Logging_2582/knärot/A 35295-2026 karta knärot.png", "A 35295-2026")</f>
        <v/>
      </c>
      <c r="AA864">
        <f>HYPERLINK("https://klasma.github.io/Logging_2582/klagomål/A 35295-2026 FSC-klagomål.docx", "A 35295-2026")</f>
        <v/>
      </c>
      <c r="AB864">
        <f>HYPERLINK("https://klasma.github.io/Logging_2582/klagomålsmail/A 35295-2026 FSC-klagomål mail.docx", "A 35295-2026")</f>
        <v/>
      </c>
      <c r="AC864">
        <f>HYPERLINK("https://klasma.github.io/Logging_2582/tillsyn/A 35295-2026 tillsynsbegäran.docx", "A 35295-2026")</f>
        <v/>
      </c>
      <c r="AD864">
        <f>HYPERLINK("https://klasma.github.io/Logging_2582/tillsynsmail/A 35295-2026 tillsynsbegäran mail.docx", "A 35295-2026")</f>
        <v/>
      </c>
    </row>
    <row r="865" ht="15" customHeight="1">
      <c r="A865" t="inlineStr">
        <is>
          <t>A 31209-2026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46217</v>
      </c>
      <c r="E865" s="1" t="n">
        <v>46262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8.800000000000001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31211-2026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46217</v>
      </c>
      <c r="E866" s="1" t="n">
        <v>46262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35415-2026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46262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31217-2026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46217</v>
      </c>
      <c r="E868" s="1" t="n">
        <v>46262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885-2024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45376</v>
      </c>
      <c r="E869" s="1" t="n">
        <v>46262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1063-2023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45013</v>
      </c>
      <c r="E870" s="1" t="n">
        <v>46262</v>
      </c>
      <c r="F870" t="inlineStr">
        <is>
          <t>NORRBOTTENS LÄN</t>
        </is>
      </c>
      <c r="G870" t="inlineStr">
        <is>
          <t>BODEN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883-2024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45376</v>
      </c>
      <c r="E871" s="1" t="n">
        <v>46262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52-2025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45667</v>
      </c>
      <c r="E872" s="1" t="n">
        <v>46262</v>
      </c>
      <c r="F872" t="inlineStr">
        <is>
          <t>NORRBOTTENS LÄN</t>
        </is>
      </c>
      <c r="G872" t="inlineStr">
        <is>
          <t>BODEN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190-2023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44945</v>
      </c>
      <c r="E873" s="1" t="n">
        <v>46262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977-2025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45743</v>
      </c>
      <c r="E874" s="1" t="n">
        <v>46262</v>
      </c>
      <c r="F874" t="inlineStr">
        <is>
          <t>NORRBOTTENS LÄN</t>
        </is>
      </c>
      <c r="G874" t="inlineStr">
        <is>
          <t>BODEN</t>
        </is>
      </c>
      <c r="I874" t="n">
        <v>11.1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978-2025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45743</v>
      </c>
      <c r="E875" s="1" t="n">
        <v>46262</v>
      </c>
      <c r="F875" t="inlineStr">
        <is>
          <t>NORRBOTTENS LÄN</t>
        </is>
      </c>
      <c r="G875" t="inlineStr">
        <is>
          <t>BODEN</t>
        </is>
      </c>
      <c r="I875" t="n">
        <v>19.5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1498-2025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45789</v>
      </c>
      <c r="E876" s="1" t="n">
        <v>46262</v>
      </c>
      <c r="F876" t="inlineStr">
        <is>
          <t>NORRBOTTENS LÄN</t>
        </is>
      </c>
      <c r="G876" t="inlineStr">
        <is>
          <t>BODEN</t>
        </is>
      </c>
      <c r="H876" t="inlineStr">
        <is>
          <t>Övriga Aktiebolag</t>
        </is>
      </c>
      <c r="I876" t="n">
        <v>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1572-2025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45792</v>
      </c>
      <c r="E877" s="1" t="n">
        <v>46262</v>
      </c>
      <c r="F877" t="inlineStr">
        <is>
          <t>NORRBOTTENS LÄN</t>
        </is>
      </c>
      <c r="G877" t="inlineStr">
        <is>
          <t>BODEN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1631-2025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46262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1633-2025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45799</v>
      </c>
      <c r="E879" s="1" t="n">
        <v>46262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1632-2025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45799</v>
      </c>
      <c r="E880" s="1" t="n">
        <v>46262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1734-2025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45810</v>
      </c>
      <c r="E881" s="1" t="n">
        <v>46262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1811-2025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45818</v>
      </c>
      <c r="E882" s="1" t="n">
        <v>46262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2072-2025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45840</v>
      </c>
      <c r="E883" s="1" t="n">
        <v>46262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3580-2025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46018</v>
      </c>
      <c r="E884" s="1" t="n">
        <v>46262</v>
      </c>
      <c r="F884" t="inlineStr">
        <is>
          <t>NORRBOTTENS LÄN</t>
        </is>
      </c>
      <c r="G884" t="inlineStr">
        <is>
          <t>BODEN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46262</v>
      </c>
      <c r="F885" t="inlineStr">
        <is>
          <t>NORRBOTTENS LÄN</t>
        </is>
      </c>
      <c r="G885" t="inlineStr">
        <is>
          <t>BODEN</t>
        </is>
      </c>
      <c r="I885" t="n">
        <v>57.4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1261-2026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46147</v>
      </c>
      <c r="E886" s="1" t="n">
        <v>46262</v>
      </c>
      <c r="F886" t="inlineStr">
        <is>
          <t>NORRBOTTENS LÄN</t>
        </is>
      </c>
      <c r="G886" t="inlineStr">
        <is>
          <t>BODEN</t>
        </is>
      </c>
      <c r="I886" t="n">
        <v>16.9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1262-2026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46147</v>
      </c>
      <c r="E887" s="1" t="n">
        <v>46262</v>
      </c>
      <c r="F887" t="inlineStr">
        <is>
          <t>NORRBOTTENS LÄN</t>
        </is>
      </c>
      <c r="G887" t="inlineStr">
        <is>
          <t>BODEN</t>
        </is>
      </c>
      <c r="H887" t="inlineStr">
        <is>
          <t>Kommuner</t>
        </is>
      </c>
      <c r="I887" t="n">
        <v>16.2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1356-2026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46152</v>
      </c>
      <c r="E888" s="1" t="n">
        <v>46262</v>
      </c>
      <c r="F888" t="inlineStr">
        <is>
          <t>NORRBOTTENS LÄN</t>
        </is>
      </c>
      <c r="G888" t="inlineStr">
        <is>
          <t>BODEN</t>
        </is>
      </c>
      <c r="I888" t="n">
        <v>124.7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1357-2026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46152</v>
      </c>
      <c r="E889" s="1" t="n">
        <v>46262</v>
      </c>
      <c r="F889" t="inlineStr">
        <is>
          <t>NORRBOTTENS LÄN</t>
        </is>
      </c>
      <c r="G889" t="inlineStr">
        <is>
          <t>BODEN</t>
        </is>
      </c>
      <c r="I889" t="n">
        <v>38.2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>
      <c r="A890" t="inlineStr">
        <is>
          <t>S 1297-2026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46148</v>
      </c>
      <c r="E890" s="1" t="n">
        <v>46262</v>
      </c>
      <c r="F890" t="inlineStr">
        <is>
          <t>NORRBOTTENS LÄN</t>
        </is>
      </c>
      <c r="G890" t="inlineStr">
        <is>
          <t>BODEN</t>
        </is>
      </c>
      <c r="I890" t="n">
        <v>20.5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2026-08-28T01:48:17Z</dcterms:created>
  <dcterms:modified xmlns:dcterms="http://purl.org/dc/terms/" xmlns:xsi="http://www.w3.org/2001/XMLSchema-instance" xsi:type="dcterms:W3CDTF">2026-08-28T01:48:18Z</dcterms:modified>
</cp:coreProperties>
</file>