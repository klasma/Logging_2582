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46263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46263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46263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46263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46263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46263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46263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46263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46263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46263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46263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46263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46263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46263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46263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46263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46263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31030-2025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46263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11.1</v>
      </c>
      <c r="J34" t="n">
        <v>3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9</v>
      </c>
      <c r="U34" t="n">
        <v>9</v>
      </c>
      <c r="V34" s="2" t="inlineStr">
        <is>
          <t>Knärot
Lunglav
Spindelblomster
Stuplav
Fläcknycklar</t>
        </is>
      </c>
      <c r="W34">
        <f>HYPERLINK("https://klasma.github.io/Logging_2582/artfynd/A 31030-2025 artfynd.xlsx", "A 31030-2025")</f>
        <v/>
      </c>
      <c r="X34">
        <f>HYPERLINK("https://klasma.github.io/Logging_2582/kartor/A 31030-2025 karta.png", "A 31030-2025")</f>
        <v/>
      </c>
      <c r="Y34">
        <f>HYPERLINK("https://klasma.github.io/Logging_2582/kartor_geotiff/A 31030-2025 georefererad karta.tif", "A 31030-2025")</f>
        <v/>
      </c>
      <c r="Z34">
        <f>HYPERLINK("https://klasma.github.io/Logging_2582/knärot/A 31030-2025 karta knärot.png", "A 31030-2025")</f>
        <v/>
      </c>
      <c r="AA34">
        <f>HYPERLINK("https://klasma.github.io/Logging_2582/klagomål/A 31030-2025 FSC-klagomål.docx", "A 31030-2025")</f>
        <v/>
      </c>
      <c r="AB34">
        <f>HYPERLINK("https://klasma.github.io/Logging_2582/klagomålsmail/A 31030-2025 FSC-klagomål mail.docx", "A 31030-2025")</f>
        <v/>
      </c>
      <c r="AC34">
        <f>HYPERLINK("https://klasma.github.io/Logging_2582/tillsyn/A 31030-2025 tillsynsbegäran.docx", "A 31030-2025")</f>
        <v/>
      </c>
      <c r="AD34">
        <f>HYPERLINK("https://klasma.github.io/Logging_2582/tillsynsmail/A 31030-2025 tillsynsbegäran mail.docx", "A 31030-2025")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46263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46263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46263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46263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46263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46263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46263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46263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46263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51957-2025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46263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7</v>
      </c>
      <c r="U49" t="n">
        <v>1</v>
      </c>
      <c r="V49" s="2" t="inlineStr">
        <is>
          <t>Brunfläckig pärlemorfjäril
Garnlav
Harticka</t>
        </is>
      </c>
      <c r="W49">
        <f>HYPERLINK("https://klasma.github.io/Logging_2582/artfynd/A 51957-2025 artfynd.xlsx", "A 51957-2025")</f>
        <v/>
      </c>
      <c r="X49">
        <f>HYPERLINK("https://klasma.github.io/Logging_2582/kartor/A 51957-2025 karta.png", "A 51957-2025")</f>
        <v/>
      </c>
      <c r="Y49">
        <f>HYPERLINK("https://klasma.github.io/Logging_2582/kartor_geotiff/A 51957-2025 georefererad karta.tif", "A 51957-2025")</f>
        <v/>
      </c>
      <c r="AA49">
        <f>HYPERLINK("https://klasma.github.io/Logging_2582/klagomål/A 51957-2025 FSC-klagomål.docx", "A 51957-2025")</f>
        <v/>
      </c>
      <c r="AB49">
        <f>HYPERLINK("https://klasma.github.io/Logging_2582/klagomålsmail/A 51957-2025 FSC-klagomål mail.docx", "A 51957-2025")</f>
        <v/>
      </c>
      <c r="AC49">
        <f>HYPERLINK("https://klasma.github.io/Logging_2582/tillsyn/A 51957-2025 tillsynsbegäran.docx", "A 51957-2025")</f>
        <v/>
      </c>
      <c r="AD49">
        <f>HYPERLINK("https://klasma.github.io/Logging_2582/tillsynsmail/A 51957-2025 tillsynsbegäran mail.docx", "A 51957-2025")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46263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46263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46263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46263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46263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46263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46263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46263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46263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23323-2025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46263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21.8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Grönpyrola
Fläcknycklar
Nattviol</t>
        </is>
      </c>
      <c r="W59">
        <f>HYPERLINK("https://klasma.github.io/Logging_2582/artfynd/A 23323-2025 artfynd.xlsx", "A 23323-2025")</f>
        <v/>
      </c>
      <c r="X59">
        <f>HYPERLINK("https://klasma.github.io/Logging_2582/kartor/A 23323-2025 karta.png", "A 23323-2025")</f>
        <v/>
      </c>
      <c r="Y59">
        <f>HYPERLINK("https://klasma.github.io/Logging_2582/kartor_geotiff/A 23323-2025 georefererad karta.tif", "A 23323-2025")</f>
        <v/>
      </c>
      <c r="AA59">
        <f>HYPERLINK("https://klasma.github.io/Logging_2582/klagomål/A 23323-2025 FSC-klagomål.docx", "A 23323-2025")</f>
        <v/>
      </c>
      <c r="AB59">
        <f>HYPERLINK("https://klasma.github.io/Logging_2582/klagomålsmail/A 23323-2025 FSC-klagomål mail.docx", "A 23323-2025")</f>
        <v/>
      </c>
      <c r="AC59">
        <f>HYPERLINK("https://klasma.github.io/Logging_2582/tillsyn/A 23323-2025 tillsynsbegäran.docx", "A 23323-2025")</f>
        <v/>
      </c>
      <c r="AD59">
        <f>HYPERLINK("https://klasma.github.io/Logging_2582/tillsynsmail/A 23323-2025 tillsynsbegäran mail.docx", "A 23323-2025")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46263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46263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46263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46263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46263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58196-2021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46263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Gammelgransskål
Lunglav</t>
        </is>
      </c>
      <c r="W66">
        <f>HYPERLINK("https://klasma.github.io/Logging_2582/artfynd/A 58196-2021 artfynd.xlsx", "A 58196-2021")</f>
        <v/>
      </c>
      <c r="X66">
        <f>HYPERLINK("https://klasma.github.io/Logging_2582/kartor/A 58196-2021 karta.png", "A 58196-2021")</f>
        <v/>
      </c>
      <c r="Y66">
        <f>HYPERLINK("https://klasma.github.io/Logging_2582/kartor_geotiff/A 58196-2021 georefererad karta.tif", "A 58196-2021")</f>
        <v/>
      </c>
      <c r="AA66">
        <f>HYPERLINK("https://klasma.github.io/Logging_2582/klagomål/A 58196-2021 FSC-klagomål.docx", "A 58196-2021")</f>
        <v/>
      </c>
      <c r="AB66">
        <f>HYPERLINK("https://klasma.github.io/Logging_2582/klagomålsmail/A 58196-2021 FSC-klagomål mail.docx", "A 58196-2021")</f>
        <v/>
      </c>
      <c r="AC66">
        <f>HYPERLINK("https://klasma.github.io/Logging_2582/tillsyn/A 58196-2021 tillsynsbegäran.docx", "A 58196-2021")</f>
        <v/>
      </c>
      <c r="AD66">
        <f>HYPERLINK("https://klasma.github.io/Logging_2582/tillsynsmail/A 58196-2021 tillsynsbegäran mail.docx", "A 58196-2021")</f>
        <v/>
      </c>
    </row>
    <row r="67" ht="15" customHeight="1">
      <c r="A67" t="inlineStr">
        <is>
          <t>A 13659-2022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44648</v>
      </c>
      <c r="E67" s="1" t="n">
        <v>46263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7.3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Bollvitmossa
Ögonpyrola</t>
        </is>
      </c>
      <c r="W67">
        <f>HYPERLINK("https://klasma.github.io/Logging_2582/artfynd/A 13659-2022 artfynd.xlsx", "A 13659-2022")</f>
        <v/>
      </c>
      <c r="X67">
        <f>HYPERLINK("https://klasma.github.io/Logging_2582/kartor/A 13659-2022 karta.png", "A 13659-2022")</f>
        <v/>
      </c>
      <c r="Y67">
        <f>HYPERLINK("https://klasma.github.io/Logging_2582/kartor_geotiff/A 13659-2022 georefererad karta.tif", "A 13659-2022")</f>
        <v/>
      </c>
      <c r="AA67">
        <f>HYPERLINK("https://klasma.github.io/Logging_2582/klagomål/A 13659-2022 FSC-klagomål.docx", "A 13659-2022")</f>
        <v/>
      </c>
      <c r="AB67">
        <f>HYPERLINK("https://klasma.github.io/Logging_2582/klagomålsmail/A 13659-2022 FSC-klagomål mail.docx", "A 13659-2022")</f>
        <v/>
      </c>
      <c r="AC67">
        <f>HYPERLINK("https://klasma.github.io/Logging_2582/tillsyn/A 13659-2022 tillsynsbegäran.docx", "A 13659-2022")</f>
        <v/>
      </c>
      <c r="AD67">
        <f>HYPERLINK("https://klasma.github.io/Logging_2582/tillsynsmail/A 13659-2022 tillsynsbegäran mail.docx", "A 13659-2022")</f>
        <v/>
      </c>
    </row>
    <row r="68" ht="15" customHeight="1">
      <c r="A68" t="inlineStr">
        <is>
          <t>A 36629-2022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44804</v>
      </c>
      <c r="E68" s="1" t="n">
        <v>46263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10</v>
      </c>
      <c r="U68" t="n">
        <v>10</v>
      </c>
      <c r="V68" s="2" t="inlineStr">
        <is>
          <t>Dropptaggsvamp
Skarp dropptaggsvamp</t>
        </is>
      </c>
      <c r="W68">
        <f>HYPERLINK("https://klasma.github.io/Logging_2582/artfynd/A 36629-2022 artfynd.xlsx", "A 36629-2022")</f>
        <v/>
      </c>
      <c r="X68">
        <f>HYPERLINK("https://klasma.github.io/Logging_2582/kartor/A 36629-2022 karta.png", "A 36629-2022")</f>
        <v/>
      </c>
      <c r="Y68">
        <f>HYPERLINK("https://klasma.github.io/Logging_2582/kartor_geotiff/A 36629-2022 georefererad karta.tif", "A 36629-2022")</f>
        <v/>
      </c>
      <c r="AA68">
        <f>HYPERLINK("https://klasma.github.io/Logging_2582/klagomål/A 36629-2022 FSC-klagomål.docx", "A 36629-2022")</f>
        <v/>
      </c>
      <c r="AB68">
        <f>HYPERLINK("https://klasma.github.io/Logging_2582/klagomålsmail/A 36629-2022 FSC-klagomål mail.docx", "A 36629-2022")</f>
        <v/>
      </c>
      <c r="AC68">
        <f>HYPERLINK("https://klasma.github.io/Logging_2582/tillsyn/A 36629-2022 tillsynsbegäran.docx", "A 36629-2022")</f>
        <v/>
      </c>
      <c r="AD68">
        <f>HYPERLINK("https://klasma.github.io/Logging_2582/tillsynsmail/A 36629-2022 tillsynsbegäran mail.docx", "A 36629-2022")</f>
        <v/>
      </c>
    </row>
    <row r="69" ht="15" customHeight="1">
      <c r="A69" t="inlineStr">
        <is>
          <t>A 35037-2022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44796</v>
      </c>
      <c r="E69" s="1" t="n">
        <v>46263</v>
      </c>
      <c r="F69" t="inlineStr">
        <is>
          <t>NORRBOTTENS LÄN</t>
        </is>
      </c>
      <c r="G69" t="inlineStr">
        <is>
          <t>BODEN</t>
        </is>
      </c>
      <c r="I69" t="n">
        <v>0.6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Rödvingetrast
Revlummer</t>
        </is>
      </c>
      <c r="W69">
        <f>HYPERLINK("https://klasma.github.io/Logging_2582/artfynd/A 35037-2022 artfynd.xlsx", "A 35037-2022")</f>
        <v/>
      </c>
      <c r="X69">
        <f>HYPERLINK("https://klasma.github.io/Logging_2582/kartor/A 35037-2022 karta.png", "A 35037-2022")</f>
        <v/>
      </c>
      <c r="Y69">
        <f>HYPERLINK("https://klasma.github.io/Logging_2582/kartor_geotiff/A 35037-2022 georefererad karta.tif", "A 35037-2022")</f>
        <v/>
      </c>
      <c r="AA69">
        <f>HYPERLINK("https://klasma.github.io/Logging_2582/klagomål/A 35037-2022 FSC-klagomål.docx", "A 35037-2022")</f>
        <v/>
      </c>
      <c r="AB69">
        <f>HYPERLINK("https://klasma.github.io/Logging_2582/klagomålsmail/A 35037-2022 FSC-klagomål mail.docx", "A 35037-2022")</f>
        <v/>
      </c>
      <c r="AC69">
        <f>HYPERLINK("https://klasma.github.io/Logging_2582/tillsyn/A 35037-2022 tillsynsbegäran.docx", "A 35037-2022")</f>
        <v/>
      </c>
      <c r="AD69">
        <f>HYPERLINK("https://klasma.github.io/Logging_2582/tillsynsmail/A 35037-2022 tillsynsbegäran mail.docx", "A 35037-2022")</f>
        <v/>
      </c>
      <c r="AE69">
        <f>HYPERLINK("https://klasma.github.io/Logging_2582/fåglar/A 35037-2022 prioriterade fågelarter.docx", "A 35037-2022")</f>
        <v/>
      </c>
    </row>
    <row r="70" ht="15" customHeight="1">
      <c r="A70" t="inlineStr">
        <is>
          <t>A 26346-2022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46263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5.6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Blå taggsvamp
Ullticka</t>
        </is>
      </c>
      <c r="W70">
        <f>HYPERLINK("https://klasma.github.io/Logging_2582/artfynd/A 26346-2022 artfynd.xlsx", "A 26346-2022")</f>
        <v/>
      </c>
      <c r="X70">
        <f>HYPERLINK("https://klasma.github.io/Logging_2582/kartor/A 26346-2022 karta.png", "A 26346-2022")</f>
        <v/>
      </c>
      <c r="Y70">
        <f>HYPERLINK("https://klasma.github.io/Logging_2582/kartor_geotiff/A 26346-2022 georefererad karta.tif", "A 26346-2022")</f>
        <v/>
      </c>
      <c r="AA70">
        <f>HYPERLINK("https://klasma.github.io/Logging_2582/klagomål/A 26346-2022 FSC-klagomål.docx", "A 26346-2022")</f>
        <v/>
      </c>
      <c r="AB70">
        <f>HYPERLINK("https://klasma.github.io/Logging_2582/klagomålsmail/A 26346-2022 FSC-klagomål mail.docx", "A 26346-2022")</f>
        <v/>
      </c>
      <c r="AC70">
        <f>HYPERLINK("https://klasma.github.io/Logging_2582/tillsyn/A 26346-2022 tillsynsbegäran.docx", "A 26346-2022")</f>
        <v/>
      </c>
      <c r="AD70">
        <f>HYPERLINK("https://klasma.github.io/Logging_2582/tillsynsmail/A 26346-2022 tillsynsbegäran mail.docx", "A 26346-2022")</f>
        <v/>
      </c>
    </row>
    <row r="71" ht="15" customHeight="1">
      <c r="A71" t="inlineStr">
        <is>
          <t>A 9306-2025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45714</v>
      </c>
      <c r="E71" s="1" t="n">
        <v>46263</v>
      </c>
      <c r="F71" t="inlineStr">
        <is>
          <t>NORRBOTTENS LÄN</t>
        </is>
      </c>
      <c r="G71" t="inlineStr">
        <is>
          <t>BODEN</t>
        </is>
      </c>
      <c r="H71" t="inlineStr">
        <is>
          <t>SCA</t>
        </is>
      </c>
      <c r="I71" t="n">
        <v>11.7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Lunglav
Rynkskinn</t>
        </is>
      </c>
      <c r="W71">
        <f>HYPERLINK("https://klasma.github.io/Logging_2582/artfynd/A 9306-2025 artfynd.xlsx", "A 9306-2025")</f>
        <v/>
      </c>
      <c r="X71">
        <f>HYPERLINK("https://klasma.github.io/Logging_2582/kartor/A 9306-2025 karta.png", "A 9306-2025")</f>
        <v/>
      </c>
      <c r="Y71">
        <f>HYPERLINK("https://klasma.github.io/Logging_2582/kartor_geotiff/A 9306-2025 georefererad karta.tif", "A 9306-2025")</f>
        <v/>
      </c>
      <c r="AA71">
        <f>HYPERLINK("https://klasma.github.io/Logging_2582/klagomål/A 9306-2025 FSC-klagomål.docx", "A 9306-2025")</f>
        <v/>
      </c>
      <c r="AB71">
        <f>HYPERLINK("https://klasma.github.io/Logging_2582/klagomålsmail/A 9306-2025 FSC-klagomål mail.docx", "A 9306-2025")</f>
        <v/>
      </c>
      <c r="AC71">
        <f>HYPERLINK("https://klasma.github.io/Logging_2582/tillsyn/A 9306-2025 tillsynsbegäran.docx", "A 9306-2025")</f>
        <v/>
      </c>
      <c r="AD71">
        <f>HYPERLINK("https://klasma.github.io/Logging_2582/tillsynsmail/A 9306-2025 tillsynsbegäran mail.docx", "A 9306-2025")</f>
        <v/>
      </c>
    </row>
    <row r="72" ht="15" customHeight="1">
      <c r="A72" t="inlineStr">
        <is>
          <t>A 1507-2022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46263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15.4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Talltita
Gråspett</t>
        </is>
      </c>
      <c r="W72">
        <f>HYPERLINK("https://klasma.github.io/Logging_2582/artfynd/A 1507-2022 artfynd.xlsx", "A 1507-2022")</f>
        <v/>
      </c>
      <c r="X72">
        <f>HYPERLINK("https://klasma.github.io/Logging_2582/kartor/A 1507-2022 karta.png", "A 1507-2022")</f>
        <v/>
      </c>
      <c r="Y72">
        <f>HYPERLINK("https://klasma.github.io/Logging_2582/kartor_geotiff/A 1507-2022 georefererad karta.tif", "A 1507-2022")</f>
        <v/>
      </c>
      <c r="AA72">
        <f>HYPERLINK("https://klasma.github.io/Logging_2582/klagomål/A 1507-2022 FSC-klagomål.docx", "A 1507-2022")</f>
        <v/>
      </c>
      <c r="AB72">
        <f>HYPERLINK("https://klasma.github.io/Logging_2582/klagomålsmail/A 1507-2022 FSC-klagomål mail.docx", "A 1507-2022")</f>
        <v/>
      </c>
      <c r="AC72">
        <f>HYPERLINK("https://klasma.github.io/Logging_2582/tillsyn/A 1507-2022 tillsynsbegäran.docx", "A 1507-2022")</f>
        <v/>
      </c>
      <c r="AD72">
        <f>HYPERLINK("https://klasma.github.io/Logging_2582/tillsynsmail/A 1507-2022 tillsynsbegäran mail.docx", "A 1507-2022")</f>
        <v/>
      </c>
      <c r="AE72">
        <f>HYPERLINK("https://klasma.github.io/Logging_2582/fåglar/A 1507-2022 prioriterade fågelarter.docx", "A 1507-2022")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46263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46263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46263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46263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28867-2025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46263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8.199999999999999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12</v>
      </c>
      <c r="U77" t="n">
        <v>12</v>
      </c>
      <c r="V77" s="2" t="inlineStr">
        <is>
          <t>Knärot
Fläcknycklar</t>
        </is>
      </c>
      <c r="W77">
        <f>HYPERLINK("https://klasma.github.io/Logging_2582/artfynd/A 28867-2025 artfynd.xlsx", "A 28867-2025")</f>
        <v/>
      </c>
      <c r="X77">
        <f>HYPERLINK("https://klasma.github.io/Logging_2582/kartor/A 28867-2025 karta.png", "A 28867-2025")</f>
        <v/>
      </c>
      <c r="Y77">
        <f>HYPERLINK("https://klasma.github.io/Logging_2582/kartor_geotiff/A 28867-2025 georefererad karta.tif", "A 28867-2025")</f>
        <v/>
      </c>
      <c r="Z77">
        <f>HYPERLINK("https://klasma.github.io/Logging_2582/knärot/A 28867-2025 karta knärot.png", "A 28867-2025")</f>
        <v/>
      </c>
      <c r="AA77">
        <f>HYPERLINK("https://klasma.github.io/Logging_2582/klagomål/A 28867-2025 FSC-klagomål.docx", "A 28867-2025")</f>
        <v/>
      </c>
      <c r="AB77">
        <f>HYPERLINK("https://klasma.github.io/Logging_2582/klagomålsmail/A 28867-2025 FSC-klagomål mail.docx", "A 28867-2025")</f>
        <v/>
      </c>
      <c r="AC77">
        <f>HYPERLINK("https://klasma.github.io/Logging_2582/tillsyn/A 28867-2025 tillsynsbegäran.docx", "A 28867-2025")</f>
        <v/>
      </c>
      <c r="AD77">
        <f>HYPERLINK("https://klasma.github.io/Logging_2582/tillsynsmail/A 28867-2025 tillsynsbegäran mail.docx", "A 28867-2025")</f>
        <v/>
      </c>
    </row>
    <row r="78" ht="15" customHeight="1">
      <c r="A78" t="inlineStr">
        <is>
          <t>A 50100-2025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46263</v>
      </c>
      <c r="F78" t="inlineStr">
        <is>
          <t>NORRBOTTENS LÄN</t>
        </is>
      </c>
      <c r="G78" t="inlineStr">
        <is>
          <t>BODEN</t>
        </is>
      </c>
      <c r="I78" t="n">
        <v>6.5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Mörk kolflarnlav
Fläcknycklar</t>
        </is>
      </c>
      <c r="W78">
        <f>HYPERLINK("https://klasma.github.io/Logging_2582/artfynd/A 50100-2025 artfynd.xlsx", "A 50100-2025")</f>
        <v/>
      </c>
      <c r="X78">
        <f>HYPERLINK("https://klasma.github.io/Logging_2582/kartor/A 50100-2025 karta.png", "A 50100-2025")</f>
        <v/>
      </c>
      <c r="Y78">
        <f>HYPERLINK("https://klasma.github.io/Logging_2582/kartor_geotiff/A 50100-2025 georefererad karta.tif", "A 50100-2025")</f>
        <v/>
      </c>
      <c r="AA78">
        <f>HYPERLINK("https://klasma.github.io/Logging_2582/klagomål/A 50100-2025 FSC-klagomål.docx", "A 50100-2025")</f>
        <v/>
      </c>
      <c r="AB78">
        <f>HYPERLINK("https://klasma.github.io/Logging_2582/klagomålsmail/A 50100-2025 FSC-klagomål mail.docx", "A 50100-2025")</f>
        <v/>
      </c>
      <c r="AC78">
        <f>HYPERLINK("https://klasma.github.io/Logging_2582/tillsyn/A 50100-2025 tillsynsbegäran.docx", "A 50100-2025")</f>
        <v/>
      </c>
      <c r="AD78">
        <f>HYPERLINK("https://klasma.github.io/Logging_2582/tillsynsmail/A 50100-2025 tillsynsbegäran mail.docx", "A 50100-2025")</f>
        <v/>
      </c>
    </row>
    <row r="79" ht="15" customHeight="1">
      <c r="A79" t="inlineStr">
        <is>
          <t>A 6895-2025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45701</v>
      </c>
      <c r="E79" s="1" t="n">
        <v>46263</v>
      </c>
      <c r="F79" t="inlineStr">
        <is>
          <t>NORRBOTTENS LÄN</t>
        </is>
      </c>
      <c r="G79" t="inlineStr">
        <is>
          <t>BODEN</t>
        </is>
      </c>
      <c r="I79" t="n">
        <v>1.5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Kolflarnlav
Plattlummer</t>
        </is>
      </c>
      <c r="W79">
        <f>HYPERLINK("https://klasma.github.io/Logging_2582/artfynd/A 6895-2025 artfynd.xlsx", "A 6895-2025")</f>
        <v/>
      </c>
      <c r="X79">
        <f>HYPERLINK("https://klasma.github.io/Logging_2582/kartor/A 6895-2025 karta.png", "A 6895-2025")</f>
        <v/>
      </c>
      <c r="Y79">
        <f>HYPERLINK("https://klasma.github.io/Logging_2582/kartor_geotiff/A 6895-2025 georefererad karta.tif", "A 6895-2025")</f>
        <v/>
      </c>
      <c r="AA79">
        <f>HYPERLINK("https://klasma.github.io/Logging_2582/klagomål/A 6895-2025 FSC-klagomål.docx", "A 6895-2025")</f>
        <v/>
      </c>
      <c r="AB79">
        <f>HYPERLINK("https://klasma.github.io/Logging_2582/klagomålsmail/A 6895-2025 FSC-klagomål mail.docx", "A 6895-2025")</f>
        <v/>
      </c>
      <c r="AC79">
        <f>HYPERLINK("https://klasma.github.io/Logging_2582/tillsyn/A 6895-2025 tillsynsbegäran.docx", "A 6895-2025")</f>
        <v/>
      </c>
      <c r="AD79">
        <f>HYPERLINK("https://klasma.github.io/Logging_2582/tillsynsmail/A 6895-2025 tillsynsbegäran mail.docx", "A 6895-2025")</f>
        <v/>
      </c>
    </row>
    <row r="80" ht="15" customHeight="1">
      <c r="A80" t="inlineStr">
        <is>
          <t>A 34737-2024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45526</v>
      </c>
      <c r="E80" s="1" t="n">
        <v>46263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1</v>
      </c>
      <c r="V80" s="2" t="inlineStr">
        <is>
          <t>Lunglav
Fläcknycklar</t>
        </is>
      </c>
      <c r="W80">
        <f>HYPERLINK("https://klasma.github.io/Logging_2582/artfynd/A 34737-2024 artfynd.xlsx", "A 34737-2024")</f>
        <v/>
      </c>
      <c r="X80">
        <f>HYPERLINK("https://klasma.github.io/Logging_2582/kartor/A 34737-2024 karta.png", "A 34737-2024")</f>
        <v/>
      </c>
      <c r="Y80">
        <f>HYPERLINK("https://klasma.github.io/Logging_2582/kartor_geotiff/A 34737-2024 georefererad karta.tif", "A 34737-2024")</f>
        <v/>
      </c>
      <c r="AA80">
        <f>HYPERLINK("https://klasma.github.io/Logging_2582/klagomål/A 34737-2024 FSC-klagomål.docx", "A 34737-2024")</f>
        <v/>
      </c>
      <c r="AB80">
        <f>HYPERLINK("https://klasma.github.io/Logging_2582/klagomålsmail/A 34737-2024 FSC-klagomål mail.docx", "A 34737-2024")</f>
        <v/>
      </c>
      <c r="AC80">
        <f>HYPERLINK("https://klasma.github.io/Logging_2582/tillsyn/A 34737-2024 tillsynsbegäran.docx", "A 34737-2024")</f>
        <v/>
      </c>
      <c r="AD80">
        <f>HYPERLINK("https://klasma.github.io/Logging_2582/tillsynsmail/A 34737-2024 tillsynsbegäran mail.docx", "A 34737-2024")</f>
        <v/>
      </c>
    </row>
    <row r="81" ht="15" customHeight="1">
      <c r="A81" t="inlineStr">
        <is>
          <t>A 37086-2025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46263</v>
      </c>
      <c r="F81" t="inlineStr">
        <is>
          <t>NORRBOTTENS LÄN</t>
        </is>
      </c>
      <c r="G81" t="inlineStr">
        <is>
          <t>BODEN</t>
        </is>
      </c>
      <c r="H81" t="inlineStr">
        <is>
          <t>Övriga Aktiebolag</t>
        </is>
      </c>
      <c r="I81" t="n">
        <v>22.8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37086-2025 artfynd.xlsx", "A 37086-2025")</f>
        <v/>
      </c>
      <c r="X81">
        <f>HYPERLINK("https://klasma.github.io/Logging_2582/kartor/A 37086-2025 karta.png", "A 37086-2025")</f>
        <v/>
      </c>
      <c r="Y81">
        <f>HYPERLINK("https://klasma.github.io/Logging_2582/kartor_geotiff/A 37086-2025 georefererad karta.tif", "A 37086-2025")</f>
        <v/>
      </c>
      <c r="AA81">
        <f>HYPERLINK("https://klasma.github.io/Logging_2582/klagomål/A 37086-2025 FSC-klagomål.docx", "A 37086-2025")</f>
        <v/>
      </c>
      <c r="AB81">
        <f>HYPERLINK("https://klasma.github.io/Logging_2582/klagomålsmail/A 37086-2025 FSC-klagomål mail.docx", "A 37086-2025")</f>
        <v/>
      </c>
      <c r="AC81">
        <f>HYPERLINK("https://klasma.github.io/Logging_2582/tillsyn/A 37086-2025 tillsynsbegäran.docx", "A 37086-2025")</f>
        <v/>
      </c>
      <c r="AD81">
        <f>HYPERLINK("https://klasma.github.io/Logging_2582/tillsynsmail/A 37086-2025 tillsynsbegäran mail.docx", "A 37086-2025")</f>
        <v/>
      </c>
    </row>
    <row r="82" ht="15" customHeight="1">
      <c r="A82" t="inlineStr">
        <is>
          <t>A 34164-2023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45137</v>
      </c>
      <c r="E82" s="1" t="n">
        <v>46263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2.2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Tretåig hackspett</t>
        </is>
      </c>
      <c r="W82">
        <f>HYPERLINK("https://klasma.github.io/Logging_2582/artfynd/A 34164-2023 artfynd.xlsx", "A 34164-2023")</f>
        <v/>
      </c>
      <c r="X82">
        <f>HYPERLINK("https://klasma.github.io/Logging_2582/kartor/A 34164-2023 karta.png", "A 34164-2023")</f>
        <v/>
      </c>
      <c r="Y82">
        <f>HYPERLINK("https://klasma.github.io/Logging_2582/kartor_geotiff/A 34164-2023 georefererad karta.tif", "A 34164-2023")</f>
        <v/>
      </c>
      <c r="AA82">
        <f>HYPERLINK("https://klasma.github.io/Logging_2582/klagomål/A 34164-2023 FSC-klagomål.docx", "A 34164-2023")</f>
        <v/>
      </c>
      <c r="AB82">
        <f>HYPERLINK("https://klasma.github.io/Logging_2582/klagomålsmail/A 34164-2023 FSC-klagomål mail.docx", "A 34164-2023")</f>
        <v/>
      </c>
      <c r="AC82">
        <f>HYPERLINK("https://klasma.github.io/Logging_2582/tillsyn/A 34164-2023 tillsynsbegäran.docx", "A 34164-2023")</f>
        <v/>
      </c>
      <c r="AD82">
        <f>HYPERLINK("https://klasma.github.io/Logging_2582/tillsynsmail/A 34164-2023 tillsynsbegäran mail.docx", "A 34164-2023")</f>
        <v/>
      </c>
      <c r="AE82">
        <f>HYPERLINK("https://klasma.github.io/Logging_2582/fåglar/A 34164-2023 prioriterade fågelarter.docx", "A 34164-2023")</f>
        <v/>
      </c>
    </row>
    <row r="83" ht="15" customHeight="1">
      <c r="A83" t="inlineStr">
        <is>
          <t>A 59435-2024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46263</v>
      </c>
      <c r="F83" t="inlineStr">
        <is>
          <t>NORRBOTTENS LÄN</t>
        </is>
      </c>
      <c r="G83" t="inlineStr">
        <is>
          <t>BODEN</t>
        </is>
      </c>
      <c r="I83" t="n">
        <v>2.1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Lappranunkel
Ögonpyrola</t>
        </is>
      </c>
      <c r="W83">
        <f>HYPERLINK("https://klasma.github.io/Logging_2582/artfynd/A 59435-2024 artfynd.xlsx", "A 59435-2024")</f>
        <v/>
      </c>
      <c r="X83">
        <f>HYPERLINK("https://klasma.github.io/Logging_2582/kartor/A 59435-2024 karta.png", "A 59435-2024")</f>
        <v/>
      </c>
      <c r="Y83">
        <f>HYPERLINK("https://klasma.github.io/Logging_2582/kartor_geotiff/A 59435-2024 georefererad karta.tif", "A 59435-2024")</f>
        <v/>
      </c>
      <c r="AA83">
        <f>HYPERLINK("https://klasma.github.io/Logging_2582/klagomål/A 59435-2024 FSC-klagomål.docx", "A 59435-2024")</f>
        <v/>
      </c>
      <c r="AB83">
        <f>HYPERLINK("https://klasma.github.io/Logging_2582/klagomålsmail/A 59435-2024 FSC-klagomål mail.docx", "A 59435-2024")</f>
        <v/>
      </c>
      <c r="AC83">
        <f>HYPERLINK("https://klasma.github.io/Logging_2582/tillsyn/A 59435-2024 tillsynsbegäran.docx", "A 59435-2024")</f>
        <v/>
      </c>
      <c r="AD83">
        <f>HYPERLINK("https://klasma.github.io/Logging_2582/tillsynsmail/A 59435-2024 tillsynsbegäran mail.docx", "A 59435-2024")</f>
        <v/>
      </c>
    </row>
    <row r="84" ht="15" customHeight="1">
      <c r="A84" t="inlineStr">
        <is>
          <t>A 8703-2026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46263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Ullticka
Skinnlav</t>
        </is>
      </c>
      <c r="W84">
        <f>HYPERLINK("https://klasma.github.io/Logging_2582/artfynd/A 8703-2026 artfynd.xlsx", "A 8703-2026")</f>
        <v/>
      </c>
      <c r="X84">
        <f>HYPERLINK("https://klasma.github.io/Logging_2582/kartor/A 8703-2026 karta.png", "A 8703-2026")</f>
        <v/>
      </c>
      <c r="Y84">
        <f>HYPERLINK("https://klasma.github.io/Logging_2582/kartor_geotiff/A 8703-2026 georefererad karta.tif", "A 8703-2026")</f>
        <v/>
      </c>
      <c r="AA84">
        <f>HYPERLINK("https://klasma.github.io/Logging_2582/klagomål/A 8703-2026 FSC-klagomål.docx", "A 8703-2026")</f>
        <v/>
      </c>
      <c r="AB84">
        <f>HYPERLINK("https://klasma.github.io/Logging_2582/klagomålsmail/A 8703-2026 FSC-klagomål mail.docx", "A 8703-2026")</f>
        <v/>
      </c>
      <c r="AC84">
        <f>HYPERLINK("https://klasma.github.io/Logging_2582/tillsyn/A 8703-2026 tillsynsbegäran.docx", "A 8703-2026")</f>
        <v/>
      </c>
      <c r="AD84">
        <f>HYPERLINK("https://klasma.github.io/Logging_2582/tillsynsmail/A 8703-2026 tillsynsbegäran mail.docx", "A 8703-2026")</f>
        <v/>
      </c>
    </row>
    <row r="85" ht="15" customHeight="1">
      <c r="A85" t="inlineStr">
        <is>
          <t>A 8754-2026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46263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Ullticka</t>
        </is>
      </c>
      <c r="W85">
        <f>HYPERLINK("https://klasma.github.io/Logging_2582/artfynd/A 8754-2026 artfynd.xlsx", "A 8754-2026")</f>
        <v/>
      </c>
      <c r="X85">
        <f>HYPERLINK("https://klasma.github.io/Logging_2582/kartor/A 8754-2026 karta.png", "A 8754-2026")</f>
        <v/>
      </c>
      <c r="Y85">
        <f>HYPERLINK("https://klasma.github.io/Logging_2582/kartor_geotiff/A 8754-2026 georefererad karta.tif", "A 8754-2026")</f>
        <v/>
      </c>
      <c r="AA85">
        <f>HYPERLINK("https://klasma.github.io/Logging_2582/klagomål/A 8754-2026 FSC-klagomål.docx", "A 8754-2026")</f>
        <v/>
      </c>
      <c r="AB85">
        <f>HYPERLINK("https://klasma.github.io/Logging_2582/klagomålsmail/A 8754-2026 FSC-klagomål mail.docx", "A 8754-2026")</f>
        <v/>
      </c>
      <c r="AC85">
        <f>HYPERLINK("https://klasma.github.io/Logging_2582/tillsyn/A 8754-2026 tillsynsbegäran.docx", "A 8754-2026")</f>
        <v/>
      </c>
      <c r="AD85">
        <f>HYPERLINK("https://klasma.github.io/Logging_2582/tillsynsmail/A 8754-2026 tillsynsbegäran mail.docx", "A 8754-2026")</f>
        <v/>
      </c>
    </row>
    <row r="86" ht="15" customHeight="1">
      <c r="A86" t="inlineStr">
        <is>
          <t>A 17292-2022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46263</v>
      </c>
      <c r="F86" t="inlineStr">
        <is>
          <t>NORRBOTTENS LÄN</t>
        </is>
      </c>
      <c r="G86" t="inlineStr">
        <is>
          <t>BODEN</t>
        </is>
      </c>
      <c r="H86" t="inlineStr">
        <is>
          <t>Kyrkan</t>
        </is>
      </c>
      <c r="I86" t="n">
        <v>0.8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Revlummer</t>
        </is>
      </c>
      <c r="W86">
        <f>HYPERLINK("https://klasma.github.io/Logging_2582/artfynd/A 17292-2022 artfynd.xlsx", "A 17292-2022")</f>
        <v/>
      </c>
      <c r="X86">
        <f>HYPERLINK("https://klasma.github.io/Logging_2582/kartor/A 17292-2022 karta.png", "A 17292-2022")</f>
        <v/>
      </c>
      <c r="Y86">
        <f>HYPERLINK("https://klasma.github.io/Logging_2582/kartor_geotiff/A 17292-2022 georefererad karta.tif", "A 17292-2022")</f>
        <v/>
      </c>
      <c r="AA86">
        <f>HYPERLINK("https://klasma.github.io/Logging_2582/klagomål/A 17292-2022 FSC-klagomål.docx", "A 17292-2022")</f>
        <v/>
      </c>
      <c r="AB86">
        <f>HYPERLINK("https://klasma.github.io/Logging_2582/klagomålsmail/A 17292-2022 FSC-klagomål mail.docx", "A 17292-2022")</f>
        <v/>
      </c>
      <c r="AC86">
        <f>HYPERLINK("https://klasma.github.io/Logging_2582/tillsyn/A 17292-2022 tillsynsbegäran.docx", "A 17292-2022")</f>
        <v/>
      </c>
      <c r="AD86">
        <f>HYPERLINK("https://klasma.github.io/Logging_2582/tillsynsmail/A 17292-2022 tillsynsbegäran mail.docx", "A 17292-2022")</f>
        <v/>
      </c>
    </row>
    <row r="87" ht="15" customHeight="1">
      <c r="A87" t="inlineStr">
        <is>
          <t>A 61210-2024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46263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4</v>
      </c>
      <c r="U87" t="n">
        <v>0</v>
      </c>
      <c r="V87" s="2" t="inlineStr">
        <is>
          <t>Skrovlig taggsvamp
Blå taggsvamp</t>
        </is>
      </c>
      <c r="W87">
        <f>HYPERLINK("https://klasma.github.io/Logging_2582/artfynd/A 61210-2024 artfynd.xlsx", "A 61210-2024")</f>
        <v/>
      </c>
      <c r="X87">
        <f>HYPERLINK("https://klasma.github.io/Logging_2582/kartor/A 61210-2024 karta.png", "A 61210-2024")</f>
        <v/>
      </c>
      <c r="Y87">
        <f>HYPERLINK("https://klasma.github.io/Logging_2582/kartor_geotiff/A 61210-2024 georefererad karta.tif", "A 61210-2024")</f>
        <v/>
      </c>
      <c r="AA87">
        <f>HYPERLINK("https://klasma.github.io/Logging_2582/klagomål/A 61210-2024 FSC-klagomål.docx", "A 61210-2024")</f>
        <v/>
      </c>
      <c r="AB87">
        <f>HYPERLINK("https://klasma.github.io/Logging_2582/klagomålsmail/A 61210-2024 FSC-klagomål mail.docx", "A 61210-2024")</f>
        <v/>
      </c>
      <c r="AC87">
        <f>HYPERLINK("https://klasma.github.io/Logging_2582/tillsyn/A 61210-2024 tillsynsbegäran.docx", "A 61210-2024")</f>
        <v/>
      </c>
      <c r="AD87">
        <f>HYPERLINK("https://klasma.github.io/Logging_2582/tillsynsmail/A 61210-2024 tillsynsbegäran mail.docx", "A 61210-2024")</f>
        <v/>
      </c>
    </row>
    <row r="88" ht="15" customHeight="1">
      <c r="A88" t="inlineStr">
        <is>
          <t>A 1507-2022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46263</v>
      </c>
      <c r="F88" t="inlineStr">
        <is>
          <t>NORRBOTTENS LÄN</t>
        </is>
      </c>
      <c r="G88" t="inlineStr">
        <is>
          <t>BODEN</t>
        </is>
      </c>
      <c r="H88" t="inlineStr">
        <is>
          <t>Övriga statliga verk och myndigheter</t>
        </is>
      </c>
      <c r="I88" t="n">
        <v>15.4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Gråspett</t>
        </is>
      </c>
      <c r="W88">
        <f>HYPERLINK("https://klasma.github.io/Logging_2582/artfynd/A 1507-2022 artfynd.xlsx", "A 1507-2022")</f>
        <v/>
      </c>
      <c r="X88">
        <f>HYPERLINK("https://klasma.github.io/Logging_2582/kartor/A 1507-2022 karta.png", "A 1507-2022")</f>
        <v/>
      </c>
      <c r="Y88">
        <f>HYPERLINK("https://klasma.github.io/Logging_2582/kartor_geotiff/A 1507-2022 georefererad karta.tif", "A 1507-2022")</f>
        <v/>
      </c>
      <c r="AA88">
        <f>HYPERLINK("https://klasma.github.io/Logging_2582/klagomål/A 1507-2022 FSC-klagomål.docx", "A 1507-2022")</f>
        <v/>
      </c>
      <c r="AB88">
        <f>HYPERLINK("https://klasma.github.io/Logging_2582/klagomålsmail/A 1507-2022 FSC-klagomål mail.docx", "A 1507-2022")</f>
        <v/>
      </c>
      <c r="AC88">
        <f>HYPERLINK("https://klasma.github.io/Logging_2582/tillsyn/A 1507-2022 tillsynsbegäran.docx", "A 1507-2022")</f>
        <v/>
      </c>
      <c r="AD88">
        <f>HYPERLINK("https://klasma.github.io/Logging_2582/tillsynsmail/A 1507-2022 tillsynsbegäran mail.docx", "A 1507-2022")</f>
        <v/>
      </c>
      <c r="AE88">
        <f>HYPERLINK("https://klasma.github.io/Logging_2582/fåglar/A 1507-2022 prioriterade fågelarter.docx", "A 1507-2022")</f>
        <v/>
      </c>
    </row>
    <row r="89" ht="15" customHeight="1">
      <c r="A89" t="inlineStr">
        <is>
          <t>A 32971-2024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46263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5</v>
      </c>
      <c r="U89" t="n">
        <v>4</v>
      </c>
      <c r="V89" s="2" t="inlineStr">
        <is>
          <t>Lunglav
Fläcknycklar</t>
        </is>
      </c>
      <c r="W89">
        <f>HYPERLINK("https://klasma.github.io/Logging_2582/artfynd/A 32971-2024 artfynd.xlsx", "A 32971-2024")</f>
        <v/>
      </c>
      <c r="X89">
        <f>HYPERLINK("https://klasma.github.io/Logging_2582/kartor/A 32971-2024 karta.png", "A 32971-2024")</f>
        <v/>
      </c>
      <c r="Y89">
        <f>HYPERLINK("https://klasma.github.io/Logging_2582/kartor_geotiff/A 32971-2024 georefererad karta.tif", "A 32971-2024")</f>
        <v/>
      </c>
      <c r="AA89">
        <f>HYPERLINK("https://klasma.github.io/Logging_2582/klagomål/A 32971-2024 FSC-klagomål.docx", "A 32971-2024")</f>
        <v/>
      </c>
      <c r="AB89">
        <f>HYPERLINK("https://klasma.github.io/Logging_2582/klagomålsmail/A 32971-2024 FSC-klagomål mail.docx", "A 32971-2024")</f>
        <v/>
      </c>
      <c r="AC89">
        <f>HYPERLINK("https://klasma.github.io/Logging_2582/tillsyn/A 32971-2024 tillsynsbegäran.docx", "A 32971-2024")</f>
        <v/>
      </c>
      <c r="AD89">
        <f>HYPERLINK("https://klasma.github.io/Logging_2582/tillsynsmail/A 32971-2024 tillsynsbegäran mail.docx", "A 32971-2024")</f>
        <v/>
      </c>
    </row>
    <row r="90" ht="15" customHeight="1">
      <c r="A90" t="inlineStr">
        <is>
          <t>A 48899-2024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46263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18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Hässlebrodd
Fläcknycklar</t>
        </is>
      </c>
      <c r="W90">
        <f>HYPERLINK("https://klasma.github.io/Logging_2582/artfynd/A 48899-2024 artfynd.xlsx", "A 48899-2024")</f>
        <v/>
      </c>
      <c r="X90">
        <f>HYPERLINK("https://klasma.github.io/Logging_2582/kartor/A 48899-2024 karta.png", "A 48899-2024")</f>
        <v/>
      </c>
      <c r="Y90">
        <f>HYPERLINK("https://klasma.github.io/Logging_2582/kartor_geotiff/A 48899-2024 georefererad karta.tif", "A 48899-2024")</f>
        <v/>
      </c>
      <c r="AA90">
        <f>HYPERLINK("https://klasma.github.io/Logging_2582/klagomål/A 48899-2024 FSC-klagomål.docx", "A 48899-2024")</f>
        <v/>
      </c>
      <c r="AB90">
        <f>HYPERLINK("https://klasma.github.io/Logging_2582/klagomålsmail/A 48899-2024 FSC-klagomål mail.docx", "A 48899-2024")</f>
        <v/>
      </c>
      <c r="AC90">
        <f>HYPERLINK("https://klasma.github.io/Logging_2582/tillsyn/A 48899-2024 tillsynsbegäran.docx", "A 48899-2024")</f>
        <v/>
      </c>
      <c r="AD90">
        <f>HYPERLINK("https://klasma.github.io/Logging_2582/tillsynsmail/A 48899-2024 tillsynsbegäran mail.docx", "A 48899-2024")</f>
        <v/>
      </c>
    </row>
    <row r="91" ht="15" customHeight="1">
      <c r="A91" t="inlineStr">
        <is>
          <t>A 60774-2025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46263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60774-2025 artfynd.xlsx", "A 60774-2025")</f>
        <v/>
      </c>
      <c r="X91">
        <f>HYPERLINK("https://klasma.github.io/Logging_2582/kartor/A 60774-2025 karta.png", "A 60774-2025")</f>
        <v/>
      </c>
      <c r="Y91">
        <f>HYPERLINK("https://klasma.github.io/Logging_2582/kartor_geotiff/A 60774-2025 georefererad karta.tif", "A 60774-2025")</f>
        <v/>
      </c>
      <c r="AA91">
        <f>HYPERLINK("https://klasma.github.io/Logging_2582/klagomål/A 60774-2025 FSC-klagomål.docx", "A 60774-2025")</f>
        <v/>
      </c>
      <c r="AB91">
        <f>HYPERLINK("https://klasma.github.io/Logging_2582/klagomålsmail/A 60774-2025 FSC-klagomål mail.docx", "A 60774-2025")</f>
        <v/>
      </c>
      <c r="AC91">
        <f>HYPERLINK("https://klasma.github.io/Logging_2582/tillsyn/A 60774-2025 tillsynsbegäran.docx", "A 60774-2025")</f>
        <v/>
      </c>
      <c r="AD91">
        <f>HYPERLINK("https://klasma.github.io/Logging_2582/tillsynsmail/A 60774-2025 tillsynsbegäran mail.docx", "A 60774-2025")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46263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42233-2022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44830</v>
      </c>
      <c r="E93" s="1" t="n">
        <v>46263</v>
      </c>
      <c r="F93" t="inlineStr">
        <is>
          <t>NORRBOTTENS LÄN</t>
        </is>
      </c>
      <c r="G93" t="inlineStr">
        <is>
          <t>BODEN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Enkelbeckasin
Svartvit flugsnappare</t>
        </is>
      </c>
      <c r="W93">
        <f>HYPERLINK("https://klasma.github.io/Logging_2582/artfynd/A 42233-2022 artfynd.xlsx", "A 42233-2022")</f>
        <v/>
      </c>
      <c r="X93">
        <f>HYPERLINK("https://klasma.github.io/Logging_2582/kartor/A 42233-2022 karta.png", "A 42233-2022")</f>
        <v/>
      </c>
      <c r="Y93">
        <f>HYPERLINK("https://klasma.github.io/Logging_2582/kartor_geotiff/A 42233-2022 georefererad karta.tif", "A 42233-2022")</f>
        <v/>
      </c>
      <c r="AA93">
        <f>HYPERLINK("https://klasma.github.io/Logging_2582/klagomål/A 42233-2022 FSC-klagomål.docx", "A 42233-2022")</f>
        <v/>
      </c>
      <c r="AB93">
        <f>HYPERLINK("https://klasma.github.io/Logging_2582/klagomålsmail/A 42233-2022 FSC-klagomål mail.docx", "A 42233-2022")</f>
        <v/>
      </c>
      <c r="AC93">
        <f>HYPERLINK("https://klasma.github.io/Logging_2582/tillsyn/A 42233-2022 tillsynsbegäran.docx", "A 42233-2022")</f>
        <v/>
      </c>
      <c r="AD93">
        <f>HYPERLINK("https://klasma.github.io/Logging_2582/tillsynsmail/A 42233-2022 tillsynsbegäran mail.docx", "A 42233-2022")</f>
        <v/>
      </c>
      <c r="AE93">
        <f>HYPERLINK("https://klasma.github.io/Logging_2582/fåglar/A 42233-2022 prioriterade fågelarter.docx", "A 42233-2022")</f>
        <v/>
      </c>
    </row>
    <row r="94" ht="15" customHeight="1">
      <c r="A94" t="inlineStr">
        <is>
          <t>A 21657-2026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46263</v>
      </c>
      <c r="F94" t="inlineStr">
        <is>
          <t>NORRBOTTENS LÄN</t>
        </is>
      </c>
      <c r="G94" t="inlineStr">
        <is>
          <t>BODEN</t>
        </is>
      </c>
      <c r="I94" t="n">
        <v>9.800000000000001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Orre
Utter</t>
        </is>
      </c>
      <c r="W94">
        <f>HYPERLINK("https://klasma.github.io/Logging_2582/artfynd/A 21657-2026 artfynd.xlsx", "A 21657-2026")</f>
        <v/>
      </c>
      <c r="X94">
        <f>HYPERLINK("https://klasma.github.io/Logging_2582/kartor/A 21657-2026 karta.png", "A 21657-2026")</f>
        <v/>
      </c>
      <c r="Y94">
        <f>HYPERLINK("https://klasma.github.io/Logging_2582/kartor_geotiff/A 21657-2026 georefererad karta.tif", "A 21657-2026")</f>
        <v/>
      </c>
      <c r="AA94">
        <f>HYPERLINK("https://klasma.github.io/Logging_2582/klagomål/A 21657-2026 FSC-klagomål.docx", "A 21657-2026")</f>
        <v/>
      </c>
      <c r="AB94">
        <f>HYPERLINK("https://klasma.github.io/Logging_2582/klagomålsmail/A 21657-2026 FSC-klagomål mail.docx", "A 21657-2026")</f>
        <v/>
      </c>
      <c r="AC94">
        <f>HYPERLINK("https://klasma.github.io/Logging_2582/tillsyn/A 21657-2026 tillsynsbegäran.docx", "A 21657-2026")</f>
        <v/>
      </c>
      <c r="AD94">
        <f>HYPERLINK("https://klasma.github.io/Logging_2582/tillsynsmail/A 21657-2026 tillsynsbegäran mail.docx", "A 21657-2026")</f>
        <v/>
      </c>
      <c r="AE94">
        <f>HYPERLINK("https://klasma.github.io/Logging_2582/fåglar/A 21657-2026 prioriterade fågelarter.docx", "A 21657-2026")</f>
        <v/>
      </c>
    </row>
    <row r="95" ht="15" customHeight="1">
      <c r="A95" t="inlineStr">
        <is>
          <t>A 22906-2023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45072</v>
      </c>
      <c r="E95" s="1" t="n">
        <v>46263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Utter</t>
        </is>
      </c>
      <c r="W95">
        <f>HYPERLINK("https://klasma.github.io/Logging_2582/artfynd/A 22906-2023 artfynd.xlsx", "A 22906-2023")</f>
        <v/>
      </c>
      <c r="X95">
        <f>HYPERLINK("https://klasma.github.io/Logging_2582/kartor/A 22906-2023 karta.png", "A 22906-2023")</f>
        <v/>
      </c>
      <c r="Y95">
        <f>HYPERLINK("https://klasma.github.io/Logging_2582/kartor_geotiff/A 22906-2023 georefererad karta.tif", "A 22906-2023")</f>
        <v/>
      </c>
      <c r="AA95">
        <f>HYPERLINK("https://klasma.github.io/Logging_2582/klagomål/A 22906-2023 FSC-klagomål.docx", "A 22906-2023")</f>
        <v/>
      </c>
      <c r="AB95">
        <f>HYPERLINK("https://klasma.github.io/Logging_2582/klagomålsmail/A 22906-2023 FSC-klagomål mail.docx", "A 22906-2023")</f>
        <v/>
      </c>
      <c r="AC95">
        <f>HYPERLINK("https://klasma.github.io/Logging_2582/tillsyn/A 22906-2023 tillsynsbegäran.docx", "A 22906-2023")</f>
        <v/>
      </c>
      <c r="AD95">
        <f>HYPERLINK("https://klasma.github.io/Logging_2582/tillsynsmail/A 22906-2023 tillsynsbegäran mail.docx", "A 22906-2023")</f>
        <v/>
      </c>
      <c r="AE95">
        <f>HYPERLINK("https://klasma.github.io/Logging_2582/fåglar/A 22906-2023 prioriterade fågelarter.docx", "A 22906-2023")</f>
        <v/>
      </c>
    </row>
    <row r="96" ht="15" customHeight="1">
      <c r="A96" t="inlineStr">
        <is>
          <t>A 6639-2024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45341</v>
      </c>
      <c r="E96" s="1" t="n">
        <v>46263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23.8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Kungsfågel</t>
        </is>
      </c>
      <c r="W96">
        <f>HYPERLINK("https://klasma.github.io/Logging_2582/artfynd/A 6639-2024 artfynd.xlsx", "A 6639-2024")</f>
        <v/>
      </c>
      <c r="X96">
        <f>HYPERLINK("https://klasma.github.io/Logging_2582/kartor/A 6639-2024 karta.png", "A 6639-2024")</f>
        <v/>
      </c>
      <c r="Y96">
        <f>HYPERLINK("https://klasma.github.io/Logging_2582/kartor_geotiff/A 6639-2024 georefererad karta.tif", "A 6639-2024")</f>
        <v/>
      </c>
      <c r="AA96">
        <f>HYPERLINK("https://klasma.github.io/Logging_2582/klagomål/A 6639-2024 FSC-klagomål.docx", "A 6639-2024")</f>
        <v/>
      </c>
      <c r="AB96">
        <f>HYPERLINK("https://klasma.github.io/Logging_2582/klagomålsmail/A 6639-2024 FSC-klagomål mail.docx", "A 6639-2024")</f>
        <v/>
      </c>
      <c r="AC96">
        <f>HYPERLINK("https://klasma.github.io/Logging_2582/tillsyn/A 6639-2024 tillsynsbegäran.docx", "A 6639-2024")</f>
        <v/>
      </c>
      <c r="AD96">
        <f>HYPERLINK("https://klasma.github.io/Logging_2582/tillsynsmail/A 6639-2024 tillsynsbegäran mail.docx", "A 6639-2024")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46263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Plattlummer
Spindelblomster</t>
        </is>
      </c>
      <c r="W97">
        <f>HYPERLINK("https://klasma.github.io/Logging_2582/artfynd/A 23794-2026 artfynd.xlsx", "A 23794-2026")</f>
        <v/>
      </c>
      <c r="X97">
        <f>HYPERLINK("https://klasma.github.io/Logging_2582/kartor/A 23794-2026 karta.png", "A 23794-2026")</f>
        <v/>
      </c>
      <c r="Y97">
        <f>HYPERLINK("https://klasma.github.io/Logging_2582/kartor_geotiff/A 23794-2026 georefererad karta.tif", "A 23794-2026")</f>
        <v/>
      </c>
      <c r="AA97">
        <f>HYPERLINK("https://klasma.github.io/Logging_2582/klagomål/A 23794-2026 FSC-klagomål.docx", "A 23794-2026")</f>
        <v/>
      </c>
      <c r="AB97">
        <f>HYPERLINK("https://klasma.github.io/Logging_2582/klagomålsmail/A 23794-2026 FSC-klagomål mail.docx", "A 23794-2026")</f>
        <v/>
      </c>
      <c r="AC97">
        <f>HYPERLINK("https://klasma.github.io/Logging_2582/tillsyn/A 23794-2026 tillsynsbegäran.docx", "A 23794-2026")</f>
        <v/>
      </c>
      <c r="AD97">
        <f>HYPERLINK("https://klasma.github.io/Logging_2582/tillsynsmail/A 23794-2026 tillsynsbegäran mail.docx", "A 23794-2026")</f>
        <v/>
      </c>
    </row>
    <row r="98" ht="15" customHeight="1">
      <c r="A98" t="inlineStr">
        <is>
          <t>A 31655-2026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46225</v>
      </c>
      <c r="E98" s="1" t="n">
        <v>46263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Dropptaggsvamp
Lunglav</t>
        </is>
      </c>
      <c r="W98">
        <f>HYPERLINK("https://klasma.github.io/Logging_2582/artfynd/A 31655-2026 artfynd.xlsx", "A 31655-2026")</f>
        <v/>
      </c>
      <c r="X98">
        <f>HYPERLINK("https://klasma.github.io/Logging_2582/kartor/A 31655-2026 karta.png", "A 31655-2026")</f>
        <v/>
      </c>
      <c r="Y98">
        <f>HYPERLINK("https://klasma.github.io/Logging_2582/kartor_geotiff/A 31655-2026 georefererad karta.tif", "A 31655-2026")</f>
        <v/>
      </c>
      <c r="AA98">
        <f>HYPERLINK("https://klasma.github.io/Logging_2582/klagomål/A 31655-2026 FSC-klagomål.docx", "A 31655-2026")</f>
        <v/>
      </c>
      <c r="AB98">
        <f>HYPERLINK("https://klasma.github.io/Logging_2582/klagomålsmail/A 31655-2026 FSC-klagomål mail.docx", "A 31655-2026")</f>
        <v/>
      </c>
      <c r="AC98">
        <f>HYPERLINK("https://klasma.github.io/Logging_2582/tillsyn/A 31655-2026 tillsynsbegäran.docx", "A 31655-2026")</f>
        <v/>
      </c>
      <c r="AD98">
        <f>HYPERLINK("https://klasma.github.io/Logging_2582/tillsynsmail/A 31655-2026 tillsynsbegäran mail.docx", "A 31655-2026")</f>
        <v/>
      </c>
    </row>
    <row r="99" ht="15" customHeight="1">
      <c r="A99" t="inlineStr">
        <is>
          <t>A 26773-2026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46263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Lunglav</t>
        </is>
      </c>
      <c r="W99">
        <f>HYPERLINK("https://klasma.github.io/Logging_2582/artfynd/A 26773-2026 artfynd.xlsx", "A 26773-2026")</f>
        <v/>
      </c>
      <c r="X99">
        <f>HYPERLINK("https://klasma.github.io/Logging_2582/kartor/A 26773-2026 karta.png", "A 26773-2026")</f>
        <v/>
      </c>
      <c r="Y99">
        <f>HYPERLINK("https://klasma.github.io/Logging_2582/kartor_geotiff/A 26773-2026 georefererad karta.tif", "A 26773-2026")</f>
        <v/>
      </c>
      <c r="Z99">
        <f>HYPERLINK("https://klasma.github.io/Logging_2582/knärot/A 26773-2026 karta knärot.png", "A 26773-2026")</f>
        <v/>
      </c>
      <c r="AA99">
        <f>HYPERLINK("https://klasma.github.io/Logging_2582/klagomål/A 26773-2026 FSC-klagomål.docx", "A 26773-2026")</f>
        <v/>
      </c>
      <c r="AB99">
        <f>HYPERLINK("https://klasma.github.io/Logging_2582/klagomålsmail/A 26773-2026 FSC-klagomål mail.docx", "A 26773-2026")</f>
        <v/>
      </c>
      <c r="AC99">
        <f>HYPERLINK("https://klasma.github.io/Logging_2582/tillsyn/A 26773-2026 tillsynsbegäran.docx", "A 26773-2026")</f>
        <v/>
      </c>
      <c r="AD99">
        <f>HYPERLINK("https://klasma.github.io/Logging_2582/tillsynsmail/A 26773-2026 tillsynsbegäran mail.docx", "A 26773-2026")</f>
        <v/>
      </c>
    </row>
    <row r="100" ht="15" customHeight="1">
      <c r="A100" t="inlineStr">
        <is>
          <t>A 26721-2026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46263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Plattlummer
Tibast</t>
        </is>
      </c>
      <c r="W100">
        <f>HYPERLINK("https://klasma.github.io/Logging_2582/artfynd/A 26721-2026 artfynd.xlsx", "A 26721-2026")</f>
        <v/>
      </c>
      <c r="X100">
        <f>HYPERLINK("https://klasma.github.io/Logging_2582/kartor/A 26721-2026 karta.png", "A 26721-2026")</f>
        <v/>
      </c>
      <c r="Y100">
        <f>HYPERLINK("https://klasma.github.io/Logging_2582/kartor_geotiff/A 26721-2026 georefererad karta.tif", "A 26721-2026")</f>
        <v/>
      </c>
      <c r="AA100">
        <f>HYPERLINK("https://klasma.github.io/Logging_2582/klagomål/A 26721-2026 FSC-klagomål.docx", "A 26721-2026")</f>
        <v/>
      </c>
      <c r="AB100">
        <f>HYPERLINK("https://klasma.github.io/Logging_2582/klagomålsmail/A 26721-2026 FSC-klagomål mail.docx", "A 26721-2026")</f>
        <v/>
      </c>
      <c r="AC100">
        <f>HYPERLINK("https://klasma.github.io/Logging_2582/tillsyn/A 26721-2026 tillsynsbegäran.docx", "A 26721-2026")</f>
        <v/>
      </c>
      <c r="AD100">
        <f>HYPERLINK("https://klasma.github.io/Logging_2582/tillsynsmail/A 26721-2026 tillsynsbegäran mail.docx", "A 26721-2026")</f>
        <v/>
      </c>
    </row>
    <row r="101" ht="15" customHeight="1">
      <c r="A101" t="inlineStr">
        <is>
          <t>A 33096-2026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46263</v>
      </c>
      <c r="F101" t="inlineStr">
        <is>
          <t>NORRBOTTENS LÄN</t>
        </is>
      </c>
      <c r="G101" t="inlineStr">
        <is>
          <t>BODEN</t>
        </is>
      </c>
      <c r="I101" t="n">
        <v>36.6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HYPERLINK("https://klasma.github.io/Logging_2582/artfynd/A 33096-2026 artfynd.xlsx", "A 33096-2026")</f>
        <v/>
      </c>
      <c r="X101">
        <f>HYPERLINK("https://klasma.github.io/Logging_2582/kartor/A 33096-2026 karta.png", "A 33096-2026")</f>
        <v/>
      </c>
      <c r="Y101">
        <f>HYPERLINK("https://klasma.github.io/Logging_2582/kartor_geotiff/A 33096-2026 georefererad karta.tif", "A 33096-2026")</f>
        <v/>
      </c>
      <c r="AA101">
        <f>HYPERLINK("https://klasma.github.io/Logging_2582/klagomål/A 33096-2026 FSC-klagomål.docx", "A 33096-2026")</f>
        <v/>
      </c>
      <c r="AB101">
        <f>HYPERLINK("https://klasma.github.io/Logging_2582/klagomålsmail/A 33096-2026 FSC-klagomål mail.docx", "A 33096-2026")</f>
        <v/>
      </c>
      <c r="AC101">
        <f>HYPERLINK("https://klasma.github.io/Logging_2582/tillsyn/A 33096-2026 tillsynsbegäran.docx", "A 33096-2026")</f>
        <v/>
      </c>
      <c r="AD101">
        <f>HYPERLINK("https://klasma.github.io/Logging_2582/tillsynsmail/A 33096-2026 tillsynsbegäran mail.docx", "A 33096-2026")</f>
        <v/>
      </c>
    </row>
    <row r="102" ht="15" customHeight="1">
      <c r="A102" t="inlineStr">
        <is>
          <t>A 29881-2026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46263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Lunglav
Fläcknycklar</t>
        </is>
      </c>
      <c r="W102">
        <f>HYPERLINK("https://klasma.github.io/Logging_2582/artfynd/A 29881-2026 artfynd.xlsx", "A 29881-2026")</f>
        <v/>
      </c>
      <c r="X102">
        <f>HYPERLINK("https://klasma.github.io/Logging_2582/kartor/A 29881-2026 karta.png", "A 29881-2026")</f>
        <v/>
      </c>
      <c r="Y102">
        <f>HYPERLINK("https://klasma.github.io/Logging_2582/kartor_geotiff/A 29881-2026 georefererad karta.tif", "A 29881-2026")</f>
        <v/>
      </c>
      <c r="AA102">
        <f>HYPERLINK("https://klasma.github.io/Logging_2582/klagomål/A 29881-2026 FSC-klagomål.docx", "A 29881-2026")</f>
        <v/>
      </c>
      <c r="AB102">
        <f>HYPERLINK("https://klasma.github.io/Logging_2582/klagomålsmail/A 29881-2026 FSC-klagomål mail.docx", "A 29881-2026")</f>
        <v/>
      </c>
      <c r="AC102">
        <f>HYPERLINK("https://klasma.github.io/Logging_2582/tillsyn/A 29881-2026 tillsynsbegäran.docx", "A 29881-2026")</f>
        <v/>
      </c>
      <c r="AD102">
        <f>HYPERLINK("https://klasma.github.io/Logging_2582/tillsynsmail/A 29881-2026 tillsynsbegäran mail.docx", "A 29881-2026")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46263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46263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46263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46263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46263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31233-2026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46263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18.5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Lunglav
Fläcknycklar</t>
        </is>
      </c>
      <c r="W108">
        <f>HYPERLINK("https://klasma.github.io/Logging_2582/artfynd/A 31233-2026 artfynd.xlsx", "A 31233-2026")</f>
        <v/>
      </c>
      <c r="X108">
        <f>HYPERLINK("https://klasma.github.io/Logging_2582/kartor/A 31233-2026 karta.png", "A 31233-2026")</f>
        <v/>
      </c>
      <c r="Y108">
        <f>HYPERLINK("https://klasma.github.io/Logging_2582/kartor_geotiff/A 31233-2026 georefererad karta.tif", "A 31233-2026")</f>
        <v/>
      </c>
      <c r="AA108">
        <f>HYPERLINK("https://klasma.github.io/Logging_2582/klagomål/A 31233-2026 FSC-klagomål.docx", "A 31233-2026")</f>
        <v/>
      </c>
      <c r="AB108">
        <f>HYPERLINK("https://klasma.github.io/Logging_2582/klagomålsmail/A 31233-2026 FSC-klagomål mail.docx", "A 31233-2026")</f>
        <v/>
      </c>
      <c r="AC108">
        <f>HYPERLINK("https://klasma.github.io/Logging_2582/tillsyn/A 31233-2026 tillsynsbegäran.docx", "A 31233-2026")</f>
        <v/>
      </c>
      <c r="AD108">
        <f>HYPERLINK("https://klasma.github.io/Logging_2582/tillsynsmail/A 31233-2026 tillsynsbegäran mail.docx", "A 31233-2026")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46263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S 884-2024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45376</v>
      </c>
      <c r="E110" s="1" t="n">
        <v>46263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1.6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Spindelblomster
Ögonpyrola</t>
        </is>
      </c>
      <c r="W110">
        <f>HYPERLINK("https://klasma.github.io/Logging_2582/artfynd/S 884-2024 artfynd.xlsx", "S 884-2024")</f>
        <v/>
      </c>
      <c r="X110">
        <f>HYPERLINK("https://klasma.github.io/Logging_2582/kartor/S 884-2024 karta.png", "S 884-2024")</f>
        <v/>
      </c>
      <c r="Y110">
        <f>HYPERLINK("https://klasma.github.io/Logging_2582/kartor_geotiff/S 884-2024 georefererad karta.tif", "S 884-2024")</f>
        <v/>
      </c>
      <c r="Z110">
        <f>HYPERLINK("https://klasma.github.io/Logging_2582/knärot/S 884-2024 karta knärot.png", "S 884-2024")</f>
        <v/>
      </c>
      <c r="AA110">
        <f>HYPERLINK("https://klasma.github.io/Logging_2582/klagomål/S 884-2024 FSC-klagomål.docx", "S 884-2024")</f>
        <v/>
      </c>
      <c r="AB110">
        <f>HYPERLINK("https://klasma.github.io/Logging_2582/klagomålsmail/S 884-2024 FSC-klagomål mail.docx", "S 884-2024")</f>
        <v/>
      </c>
      <c r="AC110">
        <f>HYPERLINK("https://klasma.github.io/Logging_2582/tillsyn/S 884-2024 tillsynsbegäran.docx", "S 884-2024")</f>
        <v/>
      </c>
      <c r="AD110">
        <f>HYPERLINK("https://klasma.github.io/Logging_2582/tillsynsmail/S 884-2024 tillsynsbegäran mail.docx", "S 884-2024")</f>
        <v/>
      </c>
    </row>
    <row r="111" ht="15" customHeight="1">
      <c r="A111" t="inlineStr">
        <is>
          <t>A 13647-2022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46263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t="n">
        <v>0</v>
      </c>
      <c r="V111" s="2" t="inlineStr">
        <is>
          <t>Gammelgransskål</t>
        </is>
      </c>
      <c r="W111">
        <f>HYPERLINK("https://klasma.github.io/Logging_2582/artfynd/A 13647-2022 artfynd.xlsx", "A 13647-2022")</f>
        <v/>
      </c>
      <c r="X111">
        <f>HYPERLINK("https://klasma.github.io/Logging_2582/kartor/A 13647-2022 karta.png", "A 13647-2022")</f>
        <v/>
      </c>
      <c r="Y111">
        <f>HYPERLINK("https://klasma.github.io/Logging_2582/kartor_geotiff/A 13647-2022 georefererad karta.tif", "A 13647-2022")</f>
        <v/>
      </c>
      <c r="AA111">
        <f>HYPERLINK("https://klasma.github.io/Logging_2582/klagomål/A 13647-2022 FSC-klagomål.docx", "A 13647-2022")</f>
        <v/>
      </c>
      <c r="AB111">
        <f>HYPERLINK("https://klasma.github.io/Logging_2582/klagomålsmail/A 13647-2022 FSC-klagomål mail.docx", "A 13647-2022")</f>
        <v/>
      </c>
      <c r="AC111">
        <f>HYPERLINK("https://klasma.github.io/Logging_2582/tillsyn/A 13647-2022 tillsynsbegäran.docx", "A 13647-2022")</f>
        <v/>
      </c>
      <c r="AD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47030-2021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44446</v>
      </c>
      <c r="E112" s="1" t="n">
        <v>46263</v>
      </c>
      <c r="F112" t="inlineStr">
        <is>
          <t>NORRBOTTENS LÄN</t>
        </is>
      </c>
      <c r="G112" t="inlineStr">
        <is>
          <t>BODEN</t>
        </is>
      </c>
      <c r="I112" t="n">
        <v>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Svartvit flugsnappare</t>
        </is>
      </c>
      <c r="W112">
        <f>HYPERLINK("https://klasma.github.io/Logging_2582/artfynd/A 47030-2021 artfynd.xlsx", "A 47030-2021")</f>
        <v/>
      </c>
      <c r="X112">
        <f>HYPERLINK("https://klasma.github.io/Logging_2582/kartor/A 47030-2021 karta.png", "A 47030-2021")</f>
        <v/>
      </c>
      <c r="Y112">
        <f>HYPERLINK("https://klasma.github.io/Logging_2582/kartor_geotiff/A 47030-2021 georefererad karta.tif", "A 47030-2021")</f>
        <v/>
      </c>
      <c r="AA112">
        <f>HYPERLINK("https://klasma.github.io/Logging_2582/klagomål/A 47030-2021 FSC-klagomål.docx", "A 47030-2021")</f>
        <v/>
      </c>
      <c r="AB112">
        <f>HYPERLINK("https://klasma.github.io/Logging_2582/klagomålsmail/A 47030-2021 FSC-klagomål mail.docx", "A 47030-2021")</f>
        <v/>
      </c>
      <c r="AC112">
        <f>HYPERLINK("https://klasma.github.io/Logging_2582/tillsyn/A 47030-2021 tillsynsbegäran.docx", "A 47030-2021")</f>
        <v/>
      </c>
      <c r="AD112">
        <f>HYPERLINK("https://klasma.github.io/Logging_2582/tillsynsmail/A 47030-2021 tillsynsbegäran mail.docx", "A 47030-2021")</f>
        <v/>
      </c>
    </row>
    <row r="113" ht="15" customHeight="1">
      <c r="A113" t="inlineStr">
        <is>
          <t>A 44768-2022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46263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6.1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HYPERLINK("https://klasma.github.io/Logging_2582/artfynd/A 44768-2022 artfynd.xlsx", "A 44768-2022")</f>
        <v/>
      </c>
      <c r="X113">
        <f>HYPERLINK("https://klasma.github.io/Logging_2582/kartor/A 44768-2022 karta.png", "A 44768-2022")</f>
        <v/>
      </c>
      <c r="Y113">
        <f>HYPERLINK("https://klasma.github.io/Logging_2582/kartor_geotiff/A 44768-2022 georefererad karta.tif", "A 44768-2022")</f>
        <v/>
      </c>
      <c r="AA113">
        <f>HYPERLINK("https://klasma.github.io/Logging_2582/klagomål/A 44768-2022 FSC-klagomål.docx", "A 44768-2022")</f>
        <v/>
      </c>
      <c r="AB113">
        <f>HYPERLINK("https://klasma.github.io/Logging_2582/klagomålsmail/A 44768-2022 FSC-klagomål mail.docx", "A 44768-2022")</f>
        <v/>
      </c>
      <c r="AC113">
        <f>HYPERLINK("https://klasma.github.io/Logging_2582/tillsyn/A 44768-2022 tillsynsbegäran.docx", "A 44768-2022")</f>
        <v/>
      </c>
      <c r="AD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18678-2025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46263</v>
      </c>
      <c r="F114" t="inlineStr">
        <is>
          <t>NORRBOTTENS LÄN</t>
        </is>
      </c>
      <c r="G114" t="inlineStr">
        <is>
          <t>BODEN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Garnlav</t>
        </is>
      </c>
      <c r="W114">
        <f>HYPERLINK("https://klasma.github.io/Logging_2582/artfynd/A 18678-2025 artfynd.xlsx", "A 18678-2025")</f>
        <v/>
      </c>
      <c r="X114">
        <f>HYPERLINK("https://klasma.github.io/Logging_2582/kartor/A 18678-2025 karta.png", "A 18678-2025")</f>
        <v/>
      </c>
      <c r="Y114">
        <f>HYPERLINK("https://klasma.github.io/Logging_2582/kartor_geotiff/A 18678-2025 georefererad karta.tif", "A 18678-2025")</f>
        <v/>
      </c>
      <c r="AA114">
        <f>HYPERLINK("https://klasma.github.io/Logging_2582/klagomål/A 18678-2025 FSC-klagomål.docx", "A 18678-2025")</f>
        <v/>
      </c>
      <c r="AB114">
        <f>HYPERLINK("https://klasma.github.io/Logging_2582/klagomålsmail/A 18678-2025 FSC-klagomål mail.docx", "A 18678-2025")</f>
        <v/>
      </c>
      <c r="AC114">
        <f>HYPERLINK("https://klasma.github.io/Logging_2582/tillsyn/A 18678-2025 tillsynsbegäran.docx", "A 18678-2025")</f>
        <v/>
      </c>
      <c r="AD114">
        <f>HYPERLINK("https://klasma.github.io/Logging_2582/tillsynsmail/A 18678-2025 tillsynsbegäran mail.docx", "A 18678-2025")</f>
        <v/>
      </c>
    </row>
    <row r="115" ht="15" customHeight="1">
      <c r="A115" t="inlineStr">
        <is>
          <t>A 51874-2025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45952</v>
      </c>
      <c r="E115" s="1" t="n">
        <v>46263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Skinnlav</t>
        </is>
      </c>
      <c r="W115">
        <f>HYPERLINK("https://klasma.github.io/Logging_2582/artfynd/A 51874-2025 artfynd.xlsx", "A 51874-2025")</f>
        <v/>
      </c>
      <c r="X115">
        <f>HYPERLINK("https://klasma.github.io/Logging_2582/kartor/A 51874-2025 karta.png", "A 51874-2025")</f>
        <v/>
      </c>
      <c r="Y115">
        <f>HYPERLINK("https://klasma.github.io/Logging_2582/kartor_geotiff/A 51874-2025 georefererad karta.tif", "A 51874-2025")</f>
        <v/>
      </c>
      <c r="AA115">
        <f>HYPERLINK("https://klasma.github.io/Logging_2582/klagomål/A 51874-2025 FSC-klagomål.docx", "A 51874-2025")</f>
        <v/>
      </c>
      <c r="AB115">
        <f>HYPERLINK("https://klasma.github.io/Logging_2582/klagomålsmail/A 51874-2025 FSC-klagomål mail.docx", "A 51874-2025")</f>
        <v/>
      </c>
      <c r="AC115">
        <f>HYPERLINK("https://klasma.github.io/Logging_2582/tillsyn/A 51874-2025 tillsynsbegäran.docx", "A 51874-2025")</f>
        <v/>
      </c>
      <c r="AD115">
        <f>HYPERLINK("https://klasma.github.io/Logging_2582/tillsynsmail/A 51874-2025 tillsynsbegäran mail.docx", "A 51874-2025")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49410-2023 artfynd.xlsx", "A 49410-2023")</f>
        <v/>
      </c>
      <c r="X116">
        <f>HYPERLINK("https://klasma.github.io/Logging_2582/kartor/A 49410-2023 karta.png", "A 49410-2023")</f>
        <v/>
      </c>
      <c r="Y116">
        <f>HYPERLINK("https://klasma.github.io/Logging_2582/kartor_geotiff/A 49410-2023 georefererad karta.tif", "A 49410-2023")</f>
        <v/>
      </c>
      <c r="AA116">
        <f>HYPERLINK("https://klasma.github.io/Logging_2582/klagomål/A 49410-2023 FSC-klagomål.docx", "A 49410-2023")</f>
        <v/>
      </c>
      <c r="AB116">
        <f>HYPERLINK("https://klasma.github.io/Logging_2582/klagomålsmail/A 49410-2023 FSC-klagomål mail.docx", "A 49410-2023")</f>
        <v/>
      </c>
      <c r="AC116">
        <f>HYPERLINK("https://klasma.github.io/Logging_2582/tillsyn/A 49410-2023 tillsynsbegäran.docx", "A 49410-2023")</f>
        <v/>
      </c>
      <c r="AD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53180-2025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46263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13.2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3</v>
      </c>
      <c r="V117" s="2" t="inlineStr">
        <is>
          <t>Lunglav</t>
        </is>
      </c>
      <c r="W117">
        <f>HYPERLINK("https://klasma.github.io/Logging_2582/artfynd/A 53180-2025 artfynd.xlsx", "A 53180-2025")</f>
        <v/>
      </c>
      <c r="X117">
        <f>HYPERLINK("https://klasma.github.io/Logging_2582/kartor/A 53180-2025 karta.png", "A 53180-2025")</f>
        <v/>
      </c>
      <c r="Y117">
        <f>HYPERLINK("https://klasma.github.io/Logging_2582/kartor_geotiff/A 53180-2025 georefererad karta.tif", "A 53180-2025")</f>
        <v/>
      </c>
      <c r="AA117">
        <f>HYPERLINK("https://klasma.github.io/Logging_2582/klagomål/A 53180-2025 FSC-klagomål.docx", "A 53180-2025")</f>
        <v/>
      </c>
      <c r="AB117">
        <f>HYPERLINK("https://klasma.github.io/Logging_2582/klagomålsmail/A 53180-2025 FSC-klagomål mail.docx", "A 53180-2025")</f>
        <v/>
      </c>
      <c r="AC117">
        <f>HYPERLINK("https://klasma.github.io/Logging_2582/tillsyn/A 53180-2025 tillsynsbegäran.docx", "A 53180-2025")</f>
        <v/>
      </c>
      <c r="AD117">
        <f>HYPERLINK("https://klasma.github.io/Logging_2582/tillsynsmail/A 53180-2025 tillsynsbegäran mail.docx", "A 53180-2025")</f>
        <v/>
      </c>
    </row>
    <row r="118" ht="15" customHeight="1">
      <c r="A118" t="inlineStr">
        <is>
          <t>A 53590-2025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7.6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Gulskölding</t>
        </is>
      </c>
      <c r="W118">
        <f>HYPERLINK("https://klasma.github.io/Logging_2582/artfynd/A 53590-2025 artfynd.xlsx", "A 53590-2025")</f>
        <v/>
      </c>
      <c r="X118">
        <f>HYPERLINK("https://klasma.github.io/Logging_2582/kartor/A 53590-2025 karta.png", "A 53590-2025")</f>
        <v/>
      </c>
      <c r="Y118">
        <f>HYPERLINK("https://klasma.github.io/Logging_2582/kartor_geotiff/A 53590-2025 georefererad karta.tif", "A 53590-2025")</f>
        <v/>
      </c>
      <c r="AA118">
        <f>HYPERLINK("https://klasma.github.io/Logging_2582/klagomål/A 53590-2025 FSC-klagomål.docx", "A 53590-2025")</f>
        <v/>
      </c>
      <c r="AB118">
        <f>HYPERLINK("https://klasma.github.io/Logging_2582/klagomålsmail/A 53590-2025 FSC-klagomål mail.docx", "A 53590-2025")</f>
        <v/>
      </c>
      <c r="AC118">
        <f>HYPERLINK("https://klasma.github.io/Logging_2582/tillsyn/A 53590-2025 tillsynsbegäran.docx", "A 53590-2025")</f>
        <v/>
      </c>
      <c r="AD118">
        <f>HYPERLINK("https://klasma.github.io/Logging_2582/tillsynsmail/A 53590-2025 tillsynsbegäran mail.docx", "A 53590-2025")</f>
        <v/>
      </c>
    </row>
    <row r="119" ht="15" customHeight="1">
      <c r="A119" t="inlineStr">
        <is>
          <t>A 54563-2025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45965</v>
      </c>
      <c r="E119" s="1" t="n">
        <v>46263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10.3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Tallticka</t>
        </is>
      </c>
      <c r="W119">
        <f>HYPERLINK("https://klasma.github.io/Logging_2582/artfynd/A 54563-2025 artfynd.xlsx", "A 54563-2025")</f>
        <v/>
      </c>
      <c r="X119">
        <f>HYPERLINK("https://klasma.github.io/Logging_2582/kartor/A 54563-2025 karta.png", "A 54563-2025")</f>
        <v/>
      </c>
      <c r="Y119">
        <f>HYPERLINK("https://klasma.github.io/Logging_2582/kartor_geotiff/A 54563-2025 georefererad karta.tif", "A 54563-2025")</f>
        <v/>
      </c>
      <c r="AA119">
        <f>HYPERLINK("https://klasma.github.io/Logging_2582/klagomål/A 54563-2025 FSC-klagomål.docx", "A 54563-2025")</f>
        <v/>
      </c>
      <c r="AB119">
        <f>HYPERLINK("https://klasma.github.io/Logging_2582/klagomålsmail/A 54563-2025 FSC-klagomål mail.docx", "A 54563-2025")</f>
        <v/>
      </c>
      <c r="AC119">
        <f>HYPERLINK("https://klasma.github.io/Logging_2582/tillsyn/A 54563-2025 tillsynsbegäran.docx", "A 54563-2025")</f>
        <v/>
      </c>
      <c r="AD119">
        <f>HYPERLINK("https://klasma.github.io/Logging_2582/tillsynsmail/A 54563-2025 tillsynsbegäran mail.docx", "A 54563-2025")</f>
        <v/>
      </c>
    </row>
    <row r="120" ht="15" customHeight="1">
      <c r="A120" t="inlineStr">
        <is>
          <t>A 41443-2025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45901</v>
      </c>
      <c r="E120" s="1" t="n">
        <v>46263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HYPERLINK("https://klasma.github.io/Logging_2582/artfynd/A 41443-2025 artfynd.xlsx", "A 41443-2025")</f>
        <v/>
      </c>
      <c r="X120">
        <f>HYPERLINK("https://klasma.github.io/Logging_2582/kartor/A 41443-2025 karta.png", "A 41443-2025")</f>
        <v/>
      </c>
      <c r="Y120">
        <f>HYPERLINK("https://klasma.github.io/Logging_2582/kartor_geotiff/A 41443-2025 georefererad karta.tif", "A 41443-2025")</f>
        <v/>
      </c>
      <c r="AA120">
        <f>HYPERLINK("https://klasma.github.io/Logging_2582/klagomål/A 41443-2025 FSC-klagomål.docx", "A 41443-2025")</f>
        <v/>
      </c>
      <c r="AB120">
        <f>HYPERLINK("https://klasma.github.io/Logging_2582/klagomålsmail/A 41443-2025 FSC-klagomål mail.docx", "A 41443-2025")</f>
        <v/>
      </c>
      <c r="AC120">
        <f>HYPERLINK("https://klasma.github.io/Logging_2582/tillsyn/A 41443-2025 tillsynsbegäran.docx", "A 41443-2025")</f>
        <v/>
      </c>
      <c r="AD120">
        <f>HYPERLINK("https://klasma.github.io/Logging_2582/tillsynsmail/A 41443-2025 tillsynsbegäran mail.docx", "A 41443-2025")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46263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46263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56598-2025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46263</v>
      </c>
      <c r="F123" t="inlineStr">
        <is>
          <t>NORRBOTTENS LÄN</t>
        </is>
      </c>
      <c r="G123" t="inlineStr">
        <is>
          <t>BODEN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HYPERLINK("https://klasma.github.io/Logging_2582/artfynd/A 56598-2025 artfynd.xlsx", "A 56598-2025")</f>
        <v/>
      </c>
      <c r="X123">
        <f>HYPERLINK("https://klasma.github.io/Logging_2582/kartor/A 56598-2025 karta.png", "A 56598-2025")</f>
        <v/>
      </c>
      <c r="Y123">
        <f>HYPERLINK("https://klasma.github.io/Logging_2582/kartor_geotiff/A 56598-2025 georefererad karta.tif", "A 56598-2025")</f>
        <v/>
      </c>
      <c r="AA123">
        <f>HYPERLINK("https://klasma.github.io/Logging_2582/klagomål/A 56598-2025 FSC-klagomål.docx", "A 56598-2025")</f>
        <v/>
      </c>
      <c r="AB123">
        <f>HYPERLINK("https://klasma.github.io/Logging_2582/klagomålsmail/A 56598-2025 FSC-klagomål mail.docx", "A 56598-2025")</f>
        <v/>
      </c>
      <c r="AC123">
        <f>HYPERLINK("https://klasma.github.io/Logging_2582/tillsyn/A 56598-2025 tillsynsbegäran.docx", "A 56598-2025")</f>
        <v/>
      </c>
      <c r="AD123">
        <f>HYPERLINK("https://klasma.github.io/Logging_2582/tillsynsmail/A 56598-2025 tillsynsbegäran mail.docx", "A 56598-2025")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46263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46263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68560-2021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46263</v>
      </c>
      <c r="F126" t="inlineStr">
        <is>
          <t>NORRBOTTENS LÄN</t>
        </is>
      </c>
      <c r="G126" t="inlineStr">
        <is>
          <t>BODEN</t>
        </is>
      </c>
      <c r="I126" t="n">
        <v>3.5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4</v>
      </c>
      <c r="U126" t="n">
        <v>4</v>
      </c>
      <c r="V126" s="2" t="inlineStr">
        <is>
          <t>Småflikig brosklav</t>
        </is>
      </c>
      <c r="W126">
        <f>HYPERLINK("https://klasma.github.io/Logging_2582/artfynd/A 68560-2021 artfynd.xlsx", "A 68560-2021")</f>
        <v/>
      </c>
      <c r="X126">
        <f>HYPERLINK("https://klasma.github.io/Logging_2582/kartor/A 68560-2021 karta.png", "A 68560-2021")</f>
        <v/>
      </c>
      <c r="Y126">
        <f>HYPERLINK("https://klasma.github.io/Logging_2582/kartor_geotiff/A 68560-2021 georefererad karta.tif", "A 68560-2021")</f>
        <v/>
      </c>
      <c r="AA126">
        <f>HYPERLINK("https://klasma.github.io/Logging_2582/klagomål/A 68560-2021 FSC-klagomål.docx", "A 68560-2021")</f>
        <v/>
      </c>
      <c r="AB126">
        <f>HYPERLINK("https://klasma.github.io/Logging_2582/klagomålsmail/A 68560-2021 FSC-klagomål mail.docx", "A 68560-2021")</f>
        <v/>
      </c>
      <c r="AC126">
        <f>HYPERLINK("https://klasma.github.io/Logging_2582/tillsyn/A 68560-2021 tillsynsbegäran.docx", "A 68560-2021")</f>
        <v/>
      </c>
      <c r="AD126">
        <f>HYPERLINK("https://klasma.github.io/Logging_2582/tillsynsmail/A 68560-2021 tillsynsbegäran mail.docx", "A 68560-2021")</f>
        <v/>
      </c>
    </row>
    <row r="127" ht="15" customHeight="1">
      <c r="A127" t="inlineStr">
        <is>
          <t>A 41087-2024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45559</v>
      </c>
      <c r="E127" s="1" t="n">
        <v>46263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HYPERLINK("https://klasma.github.io/Logging_2582/artfynd/A 41087-2024 artfynd.xlsx", "A 41087-2024")</f>
        <v/>
      </c>
      <c r="X127">
        <f>HYPERLINK("https://klasma.github.io/Logging_2582/kartor/A 41087-2024 karta.png", "A 41087-2024")</f>
        <v/>
      </c>
      <c r="Y127">
        <f>HYPERLINK("https://klasma.github.io/Logging_2582/kartor_geotiff/A 41087-2024 georefererad karta.tif", "A 41087-2024")</f>
        <v/>
      </c>
      <c r="AA127">
        <f>HYPERLINK("https://klasma.github.io/Logging_2582/klagomål/A 41087-2024 FSC-klagomål.docx", "A 41087-2024")</f>
        <v/>
      </c>
      <c r="AB127">
        <f>HYPERLINK("https://klasma.github.io/Logging_2582/klagomålsmail/A 41087-2024 FSC-klagomål mail.docx", "A 41087-2024")</f>
        <v/>
      </c>
      <c r="AC127">
        <f>HYPERLINK("https://klasma.github.io/Logging_2582/tillsyn/A 41087-2024 tillsynsbegäran.docx", "A 41087-2024")</f>
        <v/>
      </c>
      <c r="AD127">
        <f>HYPERLINK("https://klasma.github.io/Logging_2582/tillsynsmail/A 41087-2024 tillsynsbegäran mail.docx", "A 41087-2024")</f>
        <v/>
      </c>
    </row>
    <row r="128" ht="15" customHeight="1">
      <c r="A128" t="inlineStr">
        <is>
          <t>A 32600-2024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46263</v>
      </c>
      <c r="F128" t="inlineStr">
        <is>
          <t>NORRBOTTENS LÄN</t>
        </is>
      </c>
      <c r="G128" t="inlineStr">
        <is>
          <t>BODEN</t>
        </is>
      </c>
      <c r="I128" t="n">
        <v>2.5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32600-2024 artfynd.xlsx", "A 32600-2024")</f>
        <v/>
      </c>
      <c r="X128">
        <f>HYPERLINK("https://klasma.github.io/Logging_2582/kartor/A 32600-2024 karta.png", "A 32600-2024")</f>
        <v/>
      </c>
      <c r="Y128">
        <f>HYPERLINK("https://klasma.github.io/Logging_2582/kartor_geotiff/A 32600-2024 georefererad karta.tif", "A 32600-2024")</f>
        <v/>
      </c>
      <c r="AA128">
        <f>HYPERLINK("https://klasma.github.io/Logging_2582/klagomål/A 32600-2024 FSC-klagomål.docx", "A 32600-2024")</f>
        <v/>
      </c>
      <c r="AB128">
        <f>HYPERLINK("https://klasma.github.io/Logging_2582/klagomålsmail/A 32600-2024 FSC-klagomål mail.docx", "A 32600-2024")</f>
        <v/>
      </c>
      <c r="AC128">
        <f>HYPERLINK("https://klasma.github.io/Logging_2582/tillsyn/A 32600-2024 tillsynsbegäran.docx", "A 32600-2024")</f>
        <v/>
      </c>
      <c r="AD128">
        <f>HYPERLINK("https://klasma.github.io/Logging_2582/tillsynsmail/A 32600-2024 tillsynsbegäran mail.docx", "A 32600-2024")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46263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46263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46263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46263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46263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46263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Bollvitmossa</t>
        </is>
      </c>
      <c r="W134">
        <f>HYPERLINK("https://klasma.github.io/Logging_2582/artfynd/A 51304-2025 artfynd.xlsx", "A 51304-2025")</f>
        <v/>
      </c>
      <c r="X134">
        <f>HYPERLINK("https://klasma.github.io/Logging_2582/kartor/A 51304-2025 karta.png", "A 51304-2025")</f>
        <v/>
      </c>
      <c r="Y134">
        <f>HYPERLINK("https://klasma.github.io/Logging_2582/kartor_geotiff/A 51304-2025 georefererad karta.tif", "A 51304-2025")</f>
        <v/>
      </c>
      <c r="AA134">
        <f>HYPERLINK("https://klasma.github.io/Logging_2582/klagomål/A 51304-2025 FSC-klagomål.docx", "A 51304-2025")</f>
        <v/>
      </c>
      <c r="AB134">
        <f>HYPERLINK("https://klasma.github.io/Logging_2582/klagomålsmail/A 51304-2025 FSC-klagomål mail.docx", "A 51304-2025")</f>
        <v/>
      </c>
      <c r="AC134">
        <f>HYPERLINK("https://klasma.github.io/Logging_2582/tillsyn/A 51304-2025 tillsynsbegäran.docx", "A 51304-2025")</f>
        <v/>
      </c>
      <c r="AD134">
        <f>HYPERLINK("https://klasma.github.io/Logging_2582/tillsynsmail/A 51304-2025 tillsynsbegäran mail.docx", "A 51304-2025")</f>
        <v/>
      </c>
    </row>
    <row r="135" ht="15" customHeight="1">
      <c r="A135" t="inlineStr">
        <is>
          <t>A 62002-2025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46263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Vitgrynig nållav</t>
        </is>
      </c>
      <c r="W135">
        <f>HYPERLINK("https://klasma.github.io/Logging_2582/artfynd/A 62002-2025 artfynd.xlsx", "A 62002-2025")</f>
        <v/>
      </c>
      <c r="X135">
        <f>HYPERLINK("https://klasma.github.io/Logging_2582/kartor/A 62002-2025 karta.png", "A 62002-2025")</f>
        <v/>
      </c>
      <c r="Y135">
        <f>HYPERLINK("https://klasma.github.io/Logging_2582/kartor_geotiff/A 62002-2025 georefererad karta.tif", "A 62002-2025")</f>
        <v/>
      </c>
      <c r="AA135">
        <f>HYPERLINK("https://klasma.github.io/Logging_2582/klagomål/A 62002-2025 FSC-klagomål.docx", "A 62002-2025")</f>
        <v/>
      </c>
      <c r="AB135">
        <f>HYPERLINK("https://klasma.github.io/Logging_2582/klagomålsmail/A 62002-2025 FSC-klagomål mail.docx", "A 62002-2025")</f>
        <v/>
      </c>
      <c r="AC135">
        <f>HYPERLINK("https://klasma.github.io/Logging_2582/tillsyn/A 62002-2025 tillsynsbegäran.docx", "A 62002-2025")</f>
        <v/>
      </c>
      <c r="AD135">
        <f>HYPERLINK("https://klasma.github.io/Logging_2582/tillsynsmail/A 62002-2025 tillsynsbegäran mail.docx", "A 62002-2025")</f>
        <v/>
      </c>
    </row>
    <row r="136" ht="15" customHeight="1">
      <c r="A136" t="inlineStr">
        <is>
          <t>A 12832-2022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46263</v>
      </c>
      <c r="F136" t="inlineStr">
        <is>
          <t>NORRBOTTENS LÄN</t>
        </is>
      </c>
      <c r="G136" t="inlineStr">
        <is>
          <t>BODEN</t>
        </is>
      </c>
      <c r="I136" t="n">
        <v>6.6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Doftticka</t>
        </is>
      </c>
      <c r="W136">
        <f>HYPERLINK("https://klasma.github.io/Logging_2582/artfynd/A 12832-2022 artfynd.xlsx", "A 12832-2022")</f>
        <v/>
      </c>
      <c r="X136">
        <f>HYPERLINK("https://klasma.github.io/Logging_2582/kartor/A 12832-2022 karta.png", "A 12832-2022")</f>
        <v/>
      </c>
      <c r="Y136">
        <f>HYPERLINK("https://klasma.github.io/Logging_2582/kartor_geotiff/A 12832-2022 georefererad karta.tif", "A 12832-2022")</f>
        <v/>
      </c>
      <c r="AA136">
        <f>HYPERLINK("https://klasma.github.io/Logging_2582/klagomål/A 12832-2022 FSC-klagomål.docx", "A 12832-2022")</f>
        <v/>
      </c>
      <c r="AB136">
        <f>HYPERLINK("https://klasma.github.io/Logging_2582/klagomålsmail/A 12832-2022 FSC-klagomål mail.docx", "A 12832-2022")</f>
        <v/>
      </c>
      <c r="AC136">
        <f>HYPERLINK("https://klasma.github.io/Logging_2582/tillsyn/A 12832-2022 tillsynsbegäran.docx", "A 12832-2022")</f>
        <v/>
      </c>
      <c r="AD136">
        <f>HYPERLINK("https://klasma.github.io/Logging_2582/tillsynsmail/A 12832-2022 tillsynsbegäran mail.docx", "A 12832-2022")</f>
        <v/>
      </c>
    </row>
    <row r="137" ht="15" customHeight="1">
      <c r="A137" t="inlineStr">
        <is>
          <t>A 4878-2026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46263</v>
      </c>
      <c r="F137" t="inlineStr">
        <is>
          <t>NORRBOTTENS LÄN</t>
        </is>
      </c>
      <c r="G137" t="inlineStr">
        <is>
          <t>BODEN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Vanlig padda</t>
        </is>
      </c>
      <c r="W137">
        <f>HYPERLINK("https://klasma.github.io/Logging_2582/artfynd/A 4878-2026 artfynd.xlsx", "A 4878-2026")</f>
        <v/>
      </c>
      <c r="X137">
        <f>HYPERLINK("https://klasma.github.io/Logging_2582/kartor/A 4878-2026 karta.png", "A 4878-2026")</f>
        <v/>
      </c>
      <c r="Y137">
        <f>HYPERLINK("https://klasma.github.io/Logging_2582/kartor_geotiff/A 4878-2026 georefererad karta.tif", "A 4878-2026")</f>
        <v/>
      </c>
      <c r="AA137">
        <f>HYPERLINK("https://klasma.github.io/Logging_2582/klagomål/A 4878-2026 FSC-klagomål.docx", "A 4878-2026")</f>
        <v/>
      </c>
      <c r="AB137">
        <f>HYPERLINK("https://klasma.github.io/Logging_2582/klagomålsmail/A 4878-2026 FSC-klagomål mail.docx", "A 4878-2026")</f>
        <v/>
      </c>
      <c r="AC137">
        <f>HYPERLINK("https://klasma.github.io/Logging_2582/tillsyn/A 4878-2026 tillsynsbegäran.docx", "A 4878-2026")</f>
        <v/>
      </c>
      <c r="AD137">
        <f>HYPERLINK("https://klasma.github.io/Logging_2582/tillsynsmail/A 4878-2026 tillsynsbegäran mail.docx", "A 4878-2026")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46263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19580-2026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46134</v>
      </c>
      <c r="E139" s="1" t="n">
        <v>46263</v>
      </c>
      <c r="F139" t="inlineStr">
        <is>
          <t>NORRBOTTENS LÄN</t>
        </is>
      </c>
      <c r="G139" t="inlineStr">
        <is>
          <t>BODEN</t>
        </is>
      </c>
      <c r="I139" t="n">
        <v>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Dropptaggsvamp</t>
        </is>
      </c>
      <c r="W139">
        <f>HYPERLINK("https://klasma.github.io/Logging_2582/artfynd/A 19580-2026 artfynd.xlsx", "A 19580-2026")</f>
        <v/>
      </c>
      <c r="X139">
        <f>HYPERLINK("https://klasma.github.io/Logging_2582/kartor/A 19580-2026 karta.png", "A 19580-2026")</f>
        <v/>
      </c>
      <c r="Y139">
        <f>HYPERLINK("https://klasma.github.io/Logging_2582/kartor_geotiff/A 19580-2026 georefererad karta.tif", "A 19580-2026")</f>
        <v/>
      </c>
      <c r="AA139">
        <f>HYPERLINK("https://klasma.github.io/Logging_2582/klagomål/A 19580-2026 FSC-klagomål.docx", "A 19580-2026")</f>
        <v/>
      </c>
      <c r="AB139">
        <f>HYPERLINK("https://klasma.github.io/Logging_2582/klagomålsmail/A 19580-2026 FSC-klagomål mail.docx", "A 19580-2026")</f>
        <v/>
      </c>
      <c r="AC139">
        <f>HYPERLINK("https://klasma.github.io/Logging_2582/tillsyn/A 19580-2026 tillsynsbegäran.docx", "A 19580-2026")</f>
        <v/>
      </c>
      <c r="AD139">
        <f>HYPERLINK("https://klasma.github.io/Logging_2582/tillsynsmail/A 19580-2026 tillsynsbegäran mail.docx", "A 19580-2026")</f>
        <v/>
      </c>
    </row>
    <row r="140" ht="15" customHeight="1">
      <c r="A140" t="inlineStr">
        <is>
          <t>A 19396-2022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46263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13.1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Tallticka</t>
        </is>
      </c>
      <c r="W140">
        <f>HYPERLINK("https://klasma.github.io/Logging_2582/artfynd/A 19396-2022 artfynd.xlsx", "A 19396-2022")</f>
        <v/>
      </c>
      <c r="X140">
        <f>HYPERLINK("https://klasma.github.io/Logging_2582/kartor/A 19396-2022 karta.png", "A 19396-2022")</f>
        <v/>
      </c>
      <c r="Y140">
        <f>HYPERLINK("https://klasma.github.io/Logging_2582/kartor_geotiff/A 19396-2022 georefererad karta.tif", "A 19396-2022")</f>
        <v/>
      </c>
      <c r="AA140">
        <f>HYPERLINK("https://klasma.github.io/Logging_2582/klagomål/A 19396-2022 FSC-klagomål.docx", "A 19396-2022")</f>
        <v/>
      </c>
      <c r="AB140">
        <f>HYPERLINK("https://klasma.github.io/Logging_2582/klagomålsmail/A 19396-2022 FSC-klagomål mail.docx", "A 19396-2022")</f>
        <v/>
      </c>
      <c r="AC140">
        <f>HYPERLINK("https://klasma.github.io/Logging_2582/tillsyn/A 19396-2022 tillsynsbegäran.docx", "A 19396-2022")</f>
        <v/>
      </c>
      <c r="AD140">
        <f>HYPERLINK("https://klasma.github.io/Logging_2582/tillsynsmail/A 19396-2022 tillsynsbegäran mail.docx", "A 19396-2022")</f>
        <v/>
      </c>
    </row>
    <row r="141" ht="15" customHeight="1">
      <c r="A141" t="inlineStr">
        <is>
          <t>A 52078-2021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44463</v>
      </c>
      <c r="E141" s="1" t="n">
        <v>46263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4</v>
      </c>
      <c r="U141" t="n">
        <v>4</v>
      </c>
      <c r="V141" s="2" t="inlineStr">
        <is>
          <t>Knärot</t>
        </is>
      </c>
      <c r="W141">
        <f>HYPERLINK("https://klasma.github.io/Logging_2582/artfynd/A 52078-2021 artfynd.xlsx", "A 52078-2021")</f>
        <v/>
      </c>
      <c r="X141">
        <f>HYPERLINK("https://klasma.github.io/Logging_2582/kartor/A 52078-2021 karta.png", "A 52078-2021")</f>
        <v/>
      </c>
      <c r="Y141">
        <f>HYPERLINK("https://klasma.github.io/Logging_2582/kartor_geotiff/A 52078-2021 georefererad karta.tif", "A 52078-2021")</f>
        <v/>
      </c>
      <c r="Z141">
        <f>HYPERLINK("https://klasma.github.io/Logging_2582/knärot/A 52078-2021 karta knärot.png", "A 52078-2021")</f>
        <v/>
      </c>
      <c r="AA141">
        <f>HYPERLINK("https://klasma.github.io/Logging_2582/klagomål/A 52078-2021 FSC-klagomål.docx", "A 52078-2021")</f>
        <v/>
      </c>
      <c r="AB141">
        <f>HYPERLINK("https://klasma.github.io/Logging_2582/klagomålsmail/A 52078-2021 FSC-klagomål mail.docx", "A 52078-2021")</f>
        <v/>
      </c>
      <c r="AC141">
        <f>HYPERLINK("https://klasma.github.io/Logging_2582/tillsyn/A 52078-2021 tillsynsbegäran.docx", "A 52078-2021")</f>
        <v/>
      </c>
      <c r="AD141">
        <f>HYPERLINK("https://klasma.github.io/Logging_2582/tillsynsmail/A 52078-2021 tillsynsbegäran mail.docx", "A 52078-2021")</f>
        <v/>
      </c>
    </row>
    <row r="142" ht="15" customHeight="1">
      <c r="A142" t="inlineStr">
        <is>
          <t>A 665-2023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44925</v>
      </c>
      <c r="E142" s="1" t="n">
        <v>46263</v>
      </c>
      <c r="F142" t="inlineStr">
        <is>
          <t>NORRBOTTENS LÄN</t>
        </is>
      </c>
      <c r="G142" t="inlineStr">
        <is>
          <t>BODEN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Duvhök</t>
        </is>
      </c>
      <c r="W142">
        <f>HYPERLINK("https://klasma.github.io/Logging_2582/artfynd/A 665-2023 artfynd.xlsx", "A 665-2023")</f>
        <v/>
      </c>
      <c r="X142">
        <f>HYPERLINK("https://klasma.github.io/Logging_2582/kartor/A 665-2023 karta.png", "A 665-2023")</f>
        <v/>
      </c>
      <c r="Y142">
        <f>HYPERLINK("https://klasma.github.io/Logging_2582/kartor_geotiff/A 665-2023 georefererad karta.tif", "A 665-2023")</f>
        <v/>
      </c>
      <c r="AA142">
        <f>HYPERLINK("https://klasma.github.io/Logging_2582/klagomål/A 665-2023 FSC-klagomål.docx", "A 665-2023")</f>
        <v/>
      </c>
      <c r="AB142">
        <f>HYPERLINK("https://klasma.github.io/Logging_2582/klagomålsmail/A 665-2023 FSC-klagomål mail.docx", "A 665-2023")</f>
        <v/>
      </c>
      <c r="AC142">
        <f>HYPERLINK("https://klasma.github.io/Logging_2582/tillsyn/A 665-2023 tillsynsbegäran.docx", "A 665-2023")</f>
        <v/>
      </c>
      <c r="AD142">
        <f>HYPERLINK("https://klasma.github.io/Logging_2582/tillsynsmail/A 665-2023 tillsynsbegäran mail.docx", "A 665-2023")</f>
        <v/>
      </c>
      <c r="AE142">
        <f>HYPERLINK("https://klasma.github.io/Logging_2582/fåglar/A 665-2023 prioriterade fågelarter.docx", "A 665-2023")</f>
        <v/>
      </c>
    </row>
    <row r="143" ht="15" customHeight="1">
      <c r="A143" t="inlineStr">
        <is>
          <t>A 2568-2024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46263</v>
      </c>
      <c r="F143" t="inlineStr">
        <is>
          <t>NORRBOTTENS LÄN</t>
        </is>
      </c>
      <c r="G143" t="inlineStr">
        <is>
          <t>BODEN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 taggsvamp</t>
        </is>
      </c>
      <c r="W143">
        <f>HYPERLINK("https://klasma.github.io/Logging_2582/artfynd/A 2568-2024 artfynd.xlsx", "A 2568-2024")</f>
        <v/>
      </c>
      <c r="X143">
        <f>HYPERLINK("https://klasma.github.io/Logging_2582/kartor/A 2568-2024 karta.png", "A 2568-2024")</f>
        <v/>
      </c>
      <c r="Y143">
        <f>HYPERLINK("https://klasma.github.io/Logging_2582/kartor_geotiff/A 2568-2024 georefererad karta.tif", "A 2568-2024")</f>
        <v/>
      </c>
      <c r="AA143">
        <f>HYPERLINK("https://klasma.github.io/Logging_2582/klagomål/A 2568-2024 FSC-klagomål.docx", "A 2568-2024")</f>
        <v/>
      </c>
      <c r="AB143">
        <f>HYPERLINK("https://klasma.github.io/Logging_2582/klagomålsmail/A 2568-2024 FSC-klagomål mail.docx", "A 2568-2024")</f>
        <v/>
      </c>
      <c r="AC143">
        <f>HYPERLINK("https://klasma.github.io/Logging_2582/tillsyn/A 2568-2024 tillsynsbegäran.docx", "A 2568-2024")</f>
        <v/>
      </c>
      <c r="AD143">
        <f>HYPERLINK("https://klasma.github.io/Logging_2582/tillsynsmail/A 2568-2024 tillsynsbegäran mail.docx", "A 2568-2024")</f>
        <v/>
      </c>
    </row>
    <row r="144" ht="15" customHeight="1">
      <c r="A144" t="inlineStr">
        <is>
          <t>A 36743-2024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46263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36743-2024 artfynd.xlsx", "A 36743-2024")</f>
        <v/>
      </c>
      <c r="X144">
        <f>HYPERLINK("https://klasma.github.io/Logging_2582/kartor/A 36743-2024 karta.png", "A 36743-2024")</f>
        <v/>
      </c>
      <c r="Y144">
        <f>HYPERLINK("https://klasma.github.io/Logging_2582/kartor_geotiff/A 36743-2024 georefererad karta.tif", "A 36743-2024")</f>
        <v/>
      </c>
      <c r="AA144">
        <f>HYPERLINK("https://klasma.github.io/Logging_2582/klagomål/A 36743-2024 FSC-klagomål.docx", "A 36743-2024")</f>
        <v/>
      </c>
      <c r="AB144">
        <f>HYPERLINK("https://klasma.github.io/Logging_2582/klagomålsmail/A 36743-2024 FSC-klagomål mail.docx", "A 36743-2024")</f>
        <v/>
      </c>
      <c r="AC144">
        <f>HYPERLINK("https://klasma.github.io/Logging_2582/tillsyn/A 36743-2024 tillsynsbegäran.docx", "A 36743-2024")</f>
        <v/>
      </c>
      <c r="AD144">
        <f>HYPERLINK("https://klasma.github.io/Logging_2582/tillsynsmail/A 36743-2024 tillsynsbegäran mail.docx", "A 36743-2024")</f>
        <v/>
      </c>
    </row>
    <row r="145" ht="15" customHeight="1">
      <c r="A145" t="inlineStr">
        <is>
          <t>A 68514-2021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44529</v>
      </c>
      <c r="E145" s="1" t="n">
        <v>46263</v>
      </c>
      <c r="F145" t="inlineStr">
        <is>
          <t>NORRBOTTENS LÄN</t>
        </is>
      </c>
      <c r="G145" t="inlineStr">
        <is>
          <t>BODEN</t>
        </is>
      </c>
      <c r="I145" t="n">
        <v>6.2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Spillkråka</t>
        </is>
      </c>
      <c r="W145">
        <f>HYPERLINK("https://klasma.github.io/Logging_2582/artfynd/A 68514-2021 artfynd.xlsx", "A 68514-2021")</f>
        <v/>
      </c>
      <c r="X145">
        <f>HYPERLINK("https://klasma.github.io/Logging_2582/kartor/A 68514-2021 karta.png", "A 68514-2021")</f>
        <v/>
      </c>
      <c r="Y145">
        <f>HYPERLINK("https://klasma.github.io/Logging_2582/kartor_geotiff/A 68514-2021 georefererad karta.tif", "A 68514-2021")</f>
        <v/>
      </c>
      <c r="Z145">
        <f>HYPERLINK("https://klasma.github.io/Logging_2582/knärot/A 68514-2021 karta knärot.png", "A 68514-2021")</f>
        <v/>
      </c>
      <c r="AA145">
        <f>HYPERLINK("https://klasma.github.io/Logging_2582/klagomål/A 68514-2021 FSC-klagomål.docx", "A 68514-2021")</f>
        <v/>
      </c>
      <c r="AB145">
        <f>HYPERLINK("https://klasma.github.io/Logging_2582/klagomålsmail/A 68514-2021 FSC-klagomål mail.docx", "A 68514-2021")</f>
        <v/>
      </c>
      <c r="AC145">
        <f>HYPERLINK("https://klasma.github.io/Logging_2582/tillsyn/A 68514-2021 tillsynsbegäran.docx", "A 68514-2021")</f>
        <v/>
      </c>
      <c r="AD145">
        <f>HYPERLINK("https://klasma.github.io/Logging_2582/tillsynsmail/A 68514-2021 tillsynsbegäran mail.docx", "A 68514-2021")</f>
        <v/>
      </c>
      <c r="AE145">
        <f>HYPERLINK("https://klasma.github.io/Logging_2582/fåglar/A 68514-2021 prioriterade fågelarter.docx", "A 68514-2021")</f>
        <v/>
      </c>
    </row>
    <row r="146" ht="15" customHeight="1">
      <c r="A146" t="inlineStr">
        <is>
          <t>A 21310-2026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46263</v>
      </c>
      <c r="F146" t="inlineStr">
        <is>
          <t>NORRBOTTENS LÄN</t>
        </is>
      </c>
      <c r="G146" t="inlineStr">
        <is>
          <t>BODEN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HYPERLINK("https://klasma.github.io/Logging_2582/artfynd/A 21310-2026 artfynd.xlsx", "A 21310-2026")</f>
        <v/>
      </c>
      <c r="X146">
        <f>HYPERLINK("https://klasma.github.io/Logging_2582/kartor/A 21310-2026 karta.png", "A 21310-2026")</f>
        <v/>
      </c>
      <c r="Y146">
        <f>HYPERLINK("https://klasma.github.io/Logging_2582/kartor_geotiff/A 21310-2026 georefererad karta.tif", "A 21310-2026")</f>
        <v/>
      </c>
      <c r="AA146">
        <f>HYPERLINK("https://klasma.github.io/Logging_2582/klagomål/A 21310-2026 FSC-klagomål.docx", "A 21310-2026")</f>
        <v/>
      </c>
      <c r="AB146">
        <f>HYPERLINK("https://klasma.github.io/Logging_2582/klagomålsmail/A 21310-2026 FSC-klagomål mail.docx", "A 21310-2026")</f>
        <v/>
      </c>
      <c r="AC146">
        <f>HYPERLINK("https://klasma.github.io/Logging_2582/tillsyn/A 21310-2026 tillsynsbegäran.docx", "A 21310-2026")</f>
        <v/>
      </c>
      <c r="AD146">
        <f>HYPERLINK("https://klasma.github.io/Logging_2582/tillsynsmail/A 21310-2026 tillsynsbegäran mail.docx", "A 21310-2026")</f>
        <v/>
      </c>
    </row>
    <row r="147" ht="15" customHeight="1">
      <c r="A147" t="inlineStr">
        <is>
          <t>A 24429-2026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46263</v>
      </c>
      <c r="F147" t="inlineStr">
        <is>
          <t>NORRBOTTENS LÄN</t>
        </is>
      </c>
      <c r="G147" t="inlineStr">
        <is>
          <t>BODEN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HYPERLINK("https://klasma.github.io/Logging_2582/artfynd/A 24429-2026 artfynd.xlsx", "A 24429-2026")</f>
        <v/>
      </c>
      <c r="X147">
        <f>HYPERLINK("https://klasma.github.io/Logging_2582/kartor/A 24429-2026 karta.png", "A 24429-2026")</f>
        <v/>
      </c>
      <c r="Y147">
        <f>HYPERLINK("https://klasma.github.io/Logging_2582/kartor_geotiff/A 24429-2026 georefererad karta.tif", "A 24429-2026")</f>
        <v/>
      </c>
      <c r="AA147">
        <f>HYPERLINK("https://klasma.github.io/Logging_2582/klagomål/A 24429-2026 FSC-klagomål.docx", "A 24429-2026")</f>
        <v/>
      </c>
      <c r="AB147">
        <f>HYPERLINK("https://klasma.github.io/Logging_2582/klagomålsmail/A 24429-2026 FSC-klagomål mail.docx", "A 24429-2026")</f>
        <v/>
      </c>
      <c r="AC147">
        <f>HYPERLINK("https://klasma.github.io/Logging_2582/tillsyn/A 24429-2026 tillsynsbegäran.docx", "A 24429-2026")</f>
        <v/>
      </c>
      <c r="AD147">
        <f>HYPERLINK("https://klasma.github.io/Logging_2582/tillsynsmail/A 24429-2026 tillsynsbegäran mail.docx", "A 24429-2026")</f>
        <v/>
      </c>
    </row>
    <row r="148" ht="15" customHeight="1">
      <c r="A148" t="inlineStr">
        <is>
          <t>A 25805-2026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46263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3.6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HYPERLINK("https://klasma.github.io/Logging_2582/artfynd/A 25805-2026 artfynd.xlsx", "A 25805-2026")</f>
        <v/>
      </c>
      <c r="X148">
        <f>HYPERLINK("https://klasma.github.io/Logging_2582/kartor/A 25805-2026 karta.png", "A 25805-2026")</f>
        <v/>
      </c>
      <c r="Y148">
        <f>HYPERLINK("https://klasma.github.io/Logging_2582/kartor_geotiff/A 25805-2026 georefererad karta.tif", "A 25805-2026")</f>
        <v/>
      </c>
      <c r="AA148">
        <f>HYPERLINK("https://klasma.github.io/Logging_2582/klagomål/A 25805-2026 FSC-klagomål.docx", "A 25805-2026")</f>
        <v/>
      </c>
      <c r="AB148">
        <f>HYPERLINK("https://klasma.github.io/Logging_2582/klagomålsmail/A 25805-2026 FSC-klagomål mail.docx", "A 25805-2026")</f>
        <v/>
      </c>
      <c r="AC148">
        <f>HYPERLINK("https://klasma.github.io/Logging_2582/tillsyn/A 25805-2026 tillsynsbegäran.docx", "A 25805-2026")</f>
        <v/>
      </c>
      <c r="AD148">
        <f>HYPERLINK("https://klasma.github.io/Logging_2582/tillsynsmail/A 25805-2026 tillsynsbegäran mail.docx", "A 25805-2026")</f>
        <v/>
      </c>
    </row>
    <row r="149" ht="15" customHeight="1">
      <c r="A149" t="inlineStr">
        <is>
          <t>A 25801-2026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46263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25801-2026 artfynd.xlsx", "A 25801-2026")</f>
        <v/>
      </c>
      <c r="X149">
        <f>HYPERLINK("https://klasma.github.io/Logging_2582/kartor/A 25801-2026 karta.png", "A 25801-2026")</f>
        <v/>
      </c>
      <c r="Y149">
        <f>HYPERLINK("https://klasma.github.io/Logging_2582/kartor_geotiff/A 25801-2026 georefererad karta.tif", "A 25801-2026")</f>
        <v/>
      </c>
      <c r="Z149">
        <f>HYPERLINK("https://klasma.github.io/Logging_2582/knärot/A 25801-2026 karta knärot.png", "A 25801-2026")</f>
        <v/>
      </c>
      <c r="AA149">
        <f>HYPERLINK("https://klasma.github.io/Logging_2582/klagomål/A 25801-2026 FSC-klagomål.docx", "A 25801-2026")</f>
        <v/>
      </c>
      <c r="AB149">
        <f>HYPERLINK("https://klasma.github.io/Logging_2582/klagomålsmail/A 25801-2026 FSC-klagomål mail.docx", "A 25801-2026")</f>
        <v/>
      </c>
      <c r="AC149">
        <f>HYPERLINK("https://klasma.github.io/Logging_2582/tillsyn/A 25801-2026 tillsynsbegäran.docx", "A 25801-2026")</f>
        <v/>
      </c>
      <c r="AD149">
        <f>HYPERLINK("https://klasma.github.io/Logging_2582/tillsynsmail/A 25801-2026 tillsynsbegäran mail.docx", "A 25801-2026")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46263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46263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46263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46263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32664-2026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46263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14.3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4</v>
      </c>
      <c r="U154" t="n">
        <v>0</v>
      </c>
      <c r="V154" s="2" t="inlineStr">
        <is>
          <t>Lunglav</t>
        </is>
      </c>
      <c r="W154">
        <f>HYPERLINK("https://klasma.github.io/Logging_2582/artfynd/A 32664-2026 artfynd.xlsx", "A 32664-2026")</f>
        <v/>
      </c>
      <c r="X154">
        <f>HYPERLINK("https://klasma.github.io/Logging_2582/kartor/A 32664-2026 karta.png", "A 32664-2026")</f>
        <v/>
      </c>
      <c r="Y154">
        <f>HYPERLINK("https://klasma.github.io/Logging_2582/kartor_geotiff/A 32664-2026 georefererad karta.tif", "A 32664-2026")</f>
        <v/>
      </c>
      <c r="AA154">
        <f>HYPERLINK("https://klasma.github.io/Logging_2582/klagomål/A 32664-2026 FSC-klagomål.docx", "A 32664-2026")</f>
        <v/>
      </c>
      <c r="AB154">
        <f>HYPERLINK("https://klasma.github.io/Logging_2582/klagomålsmail/A 32664-2026 FSC-klagomål mail.docx", "A 32664-2026")</f>
        <v/>
      </c>
      <c r="AC154">
        <f>HYPERLINK("https://klasma.github.io/Logging_2582/tillsyn/A 32664-2026 tillsynsbegäran.docx", "A 32664-2026")</f>
        <v/>
      </c>
      <c r="AD154">
        <f>HYPERLINK("https://klasma.github.io/Logging_2582/tillsynsmail/A 32664-2026 tillsynsbegäran mail.docx", "A 32664-2026")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46263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46263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46263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46263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2565-2026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46263</v>
      </c>
      <c r="F159" t="inlineStr">
        <is>
          <t>NORRBOTTENS LÄN</t>
        </is>
      </c>
      <c r="G159" t="inlineStr">
        <is>
          <t>BODEN</t>
        </is>
      </c>
      <c r="H159" t="inlineStr">
        <is>
          <t>Naturvårdsverket</t>
        </is>
      </c>
      <c r="I159" t="n">
        <v>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Garnlav</t>
        </is>
      </c>
      <c r="W159">
        <f>HYPERLINK("https://klasma.github.io/Logging_2582/artfynd/A 2565-2026 artfynd.xlsx", "A 2565-2026")</f>
        <v/>
      </c>
      <c r="X159">
        <f>HYPERLINK("https://klasma.github.io/Logging_2582/kartor/A 2565-2026 karta.png", "A 2565-2026")</f>
        <v/>
      </c>
      <c r="Y159">
        <f>HYPERLINK("https://klasma.github.io/Logging_2582/kartor_geotiff/A 2565-2026 georefererad karta.tif", "A 2565-2026")</f>
        <v/>
      </c>
      <c r="AA159">
        <f>HYPERLINK("https://klasma.github.io/Logging_2582/klagomål/A 2565-2026 FSC-klagomål.docx", "A 2565-2026")</f>
        <v/>
      </c>
      <c r="AB159">
        <f>HYPERLINK("https://klasma.github.io/Logging_2582/klagomålsmail/A 2565-2026 FSC-klagomål mail.docx", "A 2565-2026")</f>
        <v/>
      </c>
      <c r="AC159">
        <f>HYPERLINK("https://klasma.github.io/Logging_2582/tillsyn/A 2565-2026 tillsynsbegäran.docx", "A 2565-2026")</f>
        <v/>
      </c>
      <c r="AD159">
        <f>HYPERLINK("https://klasma.github.io/Logging_2582/tillsynsmail/A 2565-2026 tillsynsbegäran mail.docx", "A 2565-2026")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46263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35292-2026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46263</v>
      </c>
      <c r="F162" t="inlineStr">
        <is>
          <t>NORRBOTTENS LÄN</t>
        </is>
      </c>
      <c r="G162" t="inlineStr">
        <is>
          <t>BODEN</t>
        </is>
      </c>
      <c r="I162" t="n">
        <v>4.9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HYPERLINK("https://klasma.github.io/Logging_2582/artfynd/A 35292-2026 artfynd.xlsx", "A 35292-2026")</f>
        <v/>
      </c>
      <c r="X162">
        <f>HYPERLINK("https://klasma.github.io/Logging_2582/kartor/A 35292-2026 karta.png", "A 35292-2026")</f>
        <v/>
      </c>
      <c r="Y162">
        <f>HYPERLINK("https://klasma.github.io/Logging_2582/kartor_geotiff/A 35292-2026 georefererad karta.tif", "A 35292-2026")</f>
        <v/>
      </c>
      <c r="AA162">
        <f>HYPERLINK("https://klasma.github.io/Logging_2582/klagomål/A 35292-2026 FSC-klagomål.docx", "A 35292-2026")</f>
        <v/>
      </c>
      <c r="AB162">
        <f>HYPERLINK("https://klasma.github.io/Logging_2582/klagomålsmail/A 35292-2026 FSC-klagomål mail.docx", "A 35292-2026")</f>
        <v/>
      </c>
      <c r="AC162">
        <f>HYPERLINK("https://klasma.github.io/Logging_2582/tillsyn/A 35292-2026 tillsynsbegäran.docx", "A 35292-2026")</f>
        <v/>
      </c>
      <c r="AD162">
        <f>HYPERLINK("https://klasma.github.io/Logging_2582/tillsynsmail/A 35292-2026 tillsynsbegäran mail.docx", "A 35292-2026")</f>
        <v/>
      </c>
      <c r="AE162">
        <f>HYPERLINK("https://klasma.github.io/Logging_2582/fåglar/A 35292-2026 prioriterade fågelarter.docx", "A 35292-2026")</f>
        <v/>
      </c>
    </row>
    <row r="163" ht="15" customHeight="1">
      <c r="A163" t="inlineStr">
        <is>
          <t>A 35418-2026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46263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4.3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7</v>
      </c>
      <c r="U163" t="n">
        <v>7</v>
      </c>
      <c r="V163" s="2" t="inlineStr">
        <is>
          <t>Knärot</t>
        </is>
      </c>
      <c r="W163">
        <f>HYPERLINK("https://klasma.github.io/Logging_2582/artfynd/A 35418-2026 artfynd.xlsx", "A 35418-2026")</f>
        <v/>
      </c>
      <c r="X163">
        <f>HYPERLINK("https://klasma.github.io/Logging_2582/kartor/A 35418-2026 karta.png", "A 35418-2026")</f>
        <v/>
      </c>
      <c r="Y163">
        <f>HYPERLINK("https://klasma.github.io/Logging_2582/kartor_geotiff/A 35418-2026 georefererad karta.tif", "A 35418-2026")</f>
        <v/>
      </c>
      <c r="Z163">
        <f>HYPERLINK("https://klasma.github.io/Logging_2582/knärot/A 35418-2026 karta knärot.png", "A 35418-2026")</f>
        <v/>
      </c>
      <c r="AA163">
        <f>HYPERLINK("https://klasma.github.io/Logging_2582/klagomål/A 35418-2026 FSC-klagomål.docx", "A 35418-2026")</f>
        <v/>
      </c>
      <c r="AB163">
        <f>HYPERLINK("https://klasma.github.io/Logging_2582/klagomålsmail/A 35418-2026 FSC-klagomål mail.docx", "A 35418-2026")</f>
        <v/>
      </c>
      <c r="AC163">
        <f>HYPERLINK("https://klasma.github.io/Logging_2582/tillsyn/A 35418-2026 tillsynsbegäran.docx", "A 35418-2026")</f>
        <v/>
      </c>
      <c r="AD163">
        <f>HYPERLINK("https://klasma.github.io/Logging_2582/tillsynsmail/A 35418-2026 tillsynsbegäran mail.docx", "A 35418-2026")</f>
        <v/>
      </c>
    </row>
    <row r="164" ht="15" customHeight="1">
      <c r="A164" t="inlineStr">
        <is>
          <t>A 35299-2026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46263</v>
      </c>
      <c r="F164" t="inlineStr">
        <is>
          <t>NORRBOTTENS LÄN</t>
        </is>
      </c>
      <c r="G164" t="inlineStr">
        <is>
          <t>BODEN</t>
        </is>
      </c>
      <c r="I164" t="n">
        <v>3.3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HYPERLINK("https://klasma.github.io/Logging_2582/artfynd/A 35299-2026 artfynd.xlsx", "A 35299-2026")</f>
        <v/>
      </c>
      <c r="X164">
        <f>HYPERLINK("https://klasma.github.io/Logging_2582/kartor/A 35299-2026 karta.png", "A 35299-2026")</f>
        <v/>
      </c>
      <c r="Y164">
        <f>HYPERLINK("https://klasma.github.io/Logging_2582/kartor_geotiff/A 35299-2026 georefererad karta.tif", "A 35299-2026")</f>
        <v/>
      </c>
      <c r="Z164">
        <f>HYPERLINK("https://klasma.github.io/Logging_2582/knärot/A 35299-2026 karta knärot.png", "A 35299-2026")</f>
        <v/>
      </c>
      <c r="AA164">
        <f>HYPERLINK("https://klasma.github.io/Logging_2582/klagomål/A 35299-2026 FSC-klagomål.docx", "A 35299-2026")</f>
        <v/>
      </c>
      <c r="AB164">
        <f>HYPERLINK("https://klasma.github.io/Logging_2582/klagomålsmail/A 35299-2026 FSC-klagomål mail.docx", "A 35299-2026")</f>
        <v/>
      </c>
      <c r="AC164">
        <f>HYPERLINK("https://klasma.github.io/Logging_2582/tillsyn/A 35299-2026 tillsynsbegäran.docx", "A 35299-2026")</f>
        <v/>
      </c>
      <c r="AD164">
        <f>HYPERLINK("https://klasma.github.io/Logging_2582/tillsynsmail/A 35299-2026 tillsynsbegäran mail.docx", "A 35299-2026")</f>
        <v/>
      </c>
    </row>
    <row r="165" ht="15" customHeight="1">
      <c r="A165" t="inlineStr">
        <is>
          <t>S 187-2023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44944</v>
      </c>
      <c r="E165" s="1" t="n">
        <v>46263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407.1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Duvhök</t>
        </is>
      </c>
      <c r="W165">
        <f>HYPERLINK("https://klasma.github.io/Logging_2582/artfynd/S 187-2023 artfynd.xlsx", "S 187-2023")</f>
        <v/>
      </c>
      <c r="X165">
        <f>HYPERLINK("https://klasma.github.io/Logging_2582/kartor/S 187-2023 karta.png", "S 187-2023")</f>
        <v/>
      </c>
      <c r="Y165">
        <f>HYPERLINK("https://klasma.github.io/Logging_2582/kartor_geotiff/S 187-2023 georefererad karta.tif", "S 187-2023")</f>
        <v/>
      </c>
      <c r="AA165">
        <f>HYPERLINK("https://klasma.github.io/Logging_2582/klagomål/S 187-2023 FSC-klagomål.docx", "S 187-2023")</f>
        <v/>
      </c>
      <c r="AB165">
        <f>HYPERLINK("https://klasma.github.io/Logging_2582/klagomålsmail/S 187-2023 FSC-klagomål mail.docx", "S 187-2023")</f>
        <v/>
      </c>
      <c r="AC165">
        <f>HYPERLINK("https://klasma.github.io/Logging_2582/tillsyn/S 187-2023 tillsynsbegäran.docx", "S 187-2023")</f>
        <v/>
      </c>
      <c r="AD165">
        <f>HYPERLINK("https://klasma.github.io/Logging_2582/tillsynsmail/S 187-2023 tillsynsbegäran mail.docx", "S 187-2023")</f>
        <v/>
      </c>
      <c r="AE165">
        <f>HYPERLINK("https://klasma.github.io/Logging_2582/fåglar/S 187-2023 prioriterade fågelarter.docx", "S 187-2023")</f>
        <v/>
      </c>
    </row>
    <row r="166" ht="15" customHeight="1">
      <c r="A166" t="inlineStr">
        <is>
          <t>S 1448-2024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45418</v>
      </c>
      <c r="E166" s="1" t="n">
        <v>46263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Tallticka</t>
        </is>
      </c>
      <c r="W166">
        <f>HYPERLINK("https://klasma.github.io/Logging_2582/artfynd/S 1448-2024 artfynd.xlsx", "S 1448-2024")</f>
        <v/>
      </c>
      <c r="X166">
        <f>HYPERLINK("https://klasma.github.io/Logging_2582/kartor/S 1448-2024 karta.png", "S 1448-2024")</f>
        <v/>
      </c>
      <c r="Y166">
        <f>HYPERLINK("https://klasma.github.io/Logging_2582/kartor_geotiff/S 1448-2024 georefererad karta.tif", "S 1448-2024")</f>
        <v/>
      </c>
      <c r="AA166">
        <f>HYPERLINK("https://klasma.github.io/Logging_2582/klagomål/S 1448-2024 FSC-klagomål.docx", "S 1448-2024")</f>
        <v/>
      </c>
      <c r="AB166">
        <f>HYPERLINK("https://klasma.github.io/Logging_2582/klagomålsmail/S 1448-2024 FSC-klagomål mail.docx", "S 1448-2024")</f>
        <v/>
      </c>
      <c r="AC166">
        <f>HYPERLINK("https://klasma.github.io/Logging_2582/tillsyn/S 1448-2024 tillsynsbegäran.docx", "S 1448-2024")</f>
        <v/>
      </c>
      <c r="AD166">
        <f>HYPERLINK("https://klasma.github.io/Logging_2582/tillsynsmail/S 1448-2024 tillsynsbegäran mail.docx", "S 1448-2024")</f>
        <v/>
      </c>
    </row>
    <row r="167" ht="15" customHeight="1">
      <c r="A167" t="inlineStr">
        <is>
          <t>S 1234-2023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45028</v>
      </c>
      <c r="E167" s="1" t="n">
        <v>46263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100.1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HYPERLINK("https://klasma.github.io/Logging_2582/artfynd/S 1234-2023 artfynd.xlsx", "S 1234-2023")</f>
        <v/>
      </c>
      <c r="X167">
        <f>HYPERLINK("https://klasma.github.io/Logging_2582/kartor/S 1234-2023 karta.png", "S 1234-2023")</f>
        <v/>
      </c>
      <c r="Y167">
        <f>HYPERLINK("https://klasma.github.io/Logging_2582/kartor_geotiff/S 1234-2023 georefererad karta.tif", "S 1234-2023")</f>
        <v/>
      </c>
      <c r="AA167">
        <f>HYPERLINK("https://klasma.github.io/Logging_2582/klagomål/S 1234-2023 FSC-klagomål.docx", "S 1234-2023")</f>
        <v/>
      </c>
      <c r="AB167">
        <f>HYPERLINK("https://klasma.github.io/Logging_2582/klagomålsmail/S 1234-2023 FSC-klagomål mail.docx", "S 1234-2023")</f>
        <v/>
      </c>
      <c r="AC167">
        <f>HYPERLINK("https://klasma.github.io/Logging_2582/tillsyn/S 1234-2023 tillsynsbegäran.docx", "S 1234-2023")</f>
        <v/>
      </c>
      <c r="AD167">
        <f>HYPERLINK("https://klasma.github.io/Logging_2582/tillsynsmail/S 1234-2023 tillsynsbegäran mail.docx", "S 1234-2023")</f>
        <v/>
      </c>
    </row>
    <row r="168" ht="15" customHeight="1">
      <c r="A168" t="inlineStr">
        <is>
          <t>S 5116-2024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45643</v>
      </c>
      <c r="E168" s="1" t="n">
        <v>46263</v>
      </c>
      <c r="F168" t="inlineStr">
        <is>
          <t>NORRBOTTENS LÄN</t>
        </is>
      </c>
      <c r="G168" t="inlineStr">
        <is>
          <t>BODEN</t>
        </is>
      </c>
      <c r="I168" t="n">
        <v>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Mattlummer</t>
        </is>
      </c>
      <c r="W168">
        <f>HYPERLINK("https://klasma.github.io/Logging_2582/artfynd/S 5116-2024 artfynd.xlsx", "S 5116-2024")</f>
        <v/>
      </c>
      <c r="X168">
        <f>HYPERLINK("https://klasma.github.io/Logging_2582/kartor/S 5116-2024 karta.png", "S 5116-2024")</f>
        <v/>
      </c>
      <c r="Y168">
        <f>HYPERLINK("https://klasma.github.io/Logging_2582/kartor_geotiff/S 5116-2024 georefererad karta.tif", "S 5116-2024")</f>
        <v/>
      </c>
      <c r="AA168">
        <f>HYPERLINK("https://klasma.github.io/Logging_2582/klagomål/S 5116-2024 FSC-klagomål.docx", "S 5116-2024")</f>
        <v/>
      </c>
      <c r="AB168">
        <f>HYPERLINK("https://klasma.github.io/Logging_2582/klagomålsmail/S 5116-2024 FSC-klagomål mail.docx", "S 5116-2024")</f>
        <v/>
      </c>
      <c r="AC168">
        <f>HYPERLINK("https://klasma.github.io/Logging_2582/tillsyn/S 5116-2024 tillsynsbegäran.docx", "S 5116-2024")</f>
        <v/>
      </c>
      <c r="AD168">
        <f>HYPERLINK("https://klasma.github.io/Logging_2582/tillsynsmail/S 5116-2024 tillsynsbegäran mail.docx", "S 5116-2024")</f>
        <v/>
      </c>
    </row>
    <row r="169" ht="15" customHeight="1">
      <c r="A169" t="inlineStr">
        <is>
          <t>S 1634-2025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45799</v>
      </c>
      <c r="E169" s="1" t="n">
        <v>46263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1.9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Knärot</t>
        </is>
      </c>
      <c r="W169">
        <f>HYPERLINK("https://klasma.github.io/Logging_2582/artfynd/S 1634-2025 artfynd.xlsx", "S 1634-2025")</f>
        <v/>
      </c>
      <c r="X169">
        <f>HYPERLINK("https://klasma.github.io/Logging_2582/kartor/S 1634-2025 karta.png", "S 1634-2025")</f>
        <v/>
      </c>
      <c r="Y169">
        <f>HYPERLINK("https://klasma.github.io/Logging_2582/kartor_geotiff/S 1634-2025 georefererad karta.tif", "S 1634-2025")</f>
        <v/>
      </c>
      <c r="Z169">
        <f>HYPERLINK("https://klasma.github.io/Logging_2582/knärot/S 1634-2025 karta knärot.png", "S 1634-2025")</f>
        <v/>
      </c>
      <c r="AA169">
        <f>HYPERLINK("https://klasma.github.io/Logging_2582/klagomål/S 1634-2025 FSC-klagomål.docx", "S 1634-2025")</f>
        <v/>
      </c>
      <c r="AB169">
        <f>HYPERLINK("https://klasma.github.io/Logging_2582/klagomålsmail/S 1634-2025 FSC-klagomål mail.docx", "S 1634-2025")</f>
        <v/>
      </c>
      <c r="AC169">
        <f>HYPERLINK("https://klasma.github.io/Logging_2582/tillsyn/S 1634-2025 tillsynsbegäran.docx", "S 1634-2025")</f>
        <v/>
      </c>
      <c r="AD169">
        <f>HYPERLINK("https://klasma.github.io/Logging_2582/tillsynsmail/S 1634-2025 tillsynsbegäran mail.docx", "S 1634-2025")</f>
        <v/>
      </c>
    </row>
    <row r="170" ht="15" customHeight="1">
      <c r="A170" t="inlineStr">
        <is>
          <t>S 2450-2025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45901</v>
      </c>
      <c r="E170" s="1" t="n">
        <v>46263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Kolflarnlav</t>
        </is>
      </c>
      <c r="W170">
        <f>HYPERLINK("https://klasma.github.io/Logging_2582/artfynd/S 2450-2025 artfynd.xlsx", "S 2450-2025")</f>
        <v/>
      </c>
      <c r="X170">
        <f>HYPERLINK("https://klasma.github.io/Logging_2582/kartor/S 2450-2025 karta.png", "S 2450-2025")</f>
        <v/>
      </c>
      <c r="Y170">
        <f>HYPERLINK("https://klasma.github.io/Logging_2582/kartor_geotiff/S 2450-2025 georefererad karta.tif", "S 2450-2025")</f>
        <v/>
      </c>
      <c r="AA170">
        <f>HYPERLINK("https://klasma.github.io/Logging_2582/klagomål/S 2450-2025 FSC-klagomål.docx", "S 2450-2025")</f>
        <v/>
      </c>
      <c r="AB170">
        <f>HYPERLINK("https://klasma.github.io/Logging_2582/klagomålsmail/S 2450-2025 FSC-klagomål mail.docx", "S 2450-2025")</f>
        <v/>
      </c>
      <c r="AC170">
        <f>HYPERLINK("https://klasma.github.io/Logging_2582/tillsyn/S 2450-2025 tillsynsbegäran.docx", "S 2450-2025")</f>
        <v/>
      </c>
      <c r="AD170">
        <f>HYPERLINK("https://klasma.github.io/Logging_2582/tillsynsmail/S 2450-2025 tillsynsbegäran mail.docx", "S 2450-2025")</f>
        <v/>
      </c>
    </row>
    <row r="171" ht="15" customHeight="1">
      <c r="A171" t="inlineStr">
        <is>
          <t>S 2940-2025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45952</v>
      </c>
      <c r="E171" s="1" t="n">
        <v>46263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0.7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Skinnlav</t>
        </is>
      </c>
      <c r="W171">
        <f>HYPERLINK("https://klasma.github.io/Logging_2582/artfynd/S 2940-2025 artfynd.xlsx", "S 2940-2025")</f>
        <v/>
      </c>
      <c r="X171">
        <f>HYPERLINK("https://klasma.github.io/Logging_2582/kartor/S 2940-2025 karta.png", "S 2940-2025")</f>
        <v/>
      </c>
      <c r="Y171">
        <f>HYPERLINK("https://klasma.github.io/Logging_2582/kartor_geotiff/S 2940-2025 georefererad karta.tif", "S 2940-2025")</f>
        <v/>
      </c>
      <c r="AA171">
        <f>HYPERLINK("https://klasma.github.io/Logging_2582/klagomål/S 2940-2025 FSC-klagomål.docx", "S 2940-2025")</f>
        <v/>
      </c>
      <c r="AB171">
        <f>HYPERLINK("https://klasma.github.io/Logging_2582/klagomålsmail/S 2940-2025 FSC-klagomål mail.docx", "S 2940-2025")</f>
        <v/>
      </c>
      <c r="AC171">
        <f>HYPERLINK("https://klasma.github.io/Logging_2582/tillsyn/S 2940-2025 tillsynsbegäran.docx", "S 2940-2025")</f>
        <v/>
      </c>
      <c r="AD171">
        <f>HYPERLINK("https://klasma.github.io/Logging_2582/tillsynsmail/S 2940-2025 tillsynsbegäran mail.docx", "S 2940-2025")</f>
        <v/>
      </c>
    </row>
    <row r="172" ht="15" customHeight="1">
      <c r="A172" t="inlineStr">
        <is>
          <t>A 63790-2021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46263</v>
      </c>
      <c r="F172" t="inlineStr">
        <is>
          <t>NORRBOTTENS LÄN</t>
        </is>
      </c>
      <c r="G172" t="inlineStr">
        <is>
          <t>BODEN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44677</v>
      </c>
      <c r="E173" s="1" t="n">
        <v>46263</v>
      </c>
      <c r="F173" t="inlineStr">
        <is>
          <t>NORRBOTTENS LÄN</t>
        </is>
      </c>
      <c r="G173" t="inlineStr">
        <is>
          <t>BODEN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44577</v>
      </c>
      <c r="E174" s="1" t="n">
        <v>46263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44671</v>
      </c>
      <c r="E175" s="1" t="n">
        <v>46263</v>
      </c>
      <c r="F175" t="inlineStr">
        <is>
          <t>NORRBOTTENS LÄN</t>
        </is>
      </c>
      <c r="G175" t="inlineStr">
        <is>
          <t>BODEN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46263</v>
      </c>
      <c r="F176" t="inlineStr">
        <is>
          <t>NORRBOTTENS LÄN</t>
        </is>
      </c>
      <c r="G176" t="inlineStr">
        <is>
          <t>BODEN</t>
        </is>
      </c>
      <c r="I176" t="n">
        <v>11.2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46263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46263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46263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38722-2022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44815</v>
      </c>
      <c r="E180" s="1" t="n">
        <v>46263</v>
      </c>
      <c r="F180" t="inlineStr">
        <is>
          <t>NORRBOTTENS LÄN</t>
        </is>
      </c>
      <c r="G180" t="inlineStr">
        <is>
          <t>BODEN</t>
        </is>
      </c>
      <c r="H180" t="inlineStr">
        <is>
          <t>Övriga statliga verk och myndigheter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44648</v>
      </c>
      <c r="E181" s="1" t="n">
        <v>46263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51902-2021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44462</v>
      </c>
      <c r="E182" s="1" t="n">
        <v>46263</v>
      </c>
      <c r="F182" t="inlineStr">
        <is>
          <t>NORRBOTTENS LÄN</t>
        </is>
      </c>
      <c r="G182" t="inlineStr">
        <is>
          <t>BODEN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44617</v>
      </c>
      <c r="E183" s="1" t="n">
        <v>46263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44648</v>
      </c>
      <c r="E184" s="1" t="n">
        <v>46263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45185-2021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44439</v>
      </c>
      <c r="E185" s="1" t="n">
        <v>46263</v>
      </c>
      <c r="F185" t="inlineStr">
        <is>
          <t>NORRBOTTENS LÄN</t>
        </is>
      </c>
      <c r="G185" t="inlineStr">
        <is>
          <t>BODEN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44464</v>
      </c>
      <c r="E186" s="1" t="n">
        <v>46263</v>
      </c>
      <c r="F186" t="inlineStr">
        <is>
          <t>NORRBOTTENS LÄN</t>
        </is>
      </c>
      <c r="G186" t="inlineStr">
        <is>
          <t>BODEN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46263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46263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46263</v>
      </c>
      <c r="F189" t="inlineStr">
        <is>
          <t>NORRBOTTENS LÄN</t>
        </is>
      </c>
      <c r="G189" t="inlineStr">
        <is>
          <t>BODEN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46263</v>
      </c>
      <c r="F190" t="inlineStr">
        <is>
          <t>NORRBOTTENS LÄN</t>
        </is>
      </c>
      <c r="G190" t="inlineStr">
        <is>
          <t>BODEN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46263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46263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44721</v>
      </c>
      <c r="E193" s="1" t="n">
        <v>46263</v>
      </c>
      <c r="F193" t="inlineStr">
        <is>
          <t>NORRBOTTENS LÄN</t>
        </is>
      </c>
      <c r="G193" t="inlineStr">
        <is>
          <t>BODEN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71833-2021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44543</v>
      </c>
      <c r="E194" s="1" t="n">
        <v>46263</v>
      </c>
      <c r="F194" t="inlineStr">
        <is>
          <t>NORRBOTTENS LÄN</t>
        </is>
      </c>
      <c r="G194" t="inlineStr">
        <is>
          <t>BODEN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68914-2021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46263</v>
      </c>
      <c r="F195" t="inlineStr">
        <is>
          <t>NORRBOTTENS LÄN</t>
        </is>
      </c>
      <c r="G195" t="inlineStr">
        <is>
          <t>BODEN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46263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46263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46263</v>
      </c>
      <c r="F198" t="inlineStr">
        <is>
          <t>NORRBOTTENS LÄN</t>
        </is>
      </c>
      <c r="G198" t="inlineStr">
        <is>
          <t>BODEN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46263</v>
      </c>
      <c r="F199" t="inlineStr">
        <is>
          <t>NORRBOTTENS LÄN</t>
        </is>
      </c>
      <c r="G199" t="inlineStr">
        <is>
          <t>BODEN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714-2022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46263</v>
      </c>
      <c r="F200" t="inlineStr">
        <is>
          <t>NORRBOTTENS LÄN</t>
        </is>
      </c>
      <c r="G200" t="inlineStr">
        <is>
          <t>BODEN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44600</v>
      </c>
      <c r="E201" s="1" t="n">
        <v>46263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46263</v>
      </c>
      <c r="F202" t="inlineStr">
        <is>
          <t>NORRBOTTENS LÄN</t>
        </is>
      </c>
      <c r="G202" t="inlineStr">
        <is>
          <t>BODEN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46263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44438</v>
      </c>
      <c r="E204" s="1" t="n">
        <v>46263</v>
      </c>
      <c r="F204" t="inlineStr">
        <is>
          <t>NORRBOTTENS LÄN</t>
        </is>
      </c>
      <c r="G204" t="inlineStr">
        <is>
          <t>BODEN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46263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46263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46263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46263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46263</v>
      </c>
      <c r="F209" t="inlineStr">
        <is>
          <t>NORRBOTTENS LÄN</t>
        </is>
      </c>
      <c r="G209" t="inlineStr">
        <is>
          <t>BODEN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46263</v>
      </c>
      <c r="F210" t="inlineStr">
        <is>
          <t>NORRBOTTENS LÄN</t>
        </is>
      </c>
      <c r="G210" t="inlineStr">
        <is>
          <t>BODEN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46263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46263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46263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46263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46263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46263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46263</v>
      </c>
      <c r="F217" t="inlineStr">
        <is>
          <t>NORRBOTTENS LÄN</t>
        </is>
      </c>
      <c r="G217" t="inlineStr">
        <is>
          <t>BODEN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46263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46263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46263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45189-2021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46263</v>
      </c>
      <c r="F221" t="inlineStr">
        <is>
          <t>NORRBOTTENS LÄN</t>
        </is>
      </c>
      <c r="G221" t="inlineStr">
        <is>
          <t>BODEN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46263</v>
      </c>
      <c r="F222" t="inlineStr">
        <is>
          <t>NORRBOTTENS LÄN</t>
        </is>
      </c>
      <c r="G222" t="inlineStr">
        <is>
          <t>BODEN</t>
        </is>
      </c>
      <c r="H222" t="inlineStr">
        <is>
          <t>Kyrkan</t>
        </is>
      </c>
      <c r="I222" t="n">
        <v>16.5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44797</v>
      </c>
      <c r="E223" s="1" t="n">
        <v>46263</v>
      </c>
      <c r="F223" t="inlineStr">
        <is>
          <t>NORRBOTTENS LÄN</t>
        </is>
      </c>
      <c r="G223" t="inlineStr">
        <is>
          <t>BODEN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46263</v>
      </c>
      <c r="F224" t="inlineStr">
        <is>
          <t>NORRBOTTENS LÄN</t>
        </is>
      </c>
      <c r="G224" t="inlineStr">
        <is>
          <t>BODEN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46263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57583-2021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44484</v>
      </c>
      <c r="E226" s="1" t="n">
        <v>46263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58898-2021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44489</v>
      </c>
      <c r="E227" s="1" t="n">
        <v>46263</v>
      </c>
      <c r="F227" t="inlineStr">
        <is>
          <t>NORRBOTTENS LÄN</t>
        </is>
      </c>
      <c r="G227" t="inlineStr">
        <is>
          <t>BODEN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46263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46263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46263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43969-2024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45572</v>
      </c>
      <c r="E231" s="1" t="n">
        <v>46263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26022-2022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46263</v>
      </c>
      <c r="F232" t="inlineStr">
        <is>
          <t>NORRBOTTENS LÄN</t>
        </is>
      </c>
      <c r="G232" t="inlineStr">
        <is>
          <t>BODEN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44833</v>
      </c>
      <c r="E233" s="1" t="n">
        <v>46263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46263</v>
      </c>
      <c r="F234" t="inlineStr">
        <is>
          <t>NORRBOTTENS LÄN</t>
        </is>
      </c>
      <c r="G234" t="inlineStr">
        <is>
          <t>BODEN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46263</v>
      </c>
      <c r="F235" t="inlineStr">
        <is>
          <t>NORRBOTTENS LÄN</t>
        </is>
      </c>
      <c r="G235" t="inlineStr">
        <is>
          <t>BODEN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46263</v>
      </c>
      <c r="F236" t="inlineStr">
        <is>
          <t>NORRBOTTENS LÄN</t>
        </is>
      </c>
      <c r="G236" t="inlineStr">
        <is>
          <t>BODEN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45778</v>
      </c>
      <c r="E237" s="1" t="n">
        <v>46263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46263</v>
      </c>
      <c r="F238" t="inlineStr">
        <is>
          <t>NORRBOTTENS LÄN</t>
        </is>
      </c>
      <c r="G238" t="inlineStr">
        <is>
          <t>BODEN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46263</v>
      </c>
      <c r="F239" t="inlineStr">
        <is>
          <t>NORRBOTTENS LÄN</t>
        </is>
      </c>
      <c r="G239" t="inlineStr">
        <is>
          <t>BODEN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46263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46263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51525-2025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45950</v>
      </c>
      <c r="E242" s="1" t="n">
        <v>46263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46263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46263</v>
      </c>
      <c r="F244" t="inlineStr">
        <is>
          <t>NORRBOTTENS LÄN</t>
        </is>
      </c>
      <c r="G244" t="inlineStr">
        <is>
          <t>BODEN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46263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46263</v>
      </c>
      <c r="F246" t="inlineStr">
        <is>
          <t>NORRBOTTENS LÄN</t>
        </is>
      </c>
      <c r="G246" t="inlineStr">
        <is>
          <t>BODEN</t>
        </is>
      </c>
      <c r="H246" t="inlineStr">
        <is>
          <t>Övriga statliga verk och myndigheter</t>
        </is>
      </c>
      <c r="I246" t="n">
        <v>10.4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45955</v>
      </c>
      <c r="E247" s="1" t="n">
        <v>46263</v>
      </c>
      <c r="F247" t="inlineStr">
        <is>
          <t>NORRBOTTENS LÄN</t>
        </is>
      </c>
      <c r="G247" t="inlineStr">
        <is>
          <t>BODEN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52646-2025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45955</v>
      </c>
      <c r="E248" s="1" t="n">
        <v>46263</v>
      </c>
      <c r="F248" t="inlineStr">
        <is>
          <t>NORRBOTTENS LÄN</t>
        </is>
      </c>
      <c r="G248" t="inlineStr">
        <is>
          <t>BODEN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46263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46263</v>
      </c>
      <c r="F250" t="inlineStr">
        <is>
          <t>NORRBOTTENS LÄN</t>
        </is>
      </c>
      <c r="G250" t="inlineStr">
        <is>
          <t>BODEN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46263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53623-2025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45960</v>
      </c>
      <c r="E252" s="1" t="n">
        <v>46263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46263</v>
      </c>
      <c r="F253" t="inlineStr">
        <is>
          <t>NORRBOTTENS LÄN</t>
        </is>
      </c>
      <c r="G253" t="inlineStr">
        <is>
          <t>BODEN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46263</v>
      </c>
      <c r="F254" t="inlineStr">
        <is>
          <t>NORRBOTTENS LÄN</t>
        </is>
      </c>
      <c r="G254" t="inlineStr">
        <is>
          <t>BODEN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46263</v>
      </c>
      <c r="F255" t="inlineStr">
        <is>
          <t>NORRBOTTENS LÄN</t>
        </is>
      </c>
      <c r="G255" t="inlineStr">
        <is>
          <t>BODEN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56111-2021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44477</v>
      </c>
      <c r="E256" s="1" t="n">
        <v>46263</v>
      </c>
      <c r="F256" t="inlineStr">
        <is>
          <t>NORRBOTTENS LÄN</t>
        </is>
      </c>
      <c r="G256" t="inlineStr">
        <is>
          <t>BODEN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46263</v>
      </c>
      <c r="F257" t="inlineStr">
        <is>
          <t>NORRBOTTENS LÄN</t>
        </is>
      </c>
      <c r="G257" t="inlineStr">
        <is>
          <t>BODEN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46263</v>
      </c>
      <c r="F258" t="inlineStr">
        <is>
          <t>NORRBOTTENS LÄN</t>
        </is>
      </c>
      <c r="G258" t="inlineStr">
        <is>
          <t>BODEN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46263</v>
      </c>
      <c r="F259" t="inlineStr">
        <is>
          <t>NORRBOTTENS LÄN</t>
        </is>
      </c>
      <c r="G259" t="inlineStr">
        <is>
          <t>BODEN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22372-2025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45786</v>
      </c>
      <c r="E260" s="1" t="n">
        <v>46263</v>
      </c>
      <c r="F260" t="inlineStr">
        <is>
          <t>NORRBOTTENS LÄN</t>
        </is>
      </c>
      <c r="G260" t="inlineStr">
        <is>
          <t>BODEN</t>
        </is>
      </c>
      <c r="H260" t="inlineStr">
        <is>
          <t>Kommuner</t>
        </is>
      </c>
      <c r="I260" t="n">
        <v>16.3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46263</v>
      </c>
      <c r="F261" t="inlineStr">
        <is>
          <t>NORRBOTTENS LÄN</t>
        </is>
      </c>
      <c r="G261" t="inlineStr">
        <is>
          <t>BODEN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46263</v>
      </c>
      <c r="F262" t="inlineStr">
        <is>
          <t>NORRBOTTENS LÄN</t>
        </is>
      </c>
      <c r="G262" t="inlineStr">
        <is>
          <t>BODEN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46263</v>
      </c>
      <c r="F263" t="inlineStr">
        <is>
          <t>NORRBOTTENS LÄN</t>
        </is>
      </c>
      <c r="G263" t="inlineStr">
        <is>
          <t>BODEN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45649</v>
      </c>
      <c r="E264" s="1" t="n">
        <v>46263</v>
      </c>
      <c r="F264" t="inlineStr">
        <is>
          <t>NORRBOTTENS LÄN</t>
        </is>
      </c>
      <c r="G264" t="inlineStr">
        <is>
          <t>BODEN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46263</v>
      </c>
      <c r="F265" t="inlineStr">
        <is>
          <t>NORRBOTTENS LÄN</t>
        </is>
      </c>
      <c r="G265" t="inlineStr">
        <is>
          <t>BODEN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46263</v>
      </c>
      <c r="F266" t="inlineStr">
        <is>
          <t>NORRBOTTENS LÄN</t>
        </is>
      </c>
      <c r="G266" t="inlineStr">
        <is>
          <t>BODEN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74264-2021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44558</v>
      </c>
      <c r="E267" s="1" t="n">
        <v>46263</v>
      </c>
      <c r="F267" t="inlineStr">
        <is>
          <t>NORRBOTTENS LÄN</t>
        </is>
      </c>
      <c r="G267" t="inlineStr">
        <is>
          <t>BODEN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45649</v>
      </c>
      <c r="E268" s="1" t="n">
        <v>46263</v>
      </c>
      <c r="F268" t="inlineStr">
        <is>
          <t>NORRBOTTENS LÄN</t>
        </is>
      </c>
      <c r="G268" t="inlineStr">
        <is>
          <t>BODEN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60466-2024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45643</v>
      </c>
      <c r="E269" s="1" t="n">
        <v>46263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46263</v>
      </c>
      <c r="F270" t="inlineStr">
        <is>
          <t>NORRBOTTENS LÄN</t>
        </is>
      </c>
      <c r="G270" t="inlineStr">
        <is>
          <t>BODEN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45764</v>
      </c>
      <c r="E271" s="1" t="n">
        <v>46263</v>
      </c>
      <c r="F271" t="inlineStr">
        <is>
          <t>NORRBOTTENS LÄN</t>
        </is>
      </c>
      <c r="G271" t="inlineStr">
        <is>
          <t>BODEN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46263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10.7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46263</v>
      </c>
      <c r="F273" t="inlineStr">
        <is>
          <t>NORRBOTTENS LÄN</t>
        </is>
      </c>
      <c r="G273" t="inlineStr">
        <is>
          <t>BODEN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45379</v>
      </c>
      <c r="E274" s="1" t="n">
        <v>46263</v>
      </c>
      <c r="F274" t="inlineStr">
        <is>
          <t>NORRBOTTENS LÄN</t>
        </is>
      </c>
      <c r="G274" t="inlineStr">
        <is>
          <t>BODEN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45891</v>
      </c>
      <c r="E275" s="1" t="n">
        <v>46263</v>
      </c>
      <c r="F275" t="inlineStr">
        <is>
          <t>NORRBOTTENS LÄN</t>
        </is>
      </c>
      <c r="G275" t="inlineStr">
        <is>
          <t>BODEN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54590-2022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44883</v>
      </c>
      <c r="E276" s="1" t="n">
        <v>46263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45791</v>
      </c>
      <c r="E277" s="1" t="n">
        <v>46263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46263</v>
      </c>
      <c r="F278" t="inlineStr">
        <is>
          <t>NORRBOTTENS LÄN</t>
        </is>
      </c>
      <c r="G278" t="inlineStr">
        <is>
          <t>BODEN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44441</v>
      </c>
      <c r="E279" s="1" t="n">
        <v>46263</v>
      </c>
      <c r="F279" t="inlineStr">
        <is>
          <t>NORRBOTTENS LÄN</t>
        </is>
      </c>
      <c r="G279" t="inlineStr">
        <is>
          <t>BODEN</t>
        </is>
      </c>
      <c r="I279" t="n">
        <v>13.6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46263</v>
      </c>
      <c r="F280" t="inlineStr">
        <is>
          <t>NORRBOTTENS LÄN</t>
        </is>
      </c>
      <c r="G280" t="inlineStr">
        <is>
          <t>BODEN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46263</v>
      </c>
      <c r="F281" t="inlineStr">
        <is>
          <t>NORRBOTTENS LÄN</t>
        </is>
      </c>
      <c r="G281" t="inlineStr">
        <is>
          <t>BODEN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45419</v>
      </c>
      <c r="E282" s="1" t="n">
        <v>46263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41691-2025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45902</v>
      </c>
      <c r="E283" s="1" t="n">
        <v>46263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46263</v>
      </c>
      <c r="F284" t="inlineStr">
        <is>
          <t>NORRBOTTENS LÄN</t>
        </is>
      </c>
      <c r="G284" t="inlineStr">
        <is>
          <t>BODEN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46263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45516</v>
      </c>
      <c r="E286" s="1" t="n">
        <v>46263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45516</v>
      </c>
      <c r="E287" s="1" t="n">
        <v>46263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46263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45907</v>
      </c>
      <c r="E289" s="1" t="n">
        <v>46263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46263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45910</v>
      </c>
      <c r="E291" s="1" t="n">
        <v>46263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46263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46263</v>
      </c>
      <c r="F293" t="inlineStr">
        <is>
          <t>NORRBOTTENS LÄN</t>
        </is>
      </c>
      <c r="G293" t="inlineStr">
        <is>
          <t>BODEN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48420-2024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45590</v>
      </c>
      <c r="E294" s="1" t="n">
        <v>46263</v>
      </c>
      <c r="F294" t="inlineStr">
        <is>
          <t>NORRBOTTENS LÄN</t>
        </is>
      </c>
      <c r="G294" t="inlineStr">
        <is>
          <t>BODEN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46263</v>
      </c>
      <c r="F295" t="inlineStr">
        <is>
          <t>NORRBOTTENS LÄN</t>
        </is>
      </c>
      <c r="G295" t="inlineStr">
        <is>
          <t>BODEN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23763-2025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45793</v>
      </c>
      <c r="E296" s="1" t="n">
        <v>46263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45793</v>
      </c>
      <c r="E297" s="1" t="n">
        <v>46263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46263</v>
      </c>
      <c r="F298" t="inlineStr">
        <is>
          <t>NORRBOTTENS LÄN</t>
        </is>
      </c>
      <c r="G298" t="inlineStr">
        <is>
          <t>BODEN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46263</v>
      </c>
      <c r="F299" t="inlineStr">
        <is>
          <t>NORRBOTTENS LÄN</t>
        </is>
      </c>
      <c r="G299" t="inlineStr">
        <is>
          <t>BODEN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46263</v>
      </c>
      <c r="F300" t="inlineStr">
        <is>
          <t>NORRBOTTENS LÄN</t>
        </is>
      </c>
      <c r="G300" t="inlineStr">
        <is>
          <t>BODEN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47920-2024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46263</v>
      </c>
      <c r="F301" t="inlineStr">
        <is>
          <t>NORRBOTTENS LÄN</t>
        </is>
      </c>
      <c r="G301" t="inlineStr">
        <is>
          <t>BODEN</t>
        </is>
      </c>
      <c r="H301" t="inlineStr">
        <is>
          <t>Naturvårdsverket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45912</v>
      </c>
      <c r="E302" s="1" t="n">
        <v>46263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46263</v>
      </c>
      <c r="F303" t="inlineStr">
        <is>
          <t>NORRBOTTENS LÄN</t>
        </is>
      </c>
      <c r="G303" t="inlineStr">
        <is>
          <t>BODEN</t>
        </is>
      </c>
      <c r="H303" t="inlineStr">
        <is>
          <t>Naturvårdsverket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46263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46263</v>
      </c>
      <c r="F305" t="inlineStr">
        <is>
          <t>NORRBOTTENS LÄN</t>
        </is>
      </c>
      <c r="G305" t="inlineStr">
        <is>
          <t>BODEN</t>
        </is>
      </c>
      <c r="H305" t="inlineStr">
        <is>
          <t>Naturvårdsverket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46263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46263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46263</v>
      </c>
      <c r="F308" t="inlineStr">
        <is>
          <t>NORRBOTTENS LÄN</t>
        </is>
      </c>
      <c r="G308" t="inlineStr">
        <is>
          <t>BODEN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44249-2025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46263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46263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46263</v>
      </c>
      <c r="F311" t="inlineStr">
        <is>
          <t>NORRBOTTENS LÄN</t>
        </is>
      </c>
      <c r="G311" t="inlineStr">
        <is>
          <t>BODEN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45209-2025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45919</v>
      </c>
      <c r="E312" s="1" t="n">
        <v>46263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46263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46263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15.8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45797</v>
      </c>
      <c r="E315" s="1" t="n">
        <v>46263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46263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46263</v>
      </c>
      <c r="F317" t="inlineStr">
        <is>
          <t>NORRBOTTENS LÄN</t>
        </is>
      </c>
      <c r="G317" t="inlineStr">
        <is>
          <t>BODEN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45617-2025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45922</v>
      </c>
      <c r="E318" s="1" t="n">
        <v>46263</v>
      </c>
      <c r="F318" t="inlineStr">
        <is>
          <t>NORRBOTTENS LÄN</t>
        </is>
      </c>
      <c r="G318" t="inlineStr">
        <is>
          <t>BODEN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44862</v>
      </c>
      <c r="E319" s="1" t="n">
        <v>46263</v>
      </c>
      <c r="F319" t="inlineStr">
        <is>
          <t>NORRBOTTENS LÄN</t>
        </is>
      </c>
      <c r="G319" t="inlineStr">
        <is>
          <t>BODEN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45922</v>
      </c>
      <c r="E320" s="1" t="n">
        <v>46263</v>
      </c>
      <c r="F320" t="inlineStr">
        <is>
          <t>NORRBOTTENS LÄN</t>
        </is>
      </c>
      <c r="G320" t="inlineStr">
        <is>
          <t>BODEN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61107-2022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46263</v>
      </c>
      <c r="F321" t="inlineStr">
        <is>
          <t>NORRBOTTENS LÄN</t>
        </is>
      </c>
      <c r="G321" t="inlineStr">
        <is>
          <t>BODEN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46263</v>
      </c>
      <c r="F322" t="inlineStr">
        <is>
          <t>NORRBOTTENS LÄN</t>
        </is>
      </c>
      <c r="G322" t="inlineStr">
        <is>
          <t>BODEN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45969-2025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45924</v>
      </c>
      <c r="E323" s="1" t="n">
        <v>46263</v>
      </c>
      <c r="F323" t="inlineStr">
        <is>
          <t>NORRBOTTENS LÄN</t>
        </is>
      </c>
      <c r="G323" t="inlineStr">
        <is>
          <t>BODEN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46263</v>
      </c>
      <c r="F324" t="inlineStr">
        <is>
          <t>NORRBOTTENS LÄN</t>
        </is>
      </c>
      <c r="G324" t="inlineStr">
        <is>
          <t>BODEN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46263</v>
      </c>
      <c r="F325" t="inlineStr">
        <is>
          <t>NORRBOTTENS LÄN</t>
        </is>
      </c>
      <c r="G325" t="inlineStr">
        <is>
          <t>BODEN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46263</v>
      </c>
      <c r="F326" t="inlineStr">
        <is>
          <t>NORRBOTTENS LÄN</t>
        </is>
      </c>
      <c r="G326" t="inlineStr">
        <is>
          <t>BODEN</t>
        </is>
      </c>
      <c r="H326" t="inlineStr">
        <is>
          <t>Övriga Aktiebolag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46263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46263</v>
      </c>
      <c r="F328" t="inlineStr">
        <is>
          <t>NORRBOTTENS LÄN</t>
        </is>
      </c>
      <c r="G328" t="inlineStr">
        <is>
          <t>BODEN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46263</v>
      </c>
      <c r="F329" t="inlineStr">
        <is>
          <t>NORRBOTTENS LÄN</t>
        </is>
      </c>
      <c r="G329" t="inlineStr">
        <is>
          <t>BODEN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46263</v>
      </c>
      <c r="F330" t="inlineStr">
        <is>
          <t>NORRBOTTENS LÄN</t>
        </is>
      </c>
      <c r="G330" t="inlineStr">
        <is>
          <t>BODEN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46263</v>
      </c>
      <c r="F331" t="inlineStr">
        <is>
          <t>NORRBOTTENS LÄN</t>
        </is>
      </c>
      <c r="G331" t="inlineStr">
        <is>
          <t>BODEN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46263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46263</v>
      </c>
      <c r="F333" t="inlineStr">
        <is>
          <t>NORRBOTTENS LÄN</t>
        </is>
      </c>
      <c r="G333" t="inlineStr">
        <is>
          <t>BODEN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46263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46263</v>
      </c>
      <c r="F335" t="inlineStr">
        <is>
          <t>NORRBOTTENS LÄN</t>
        </is>
      </c>
      <c r="G335" t="inlineStr">
        <is>
          <t>BODEN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46263</v>
      </c>
      <c r="F336" t="inlineStr">
        <is>
          <t>NORRBOTTENS LÄN</t>
        </is>
      </c>
      <c r="G336" t="inlineStr">
        <is>
          <t>BODEN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46263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46263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11651-2023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44994</v>
      </c>
      <c r="E339" s="1" t="n">
        <v>46263</v>
      </c>
      <c r="F339" t="inlineStr">
        <is>
          <t>NORRBOTTENS LÄN</t>
        </is>
      </c>
      <c r="G339" t="inlineStr">
        <is>
          <t>BODEN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46263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46263</v>
      </c>
      <c r="F341" t="inlineStr">
        <is>
          <t>NORRBOTTENS LÄN</t>
        </is>
      </c>
      <c r="G341" t="inlineStr">
        <is>
          <t>BODEN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46263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46263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45464</v>
      </c>
      <c r="E344" s="1" t="n">
        <v>46263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46263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46263</v>
      </c>
      <c r="F346" t="inlineStr">
        <is>
          <t>NORRBOTTENS LÄN</t>
        </is>
      </c>
      <c r="G346" t="inlineStr">
        <is>
          <t>BODEN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46263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46263</v>
      </c>
      <c r="F348" t="inlineStr">
        <is>
          <t>NORRBOTTENS LÄN</t>
        </is>
      </c>
      <c r="G348" t="inlineStr">
        <is>
          <t>BODEN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45984</v>
      </c>
      <c r="E349" s="1" t="n">
        <v>46263</v>
      </c>
      <c r="F349" t="inlineStr">
        <is>
          <t>NORRBOTTENS LÄN</t>
        </is>
      </c>
      <c r="G349" t="inlineStr">
        <is>
          <t>BODEN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45645</v>
      </c>
      <c r="E350" s="1" t="n">
        <v>46263</v>
      </c>
      <c r="F350" t="inlineStr">
        <is>
          <t>NORRBOTTENS LÄN</t>
        </is>
      </c>
      <c r="G350" t="inlineStr">
        <is>
          <t>BODEN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46263</v>
      </c>
      <c r="F351" t="inlineStr">
        <is>
          <t>NORRBOTTENS LÄN</t>
        </is>
      </c>
      <c r="G351" t="inlineStr">
        <is>
          <t>BODEN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46263</v>
      </c>
      <c r="F352" t="inlineStr">
        <is>
          <t>NORRBOTTENS LÄN</t>
        </is>
      </c>
      <c r="G352" t="inlineStr">
        <is>
          <t>BODEN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19564-2024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46263</v>
      </c>
      <c r="F353" t="inlineStr">
        <is>
          <t>NORRBOTTENS LÄN</t>
        </is>
      </c>
      <c r="G353" t="inlineStr">
        <is>
          <t>BODEN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46263</v>
      </c>
      <c r="F354" t="inlineStr">
        <is>
          <t>NORRBOTTENS LÄN</t>
        </is>
      </c>
      <c r="G354" t="inlineStr">
        <is>
          <t>BODEN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44889</v>
      </c>
      <c r="E355" s="1" t="n">
        <v>46263</v>
      </c>
      <c r="F355" t="inlineStr">
        <is>
          <t>NORRBOTTENS LÄN</t>
        </is>
      </c>
      <c r="G355" t="inlineStr">
        <is>
          <t>BODEN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46263</v>
      </c>
      <c r="F356" t="inlineStr">
        <is>
          <t>NORRBOTTENS LÄN</t>
        </is>
      </c>
      <c r="G356" t="inlineStr">
        <is>
          <t>BODEN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58373-2022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46263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46263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46263</v>
      </c>
      <c r="F359" t="inlineStr">
        <is>
          <t>NORRBOTTENS LÄN</t>
        </is>
      </c>
      <c r="G359" t="inlineStr">
        <is>
          <t>BODEN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46263</v>
      </c>
      <c r="F360" t="inlineStr">
        <is>
          <t>NORRBOTTENS LÄN</t>
        </is>
      </c>
      <c r="G360" t="inlineStr">
        <is>
          <t>BODEN</t>
        </is>
      </c>
      <c r="I360" t="n">
        <v>16.1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68565-2021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44529</v>
      </c>
      <c r="E361" s="1" t="n">
        <v>46263</v>
      </c>
      <c r="F361" t="inlineStr">
        <is>
          <t>NORRBOTTENS LÄN</t>
        </is>
      </c>
      <c r="G361" t="inlineStr">
        <is>
          <t>BODEN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46263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45906</v>
      </c>
      <c r="E363" s="1" t="n">
        <v>46263</v>
      </c>
      <c r="F363" t="inlineStr">
        <is>
          <t>NORRBOTTENS LÄN</t>
        </is>
      </c>
      <c r="G363" t="inlineStr">
        <is>
          <t>BODEN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45813</v>
      </c>
      <c r="E364" s="1" t="n">
        <v>46263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46263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46263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48091-2025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45933</v>
      </c>
      <c r="E367" s="1" t="n">
        <v>46263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46263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45766</v>
      </c>
      <c r="E369" s="1" t="n">
        <v>46263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46263</v>
      </c>
      <c r="F370" t="inlineStr">
        <is>
          <t>NORRBOTTENS LÄN</t>
        </is>
      </c>
      <c r="G370" t="inlineStr">
        <is>
          <t>BODEN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46263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46263</v>
      </c>
      <c r="F372" t="inlineStr">
        <is>
          <t>NORRBOTTENS LÄN</t>
        </is>
      </c>
      <c r="G372" t="inlineStr">
        <is>
          <t>BODEN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46263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46263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46263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46263</v>
      </c>
      <c r="F376" t="inlineStr">
        <is>
          <t>NORRBOTTENS LÄN</t>
        </is>
      </c>
      <c r="G376" t="inlineStr">
        <is>
          <t>BODEN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45427</v>
      </c>
      <c r="E377" s="1" t="n">
        <v>46263</v>
      </c>
      <c r="F377" t="inlineStr">
        <is>
          <t>NORRBOTTENS LÄN</t>
        </is>
      </c>
      <c r="G377" t="inlineStr">
        <is>
          <t>BODEN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46263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44625-2024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46263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46263</v>
      </c>
      <c r="F380" t="inlineStr">
        <is>
          <t>NORRBOTTENS LÄN</t>
        </is>
      </c>
      <c r="G380" t="inlineStr">
        <is>
          <t>BODEN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45481</v>
      </c>
      <c r="E381" s="1" t="n">
        <v>46263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46263</v>
      </c>
      <c r="F382" t="inlineStr">
        <is>
          <t>NORRBOTTENS LÄN</t>
        </is>
      </c>
      <c r="G382" t="inlineStr">
        <is>
          <t>BODEN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46263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46263</v>
      </c>
      <c r="F384" t="inlineStr">
        <is>
          <t>NORRBOTTENS LÄN</t>
        </is>
      </c>
      <c r="G384" t="inlineStr">
        <is>
          <t>BODEN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28270-2025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45818</v>
      </c>
      <c r="E385" s="1" t="n">
        <v>46263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60233-2025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46263</v>
      </c>
      <c r="F386" t="inlineStr">
        <is>
          <t>NORRBOTTENS LÄN</t>
        </is>
      </c>
      <c r="G386" t="inlineStr">
        <is>
          <t>BODEN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46263</v>
      </c>
      <c r="F387" t="inlineStr">
        <is>
          <t>NORRBOTTENS LÄN</t>
        </is>
      </c>
      <c r="G387" t="inlineStr">
        <is>
          <t>BODEN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46263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46263</v>
      </c>
      <c r="F389" t="inlineStr">
        <is>
          <t>NORRBOTTENS LÄN</t>
        </is>
      </c>
      <c r="G389" t="inlineStr">
        <is>
          <t>BODEN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46263</v>
      </c>
      <c r="F390" t="inlineStr">
        <is>
          <t>NORRBOTTENS LÄN</t>
        </is>
      </c>
      <c r="G390" t="inlineStr">
        <is>
          <t>BODEN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46263</v>
      </c>
      <c r="F391" t="inlineStr">
        <is>
          <t>NORRBOTTENS LÄN</t>
        </is>
      </c>
      <c r="G391" t="inlineStr">
        <is>
          <t>BODEN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46263</v>
      </c>
      <c r="F392" t="inlineStr">
        <is>
          <t>NORRBOTTENS LÄN</t>
        </is>
      </c>
      <c r="G392" t="inlineStr">
        <is>
          <t>BODEN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45750</v>
      </c>
      <c r="E393" s="1" t="n">
        <v>46263</v>
      </c>
      <c r="F393" t="inlineStr">
        <is>
          <t>NORRBOTTENS LÄN</t>
        </is>
      </c>
      <c r="G393" t="inlineStr">
        <is>
          <t>BODEN</t>
        </is>
      </c>
      <c r="H393" t="inlineStr">
        <is>
          <t>Övriga Aktiebolag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46263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46263</v>
      </c>
      <c r="F395" t="inlineStr">
        <is>
          <t>NORRBOTTENS LÄN</t>
        </is>
      </c>
      <c r="G395" t="inlineStr">
        <is>
          <t>BODEN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46263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46263</v>
      </c>
      <c r="F397" t="inlineStr">
        <is>
          <t>NORRBOTTENS LÄN</t>
        </is>
      </c>
      <c r="G397" t="inlineStr">
        <is>
          <t>BODEN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46263</v>
      </c>
      <c r="F398" t="inlineStr">
        <is>
          <t>NORRBOTTENS LÄN</t>
        </is>
      </c>
      <c r="G398" t="inlineStr">
        <is>
          <t>BODEN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46263</v>
      </c>
      <c r="F399" t="inlineStr">
        <is>
          <t>NORRBOTTENS LÄN</t>
        </is>
      </c>
      <c r="G399" t="inlineStr">
        <is>
          <t>BODEN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46263</v>
      </c>
      <c r="F400" t="inlineStr">
        <is>
          <t>NORRBOTTENS LÄN</t>
        </is>
      </c>
      <c r="G400" t="inlineStr">
        <is>
          <t>BODEN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46263</v>
      </c>
      <c r="F401" t="inlineStr">
        <is>
          <t>NORRBOTTENS LÄN</t>
        </is>
      </c>
      <c r="G401" t="inlineStr">
        <is>
          <t>BODEN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46263</v>
      </c>
      <c r="F402" t="inlineStr">
        <is>
          <t>NORRBOTTENS LÄN</t>
        </is>
      </c>
      <c r="G402" t="inlineStr">
        <is>
          <t>BODEN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46263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46263</v>
      </c>
      <c r="F404" t="inlineStr">
        <is>
          <t>NORRBOTTENS LÄN</t>
        </is>
      </c>
      <c r="G404" t="inlineStr">
        <is>
          <t>BODEN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46263</v>
      </c>
      <c r="F405" t="inlineStr">
        <is>
          <t>NORRBOTTENS LÄN</t>
        </is>
      </c>
      <c r="G405" t="inlineStr">
        <is>
          <t>BODEN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46263</v>
      </c>
      <c r="F406" t="inlineStr">
        <is>
          <t>NORRBOTTENS LÄN</t>
        </is>
      </c>
      <c r="G406" t="inlineStr">
        <is>
          <t>BODEN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46263</v>
      </c>
      <c r="F407" t="inlineStr">
        <is>
          <t>NORRBOTTENS LÄN</t>
        </is>
      </c>
      <c r="G407" t="inlineStr">
        <is>
          <t>BODEN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45906</v>
      </c>
      <c r="E408" s="1" t="n">
        <v>46263</v>
      </c>
      <c r="F408" t="inlineStr">
        <is>
          <t>NORRBOTTENS LÄN</t>
        </is>
      </c>
      <c r="G408" t="inlineStr">
        <is>
          <t>BODEN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46263</v>
      </c>
      <c r="F409" t="inlineStr">
        <is>
          <t>NORRBOTTENS LÄN</t>
        </is>
      </c>
      <c r="G409" t="inlineStr">
        <is>
          <t>BODEN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50449-2025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46263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46263</v>
      </c>
      <c r="F411" t="inlineStr">
        <is>
          <t>NORRBOTTENS LÄN</t>
        </is>
      </c>
      <c r="G411" t="inlineStr">
        <is>
          <t>BODEN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46263</v>
      </c>
      <c r="F412" t="inlineStr">
        <is>
          <t>NORRBOTTENS LÄN</t>
        </is>
      </c>
      <c r="G412" t="inlineStr">
        <is>
          <t>BODEN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46263</v>
      </c>
      <c r="F413" t="inlineStr">
        <is>
          <t>NORRBOTTENS LÄN</t>
        </is>
      </c>
      <c r="G413" t="inlineStr">
        <is>
          <t>BODEN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46263</v>
      </c>
      <c r="F414" t="inlineStr">
        <is>
          <t>NORRBOTTENS LÄN</t>
        </is>
      </c>
      <c r="G414" t="inlineStr">
        <is>
          <t>BODEN</t>
        </is>
      </c>
      <c r="H414" t="inlineStr">
        <is>
          <t>Övriga Aktiebolag</t>
        </is>
      </c>
      <c r="I414" t="n">
        <v>15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46263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45653</v>
      </c>
      <c r="E416" s="1" t="n">
        <v>46263</v>
      </c>
      <c r="F416" t="inlineStr">
        <is>
          <t>NORRBOTTENS LÄN</t>
        </is>
      </c>
      <c r="G416" t="inlineStr">
        <is>
          <t>BODEN</t>
        </is>
      </c>
      <c r="I416" t="n">
        <v>47.3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46263</v>
      </c>
      <c r="F417" t="inlineStr">
        <is>
          <t>NORRBOTTENS LÄN</t>
        </is>
      </c>
      <c r="G417" t="inlineStr">
        <is>
          <t>BODEN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45826</v>
      </c>
      <c r="E418" s="1" t="n">
        <v>46263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46263</v>
      </c>
      <c r="F419" t="inlineStr">
        <is>
          <t>NORRBOTTENS LÄN</t>
        </is>
      </c>
      <c r="G419" t="inlineStr">
        <is>
          <t>BODEN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46263</v>
      </c>
      <c r="F420" t="inlineStr">
        <is>
          <t>NORRBOTTENS LÄN</t>
        </is>
      </c>
      <c r="G420" t="inlineStr">
        <is>
          <t>BODEN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33915-2024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45523</v>
      </c>
      <c r="E421" s="1" t="n">
        <v>46263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59331-2021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44490</v>
      </c>
      <c r="E422" s="1" t="n">
        <v>46263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44445</v>
      </c>
      <c r="E423" s="1" t="n">
        <v>46263</v>
      </c>
      <c r="F423" t="inlineStr">
        <is>
          <t>NORRBOTTENS LÄN</t>
        </is>
      </c>
      <c r="G423" t="inlineStr">
        <is>
          <t>BODEN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45587</v>
      </c>
      <c r="E424" s="1" t="n">
        <v>46263</v>
      </c>
      <c r="F424" t="inlineStr">
        <is>
          <t>NORRBOTTENS LÄN</t>
        </is>
      </c>
      <c r="G424" t="inlineStr">
        <is>
          <t>BODEN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45583</v>
      </c>
      <c r="E425" s="1" t="n">
        <v>46263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46263</v>
      </c>
      <c r="F426" t="inlineStr">
        <is>
          <t>NORRBOTTENS LÄN</t>
        </is>
      </c>
      <c r="G426" t="inlineStr">
        <is>
          <t>BODEN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46263</v>
      </c>
      <c r="F427" t="inlineStr">
        <is>
          <t>NORRBOTTENS LÄN</t>
        </is>
      </c>
      <c r="G427" t="inlineStr">
        <is>
          <t>BODEN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46263</v>
      </c>
      <c r="F428" t="inlineStr">
        <is>
          <t>NORRBOTTENS LÄN</t>
        </is>
      </c>
      <c r="G428" t="inlineStr">
        <is>
          <t>BODEN</t>
        </is>
      </c>
      <c r="H428" t="inlineStr">
        <is>
          <t>Övriga Aktiebolag</t>
        </is>
      </c>
      <c r="I428" t="n">
        <v>9.800000000000001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46263</v>
      </c>
      <c r="F429" t="inlineStr">
        <is>
          <t>NORRBOTTENS LÄN</t>
        </is>
      </c>
      <c r="G429" t="inlineStr">
        <is>
          <t>BODEN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46263</v>
      </c>
      <c r="F430" t="inlineStr">
        <is>
          <t>NORRBOTTENS LÄN</t>
        </is>
      </c>
      <c r="G430" t="inlineStr">
        <is>
          <t>BODEN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46263</v>
      </c>
      <c r="F431" t="inlineStr">
        <is>
          <t>NORRBOTTENS LÄN</t>
        </is>
      </c>
      <c r="G431" t="inlineStr">
        <is>
          <t>BODEN</t>
        </is>
      </c>
      <c r="H431" t="inlineStr">
        <is>
          <t>Övriga Aktiebolag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45707</v>
      </c>
      <c r="E432" s="1" t="n">
        <v>46263</v>
      </c>
      <c r="F432" t="inlineStr">
        <is>
          <t>NORRBOTTENS LÄN</t>
        </is>
      </c>
      <c r="G432" t="inlineStr">
        <is>
          <t>BODEN</t>
        </is>
      </c>
      <c r="I432" t="n">
        <v>11.3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25926-2025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45803</v>
      </c>
      <c r="E433" s="1" t="n">
        <v>46263</v>
      </c>
      <c r="F433" t="inlineStr">
        <is>
          <t>NORRBOTTENS LÄN</t>
        </is>
      </c>
      <c r="G433" t="inlineStr">
        <is>
          <t>BODEN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44726</v>
      </c>
      <c r="E434" s="1" t="n">
        <v>46263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46263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44642</v>
      </c>
      <c r="E436" s="1" t="n">
        <v>46263</v>
      </c>
      <c r="F436" t="inlineStr">
        <is>
          <t>NORRBOTTENS LÄN</t>
        </is>
      </c>
      <c r="G436" t="inlineStr">
        <is>
          <t>BODEN</t>
        </is>
      </c>
      <c r="H436" t="inlineStr">
        <is>
          <t>Övriga statliga verk och myndigheter</t>
        </is>
      </c>
      <c r="I436" t="n">
        <v>15.8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38994-2024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45548</v>
      </c>
      <c r="E437" s="1" t="n">
        <v>46263</v>
      </c>
      <c r="F437" t="inlineStr">
        <is>
          <t>NORRBOTTENS LÄN</t>
        </is>
      </c>
      <c r="G437" t="inlineStr">
        <is>
          <t>BODEN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45054</v>
      </c>
      <c r="E438" s="1" t="n">
        <v>46263</v>
      </c>
      <c r="F438" t="inlineStr">
        <is>
          <t>NORRBOTTENS LÄN</t>
        </is>
      </c>
      <c r="G438" t="inlineStr">
        <is>
          <t>BODEN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46263</v>
      </c>
      <c r="F439" t="inlineStr">
        <is>
          <t>NORRBOTTENS LÄN</t>
        </is>
      </c>
      <c r="G439" t="inlineStr">
        <is>
          <t>BODEN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44963</v>
      </c>
      <c r="E440" s="1" t="n">
        <v>46263</v>
      </c>
      <c r="F440" t="inlineStr">
        <is>
          <t>NORRBOTTENS LÄN</t>
        </is>
      </c>
      <c r="G440" t="inlineStr">
        <is>
          <t>BODEN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45238</v>
      </c>
      <c r="E441" s="1" t="n">
        <v>46263</v>
      </c>
      <c r="F441" t="inlineStr">
        <is>
          <t>NORRBOTTENS LÄN</t>
        </is>
      </c>
      <c r="G441" t="inlineStr">
        <is>
          <t>BODEN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46263</v>
      </c>
      <c r="F442" t="inlineStr">
        <is>
          <t>NORRBOTTENS LÄN</t>
        </is>
      </c>
      <c r="G442" t="inlineStr">
        <is>
          <t>BODEN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33130-2025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45840</v>
      </c>
      <c r="E443" s="1" t="n">
        <v>46263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45764</v>
      </c>
      <c r="E444" s="1" t="n">
        <v>46263</v>
      </c>
      <c r="F444" t="inlineStr">
        <is>
          <t>NORRBOTTENS LÄN</t>
        </is>
      </c>
      <c r="G444" t="inlineStr">
        <is>
          <t>BODEN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45764</v>
      </c>
      <c r="E445" s="1" t="n">
        <v>46263</v>
      </c>
      <c r="F445" t="inlineStr">
        <is>
          <t>NORRBOTTENS LÄN</t>
        </is>
      </c>
      <c r="G445" t="inlineStr">
        <is>
          <t>BODEN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46263</v>
      </c>
      <c r="F446" t="inlineStr">
        <is>
          <t>NORRBOTTENS LÄN</t>
        </is>
      </c>
      <c r="G446" t="inlineStr">
        <is>
          <t>BODEN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33981-2025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45843</v>
      </c>
      <c r="E447" s="1" t="n">
        <v>46263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14995-2022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44657</v>
      </c>
      <c r="E448" s="1" t="n">
        <v>46263</v>
      </c>
      <c r="F448" t="inlineStr">
        <is>
          <t>NORRBOTTENS LÄN</t>
        </is>
      </c>
      <c r="G448" t="inlineStr">
        <is>
          <t>BODEN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15000-2022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44657</v>
      </c>
      <c r="E449" s="1" t="n">
        <v>46263</v>
      </c>
      <c r="F449" t="inlineStr">
        <is>
          <t>NORRBOTTENS LÄN</t>
        </is>
      </c>
      <c r="G449" t="inlineStr">
        <is>
          <t>BODEN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11647-2023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44994</v>
      </c>
      <c r="E450" s="1" t="n">
        <v>46263</v>
      </c>
      <c r="F450" t="inlineStr">
        <is>
          <t>NORRBOTTENS LÄN</t>
        </is>
      </c>
      <c r="G450" t="inlineStr">
        <is>
          <t>BODEN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44673</v>
      </c>
      <c r="E451" s="1" t="n">
        <v>46263</v>
      </c>
      <c r="F451" t="inlineStr">
        <is>
          <t>NORRBOTTENS LÄN</t>
        </is>
      </c>
      <c r="G451" t="inlineStr">
        <is>
          <t>BODEN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45562</v>
      </c>
      <c r="E452" s="1" t="n">
        <v>46263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46263</v>
      </c>
      <c r="F453" t="inlineStr">
        <is>
          <t>NORRBOTTENS LÄN</t>
        </is>
      </c>
      <c r="G453" t="inlineStr">
        <is>
          <t>BODEN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51280-2024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46263</v>
      </c>
      <c r="F454" t="inlineStr">
        <is>
          <t>NORRBOTTENS LÄN</t>
        </is>
      </c>
      <c r="G454" t="inlineStr">
        <is>
          <t>BODEN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45589</v>
      </c>
      <c r="E455" s="1" t="n">
        <v>46263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45589</v>
      </c>
      <c r="E456" s="1" t="n">
        <v>46263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45856</v>
      </c>
      <c r="E457" s="1" t="n">
        <v>46263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10.8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2601-2025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45674</v>
      </c>
      <c r="E458" s="1" t="n">
        <v>46263</v>
      </c>
      <c r="F458" t="inlineStr">
        <is>
          <t>NORRBOTTENS LÄN</t>
        </is>
      </c>
      <c r="G458" t="inlineStr">
        <is>
          <t>BODEN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45596</v>
      </c>
      <c r="E459" s="1" t="n">
        <v>46263</v>
      </c>
      <c r="F459" t="inlineStr">
        <is>
          <t>NORRBOTTENS LÄN</t>
        </is>
      </c>
      <c r="G459" t="inlineStr">
        <is>
          <t>BODEN</t>
        </is>
      </c>
      <c r="I459" t="n">
        <v>22.7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46263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36019-2025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45863</v>
      </c>
      <c r="E461" s="1" t="n">
        <v>46263</v>
      </c>
      <c r="F461" t="inlineStr">
        <is>
          <t>NORRBOTTENS LÄN</t>
        </is>
      </c>
      <c r="G461" t="inlineStr">
        <is>
          <t>BODEN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45838</v>
      </c>
      <c r="E462" s="1" t="n">
        <v>46263</v>
      </c>
      <c r="F462" t="inlineStr">
        <is>
          <t>NORRBOTTENS LÄN</t>
        </is>
      </c>
      <c r="G462" t="inlineStr">
        <is>
          <t>BODEN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45456</v>
      </c>
      <c r="E463" s="1" t="n">
        <v>46263</v>
      </c>
      <c r="F463" t="inlineStr">
        <is>
          <t>NORRBOTTENS LÄN</t>
        </is>
      </c>
      <c r="G463" t="inlineStr">
        <is>
          <t>BODEN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46263</v>
      </c>
      <c r="F464" t="inlineStr">
        <is>
          <t>NORRBOTTENS LÄN</t>
        </is>
      </c>
      <c r="G464" t="inlineStr">
        <is>
          <t>BODEN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46263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45625</v>
      </c>
      <c r="E466" s="1" t="n">
        <v>46263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45868</v>
      </c>
      <c r="E467" s="1" t="n">
        <v>46263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44903</v>
      </c>
      <c r="E468" s="1" t="n">
        <v>46263</v>
      </c>
      <c r="F468" t="inlineStr">
        <is>
          <t>NORRBOTTENS LÄN</t>
        </is>
      </c>
      <c r="G468" t="inlineStr">
        <is>
          <t>BODEN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45877</v>
      </c>
      <c r="E469" s="1" t="n">
        <v>46263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46263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46263</v>
      </c>
      <c r="F471" t="inlineStr">
        <is>
          <t>NORRBOTTENS LÄN</t>
        </is>
      </c>
      <c r="G471" t="inlineStr">
        <is>
          <t>BODEN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51193-2023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45212</v>
      </c>
      <c r="E472" s="1" t="n">
        <v>46263</v>
      </c>
      <c r="F472" t="inlineStr">
        <is>
          <t>NORRBOTTENS LÄN</t>
        </is>
      </c>
      <c r="G472" t="inlineStr">
        <is>
          <t>BODEN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46263</v>
      </c>
      <c r="F473" t="inlineStr">
        <is>
          <t>NORRBOTTENS LÄN</t>
        </is>
      </c>
      <c r="G473" t="inlineStr">
        <is>
          <t>BODEN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46263</v>
      </c>
      <c r="F474" t="inlineStr">
        <is>
          <t>NORRBOTTENS LÄN</t>
        </is>
      </c>
      <c r="G474" t="inlineStr">
        <is>
          <t>BODEN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62687-2025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46008</v>
      </c>
      <c r="E475" s="1" t="n">
        <v>46263</v>
      </c>
      <c r="F475" t="inlineStr">
        <is>
          <t>NORRBOTTENS LÄN</t>
        </is>
      </c>
      <c r="G475" t="inlineStr">
        <is>
          <t>BODEN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46263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46263</v>
      </c>
      <c r="F477" t="inlineStr">
        <is>
          <t>NORRBOTTENS LÄN</t>
        </is>
      </c>
      <c r="G477" t="inlineStr">
        <is>
          <t>BODEN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46263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45446</v>
      </c>
      <c r="E479" s="1" t="n">
        <v>46263</v>
      </c>
      <c r="F479" t="inlineStr">
        <is>
          <t>NORRBOTTENS LÄN</t>
        </is>
      </c>
      <c r="G479" t="inlineStr">
        <is>
          <t>BODEN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45929-2023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45195</v>
      </c>
      <c r="E480" s="1" t="n">
        <v>46263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35040-2022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44796</v>
      </c>
      <c r="E481" s="1" t="n">
        <v>46263</v>
      </c>
      <c r="F481" t="inlineStr">
        <is>
          <t>NORRBOTTENS LÄN</t>
        </is>
      </c>
      <c r="G481" t="inlineStr">
        <is>
          <t>BODEN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25916-2023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46263</v>
      </c>
      <c r="F482" t="inlineStr">
        <is>
          <t>NORRBOTTENS LÄN</t>
        </is>
      </c>
      <c r="G482" t="inlineStr">
        <is>
          <t>BODEN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45153</v>
      </c>
      <c r="E483" s="1" t="n">
        <v>46263</v>
      </c>
      <c r="F483" t="inlineStr">
        <is>
          <t>NORRBOTTENS LÄN</t>
        </is>
      </c>
      <c r="G483" t="inlineStr">
        <is>
          <t>BODEN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61750-2024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45649</v>
      </c>
      <c r="E484" s="1" t="n">
        <v>46263</v>
      </c>
      <c r="F484" t="inlineStr">
        <is>
          <t>NORRBOTTENS LÄN</t>
        </is>
      </c>
      <c r="G484" t="inlineStr">
        <is>
          <t>BODEN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46263</v>
      </c>
      <c r="F485" t="inlineStr">
        <is>
          <t>NORRBOTTENS LÄN</t>
        </is>
      </c>
      <c r="G485" t="inlineStr">
        <is>
          <t>BODEN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46263</v>
      </c>
      <c r="F486" t="inlineStr">
        <is>
          <t>NORRBOTTENS LÄN</t>
        </is>
      </c>
      <c r="G486" t="inlineStr">
        <is>
          <t>BODEN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45149</v>
      </c>
      <c r="E487" s="1" t="n">
        <v>46263</v>
      </c>
      <c r="F487" t="inlineStr">
        <is>
          <t>NORRBOTTENS LÄN</t>
        </is>
      </c>
      <c r="G487" t="inlineStr">
        <is>
          <t>BODEN</t>
        </is>
      </c>
      <c r="I487" t="n">
        <v>16.1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48107-2022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44856</v>
      </c>
      <c r="E488" s="1" t="n">
        <v>46263</v>
      </c>
      <c r="F488" t="inlineStr">
        <is>
          <t>NORRBOTTENS LÄN</t>
        </is>
      </c>
      <c r="G488" t="inlineStr">
        <is>
          <t>BODEN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45103</v>
      </c>
      <c r="E489" s="1" t="n">
        <v>46263</v>
      </c>
      <c r="F489" t="inlineStr">
        <is>
          <t>NORRBOTTENS LÄN</t>
        </is>
      </c>
      <c r="G489" t="inlineStr">
        <is>
          <t>BODEN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44823</v>
      </c>
      <c r="E490" s="1" t="n">
        <v>46263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718-2022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44568</v>
      </c>
      <c r="E491" s="1" t="n">
        <v>46263</v>
      </c>
      <c r="F491" t="inlineStr">
        <is>
          <t>NORRBOTTENS LÄN</t>
        </is>
      </c>
      <c r="G491" t="inlineStr">
        <is>
          <t>BODEN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46263</v>
      </c>
      <c r="F492" t="inlineStr">
        <is>
          <t>NORRBOTTENS LÄN</t>
        </is>
      </c>
      <c r="G492" t="inlineStr">
        <is>
          <t>BODEN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46263</v>
      </c>
      <c r="F493" t="inlineStr">
        <is>
          <t>NORRBOTTENS LÄN</t>
        </is>
      </c>
      <c r="G493" t="inlineStr">
        <is>
          <t>BODEN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45667</v>
      </c>
      <c r="E494" s="1" t="n">
        <v>46263</v>
      </c>
      <c r="F494" t="inlineStr">
        <is>
          <t>NORRBOTTENS LÄN</t>
        </is>
      </c>
      <c r="G494" t="inlineStr">
        <is>
          <t>BODEN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44648</v>
      </c>
      <c r="E495" s="1" t="n">
        <v>46263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63398-2025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46012</v>
      </c>
      <c r="E496" s="1" t="n">
        <v>46263</v>
      </c>
      <c r="F496" t="inlineStr">
        <is>
          <t>NORRBOTTENS LÄN</t>
        </is>
      </c>
      <c r="G496" t="inlineStr">
        <is>
          <t>BODEN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45499</v>
      </c>
      <c r="E497" s="1" t="n">
        <v>46263</v>
      </c>
      <c r="F497" t="inlineStr">
        <is>
          <t>NORRBOTTENS LÄN</t>
        </is>
      </c>
      <c r="G497" t="inlineStr">
        <is>
          <t>BODEN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63399-2025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46012</v>
      </c>
      <c r="E498" s="1" t="n">
        <v>46263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46012</v>
      </c>
      <c r="E499" s="1" t="n">
        <v>46263</v>
      </c>
      <c r="F499" t="inlineStr">
        <is>
          <t>NORRBOTTENS LÄN</t>
        </is>
      </c>
      <c r="G499" t="inlineStr">
        <is>
          <t>BODEN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45902</v>
      </c>
      <c r="E500" s="1" t="n">
        <v>46263</v>
      </c>
      <c r="F500" t="inlineStr">
        <is>
          <t>NORRBOTTENS LÄN</t>
        </is>
      </c>
      <c r="G500" t="inlineStr">
        <is>
          <t>BODEN</t>
        </is>
      </c>
      <c r="H500" t="inlineStr">
        <is>
          <t>Övriga statliga verk och myndigheter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46263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45649</v>
      </c>
      <c r="E502" s="1" t="n">
        <v>46263</v>
      </c>
      <c r="F502" t="inlineStr">
        <is>
          <t>NORRBOTTENS LÄN</t>
        </is>
      </c>
      <c r="G502" t="inlineStr">
        <is>
          <t>BODEN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45709</v>
      </c>
      <c r="E503" s="1" t="n">
        <v>46263</v>
      </c>
      <c r="F503" t="inlineStr">
        <is>
          <t>NORRBOTTENS LÄN</t>
        </is>
      </c>
      <c r="G503" t="inlineStr">
        <is>
          <t>BODEN</t>
        </is>
      </c>
      <c r="H503" t="inlineStr">
        <is>
          <t>Övriga Aktiebolag</t>
        </is>
      </c>
      <c r="I503" t="n">
        <v>14.3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45764</v>
      </c>
      <c r="E504" s="1" t="n">
        <v>46263</v>
      </c>
      <c r="F504" t="inlineStr">
        <is>
          <t>NORRBOTTENS LÄN</t>
        </is>
      </c>
      <c r="G504" t="inlineStr">
        <is>
          <t>BODEN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46020</v>
      </c>
      <c r="E505" s="1" t="n">
        <v>46263</v>
      </c>
      <c r="F505" t="inlineStr">
        <is>
          <t>NORRBOTTENS LÄN</t>
        </is>
      </c>
      <c r="G505" t="inlineStr">
        <is>
          <t>BODEN</t>
        </is>
      </c>
      <c r="I505" t="n">
        <v>12.5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45773</v>
      </c>
      <c r="E506" s="1" t="n">
        <v>46263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46263</v>
      </c>
      <c r="F507" t="inlineStr">
        <is>
          <t>NORRBOTTENS LÄN</t>
        </is>
      </c>
      <c r="G507" t="inlineStr">
        <is>
          <t>BODEN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46066</v>
      </c>
      <c r="E508" s="1" t="n">
        <v>46263</v>
      </c>
      <c r="F508" t="inlineStr">
        <is>
          <t>NORRBOTTENS LÄN</t>
        </is>
      </c>
      <c r="G508" t="inlineStr">
        <is>
          <t>BODEN</t>
        </is>
      </c>
      <c r="I508" t="n">
        <v>9.6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46512-2021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44445</v>
      </c>
      <c r="E509" s="1" t="n">
        <v>46263</v>
      </c>
      <c r="F509" t="inlineStr">
        <is>
          <t>NORRBOTTENS LÄN</t>
        </is>
      </c>
      <c r="G509" t="inlineStr">
        <is>
          <t>BODEN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46263</v>
      </c>
      <c r="F510" t="inlineStr">
        <is>
          <t>NORRBOTTENS LÄN</t>
        </is>
      </c>
      <c r="G510" t="inlineStr">
        <is>
          <t>BODEN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55080-2021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44474</v>
      </c>
      <c r="E511" s="1" t="n">
        <v>46263</v>
      </c>
      <c r="F511" t="inlineStr">
        <is>
          <t>NORRBOTTENS LÄN</t>
        </is>
      </c>
      <c r="G511" t="inlineStr">
        <is>
          <t>BODEN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16020-2025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45748</v>
      </c>
      <c r="E512" s="1" t="n">
        <v>46263</v>
      </c>
      <c r="F512" t="inlineStr">
        <is>
          <t>NORRBOTTENS LÄN</t>
        </is>
      </c>
      <c r="G512" t="inlineStr">
        <is>
          <t>BODEN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67438-2021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44524</v>
      </c>
      <c r="E513" s="1" t="n">
        <v>46263</v>
      </c>
      <c r="F513" t="inlineStr">
        <is>
          <t>NORRBOTTENS LÄN</t>
        </is>
      </c>
      <c r="G513" t="inlineStr">
        <is>
          <t>BODEN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45761</v>
      </c>
      <c r="E514" s="1" t="n">
        <v>46263</v>
      </c>
      <c r="F514" t="inlineStr">
        <is>
          <t>NORRBOTTENS LÄN</t>
        </is>
      </c>
      <c r="G514" t="inlineStr">
        <is>
          <t>BODEN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54104-2022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44881</v>
      </c>
      <c r="E515" s="1" t="n">
        <v>46263</v>
      </c>
      <c r="F515" t="inlineStr">
        <is>
          <t>NORRBOTTENS LÄN</t>
        </is>
      </c>
      <c r="G515" t="inlineStr">
        <is>
          <t>BODEN</t>
        </is>
      </c>
      <c r="H515" t="inlineStr">
        <is>
          <t>Sveaskog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45248</v>
      </c>
      <c r="E516" s="1" t="n">
        <v>46263</v>
      </c>
      <c r="F516" t="inlineStr">
        <is>
          <t>NORRBOTTENS LÄN</t>
        </is>
      </c>
      <c r="G516" t="inlineStr">
        <is>
          <t>BODEN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46263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31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46263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10.3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49127-2023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45210</v>
      </c>
      <c r="E519" s="1" t="n">
        <v>46263</v>
      </c>
      <c r="F519" t="inlineStr">
        <is>
          <t>NORRBOTTENS LÄN</t>
        </is>
      </c>
      <c r="G519" t="inlineStr">
        <is>
          <t>BODEN</t>
        </is>
      </c>
      <c r="H519" t="inlineStr">
        <is>
          <t>Sveaskog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46263</v>
      </c>
      <c r="F520" t="inlineStr">
        <is>
          <t>NORRBOTTENS LÄN</t>
        </is>
      </c>
      <c r="G520" t="inlineStr">
        <is>
          <t>BODEN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46263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55540-2022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44887</v>
      </c>
      <c r="E522" s="1" t="n">
        <v>46263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63841-2025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46020</v>
      </c>
      <c r="E523" s="1" t="n">
        <v>46263</v>
      </c>
      <c r="F523" t="inlineStr">
        <is>
          <t>NORRBOTTENS LÄN</t>
        </is>
      </c>
      <c r="G523" t="inlineStr">
        <is>
          <t>BODEN</t>
        </is>
      </c>
      <c r="I523" t="n">
        <v>10.9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467-2022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44565</v>
      </c>
      <c r="E524" s="1" t="n">
        <v>46263</v>
      </c>
      <c r="F524" t="inlineStr">
        <is>
          <t>NORRBOTTENS LÄN</t>
        </is>
      </c>
      <c r="G524" t="inlineStr">
        <is>
          <t>BODEN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45233</v>
      </c>
      <c r="E525" s="1" t="n">
        <v>46263</v>
      </c>
      <c r="F525" t="inlineStr">
        <is>
          <t>NORRBOTTENS LÄN</t>
        </is>
      </c>
      <c r="G525" t="inlineStr">
        <is>
          <t>BODEN</t>
        </is>
      </c>
      <c r="H525" t="inlineStr">
        <is>
          <t>SCA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45070</v>
      </c>
      <c r="E526" s="1" t="n">
        <v>46263</v>
      </c>
      <c r="F526" t="inlineStr">
        <is>
          <t>NORRBOTTENS LÄN</t>
        </is>
      </c>
      <c r="G526" t="inlineStr">
        <is>
          <t>BODEN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45085</v>
      </c>
      <c r="E527" s="1" t="n">
        <v>46263</v>
      </c>
      <c r="F527" t="inlineStr">
        <is>
          <t>NORRBOTTENS LÄN</t>
        </is>
      </c>
      <c r="G527" t="inlineStr">
        <is>
          <t>BODEN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45115-2021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44438</v>
      </c>
      <c r="E528" s="1" t="n">
        <v>46263</v>
      </c>
      <c r="F528" t="inlineStr">
        <is>
          <t>NORRBOTTENS LÄN</t>
        </is>
      </c>
      <c r="G528" t="inlineStr">
        <is>
          <t>BODEN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45677-2021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44441</v>
      </c>
      <c r="E529" s="1" t="n">
        <v>46263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68591-2021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44529</v>
      </c>
      <c r="E530" s="1" t="n">
        <v>46263</v>
      </c>
      <c r="F530" t="inlineStr">
        <is>
          <t>NORRBOTTENS LÄN</t>
        </is>
      </c>
      <c r="G530" t="inlineStr">
        <is>
          <t>BODEN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46042</v>
      </c>
      <c r="E531" s="1" t="n">
        <v>46263</v>
      </c>
      <c r="F531" t="inlineStr">
        <is>
          <t>NORRBOTTENS LÄN</t>
        </is>
      </c>
      <c r="G531" t="inlineStr">
        <is>
          <t>BODEN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46263</v>
      </c>
      <c r="F532" t="inlineStr">
        <is>
          <t>NORRBOTTENS LÄN</t>
        </is>
      </c>
      <c r="G532" t="inlineStr">
        <is>
          <t>BODEN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45070</v>
      </c>
      <c r="E533" s="1" t="n">
        <v>46263</v>
      </c>
      <c r="F533" t="inlineStr">
        <is>
          <t>NORRBOTTENS LÄN</t>
        </is>
      </c>
      <c r="G533" t="inlineStr">
        <is>
          <t>BODEN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52075-2021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44463</v>
      </c>
      <c r="E534" s="1" t="n">
        <v>46263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46263</v>
      </c>
      <c r="F535" t="inlineStr">
        <is>
          <t>NORRBOTTENS LÄN</t>
        </is>
      </c>
      <c r="G535" t="inlineStr">
        <is>
          <t>BODEN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38219-2022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44812</v>
      </c>
      <c r="E536" s="1" t="n">
        <v>46263</v>
      </c>
      <c r="F536" t="inlineStr">
        <is>
          <t>NORRBOTTENS LÄN</t>
        </is>
      </c>
      <c r="G536" t="inlineStr">
        <is>
          <t>BODEN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46263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45102</v>
      </c>
      <c r="E538" s="1" t="n">
        <v>46263</v>
      </c>
      <c r="F538" t="inlineStr">
        <is>
          <t>NORRBOTTENS LÄN</t>
        </is>
      </c>
      <c r="G538" t="inlineStr">
        <is>
          <t>BODEN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48592-2024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45593</v>
      </c>
      <c r="E539" s="1" t="n">
        <v>46263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46050</v>
      </c>
      <c r="E540" s="1" t="n">
        <v>46263</v>
      </c>
      <c r="F540" t="inlineStr">
        <is>
          <t>NORRBOTTENS LÄN</t>
        </is>
      </c>
      <c r="G540" t="inlineStr">
        <is>
          <t>BODEN</t>
        </is>
      </c>
      <c r="I540" t="n">
        <v>7.5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46263</v>
      </c>
      <c r="F541" t="inlineStr">
        <is>
          <t>NORRBOTTENS LÄN</t>
        </is>
      </c>
      <c r="G541" t="inlineStr">
        <is>
          <t>BODEN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46263</v>
      </c>
      <c r="F542" t="inlineStr">
        <is>
          <t>NORRBOTTENS LÄN</t>
        </is>
      </c>
      <c r="G542" t="inlineStr">
        <is>
          <t>BODEN</t>
        </is>
      </c>
      <c r="I542" t="n">
        <v>9.800000000000001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46263</v>
      </c>
      <c r="F543" t="inlineStr">
        <is>
          <t>NORRBOTTENS LÄN</t>
        </is>
      </c>
      <c r="G543" t="inlineStr">
        <is>
          <t>BODEN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46263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45406</v>
      </c>
      <c r="E545" s="1" t="n">
        <v>46263</v>
      </c>
      <c r="F545" t="inlineStr">
        <is>
          <t>NORRBOTTENS LÄN</t>
        </is>
      </c>
      <c r="G545" t="inlineStr">
        <is>
          <t>BODEN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58877-2021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44489</v>
      </c>
      <c r="E546" s="1" t="n">
        <v>46263</v>
      </c>
      <c r="F546" t="inlineStr">
        <is>
          <t>NORRBOTTENS LÄN</t>
        </is>
      </c>
      <c r="G546" t="inlineStr">
        <is>
          <t>BODEN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46263</v>
      </c>
      <c r="F547" t="inlineStr">
        <is>
          <t>NORRBOTTENS LÄN</t>
        </is>
      </c>
      <c r="G547" t="inlineStr">
        <is>
          <t>BODEN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45884</v>
      </c>
      <c r="E548" s="1" t="n">
        <v>46263</v>
      </c>
      <c r="F548" t="inlineStr">
        <is>
          <t>NORRBOTTENS LÄN</t>
        </is>
      </c>
      <c r="G548" t="inlineStr">
        <is>
          <t>BODEN</t>
        </is>
      </c>
      <c r="H548" t="inlineStr">
        <is>
          <t>Sveaskog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61103-2022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44908</v>
      </c>
      <c r="E549" s="1" t="n">
        <v>46263</v>
      </c>
      <c r="F549" t="inlineStr">
        <is>
          <t>NORRBOTTENS LÄN</t>
        </is>
      </c>
      <c r="G549" t="inlineStr">
        <is>
          <t>BODEN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46263</v>
      </c>
      <c r="F550" t="inlineStr">
        <is>
          <t>NORRBOTTENS LÄN</t>
        </is>
      </c>
      <c r="G550" t="inlineStr">
        <is>
          <t>BODEN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46263</v>
      </c>
      <c r="F551" t="inlineStr">
        <is>
          <t>NORRBOTTENS LÄN</t>
        </is>
      </c>
      <c r="G551" t="inlineStr">
        <is>
          <t>BODEN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46263</v>
      </c>
      <c r="F552" t="inlineStr">
        <is>
          <t>NORRBOTTENS LÄN</t>
        </is>
      </c>
      <c r="G552" t="inlineStr">
        <is>
          <t>BODEN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46263</v>
      </c>
      <c r="F553" t="inlineStr">
        <is>
          <t>NORRBOTTENS LÄN</t>
        </is>
      </c>
      <c r="G553" t="inlineStr">
        <is>
          <t>BODEN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30299-2023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46263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46263</v>
      </c>
      <c r="F555" t="inlineStr">
        <is>
          <t>NORRBOTTENS LÄN</t>
        </is>
      </c>
      <c r="G555" t="inlineStr">
        <is>
          <t>BODEN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46263</v>
      </c>
      <c r="F556" t="inlineStr">
        <is>
          <t>NORRBOTTENS LÄN</t>
        </is>
      </c>
      <c r="G556" t="inlineStr">
        <is>
          <t>BODEN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39272-2024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46263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46263</v>
      </c>
      <c r="F558" t="inlineStr">
        <is>
          <t>NORRBOTTENS LÄN</t>
        </is>
      </c>
      <c r="G558" t="inlineStr">
        <is>
          <t>BODEN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44553-2024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46263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44567-2024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45574</v>
      </c>
      <c r="E560" s="1" t="n">
        <v>46263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64649-2023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45281</v>
      </c>
      <c r="E561" s="1" t="n">
        <v>46263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68611-2021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44529</v>
      </c>
      <c r="E562" s="1" t="n">
        <v>46263</v>
      </c>
      <c r="F562" t="inlineStr">
        <is>
          <t>NORRBOTTENS LÄN</t>
        </is>
      </c>
      <c r="G562" t="inlineStr">
        <is>
          <t>BODEN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8433-2026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46263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9.699999999999999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37384-2023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45156</v>
      </c>
      <c r="E564" s="1" t="n">
        <v>46263</v>
      </c>
      <c r="F564" t="inlineStr">
        <is>
          <t>NORRBOTTENS LÄN</t>
        </is>
      </c>
      <c r="G564" t="inlineStr">
        <is>
          <t>BODEN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44983</v>
      </c>
      <c r="E565" s="1" t="n">
        <v>46263</v>
      </c>
      <c r="F565" t="inlineStr">
        <is>
          <t>NORRBOTTENS LÄN</t>
        </is>
      </c>
      <c r="G565" t="inlineStr">
        <is>
          <t>BODEN</t>
        </is>
      </c>
      <c r="I565" t="n">
        <v>37.1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54718-2024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46263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46263</v>
      </c>
      <c r="F567" t="inlineStr">
        <is>
          <t>NORRBOTTENS LÄN</t>
        </is>
      </c>
      <c r="G567" t="inlineStr">
        <is>
          <t>BODEN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46263</v>
      </c>
      <c r="F568" t="inlineStr">
        <is>
          <t>NORRBOTTENS LÄN</t>
        </is>
      </c>
      <c r="G568" t="inlineStr">
        <is>
          <t>BODEN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46263</v>
      </c>
      <c r="F569" t="inlineStr">
        <is>
          <t>NORRBOTTENS LÄN</t>
        </is>
      </c>
      <c r="G569" t="inlineStr">
        <is>
          <t>BODEN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51614-2024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46263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20041-2025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45772</v>
      </c>
      <c r="E571" s="1" t="n">
        <v>46263</v>
      </c>
      <c r="F571" t="inlineStr">
        <is>
          <t>NORRBOTTENS LÄN</t>
        </is>
      </c>
      <c r="G571" t="inlineStr">
        <is>
          <t>BODEN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46263</v>
      </c>
      <c r="F572" t="inlineStr">
        <is>
          <t>NORRBOTTENS LÄN</t>
        </is>
      </c>
      <c r="G572" t="inlineStr">
        <is>
          <t>BODEN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46263</v>
      </c>
      <c r="F573" t="inlineStr">
        <is>
          <t>NORRBOTTENS LÄN</t>
        </is>
      </c>
      <c r="G573" t="inlineStr">
        <is>
          <t>BODEN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67068-2021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44522</v>
      </c>
      <c r="E574" s="1" t="n">
        <v>46263</v>
      </c>
      <c r="F574" t="inlineStr">
        <is>
          <t>NORRBOTTENS LÄN</t>
        </is>
      </c>
      <c r="G574" t="inlineStr">
        <is>
          <t>BODEN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46084</v>
      </c>
      <c r="E575" s="1" t="n">
        <v>46263</v>
      </c>
      <c r="F575" t="inlineStr">
        <is>
          <t>NORRBOTTENS LÄN</t>
        </is>
      </c>
      <c r="G575" t="inlineStr">
        <is>
          <t>BODEN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46263</v>
      </c>
      <c r="F576" t="inlineStr">
        <is>
          <t>NORRBOTTENS LÄN</t>
        </is>
      </c>
      <c r="G576" t="inlineStr">
        <is>
          <t>BODEN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46263</v>
      </c>
      <c r="F577" t="inlineStr">
        <is>
          <t>NORRBOTTENS LÄN</t>
        </is>
      </c>
      <c r="G577" t="inlineStr">
        <is>
          <t>BODEN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48472-2024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45591</v>
      </c>
      <c r="E578" s="1" t="n">
        <v>46263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46263</v>
      </c>
      <c r="F579" t="inlineStr">
        <is>
          <t>NORRBOTTENS LÄN</t>
        </is>
      </c>
      <c r="G579" t="inlineStr">
        <is>
          <t>BODEN</t>
        </is>
      </c>
      <c r="I579" t="n">
        <v>9.199999999999999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8120-2022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44609</v>
      </c>
      <c r="E580" s="1" t="n">
        <v>46263</v>
      </c>
      <c r="F580" t="inlineStr">
        <is>
          <t>NORRBOTTENS LÄN</t>
        </is>
      </c>
      <c r="G580" t="inlineStr">
        <is>
          <t>BODEN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46086</v>
      </c>
      <c r="E581" s="1" t="n">
        <v>46263</v>
      </c>
      <c r="F581" t="inlineStr">
        <is>
          <t>NORRBOTTENS LÄN</t>
        </is>
      </c>
      <c r="G581" t="inlineStr">
        <is>
          <t>BODEN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38371-2023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45161</v>
      </c>
      <c r="E582" s="1" t="n">
        <v>46263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46263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7.9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45758</v>
      </c>
      <c r="E584" s="1" t="n">
        <v>46263</v>
      </c>
      <c r="F584" t="inlineStr">
        <is>
          <t>NORRBOTTENS LÄN</t>
        </is>
      </c>
      <c r="G584" t="inlineStr">
        <is>
          <t>BODEN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34760-2022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44795</v>
      </c>
      <c r="E585" s="1" t="n">
        <v>46263</v>
      </c>
      <c r="F585" t="inlineStr">
        <is>
          <t>NORRBOTTENS LÄN</t>
        </is>
      </c>
      <c r="G585" t="inlineStr">
        <is>
          <t>BODEN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50327-2023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45216</v>
      </c>
      <c r="E586" s="1" t="n">
        <v>46263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49730-2024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46263</v>
      </c>
      <c r="F587" t="inlineStr">
        <is>
          <t>NORRBOTTENS LÄN</t>
        </is>
      </c>
      <c r="G587" t="inlineStr">
        <is>
          <t>BODEN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46263</v>
      </c>
      <c r="F588" t="inlineStr">
        <is>
          <t>NORRBOTTENS LÄN</t>
        </is>
      </c>
      <c r="G588" t="inlineStr">
        <is>
          <t>BODEN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46263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706-2022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44566</v>
      </c>
      <c r="E590" s="1" t="n">
        <v>46263</v>
      </c>
      <c r="F590" t="inlineStr">
        <is>
          <t>NORRBOTTENS LÄN</t>
        </is>
      </c>
      <c r="G590" t="inlineStr">
        <is>
          <t>BODEN</t>
        </is>
      </c>
      <c r="I590" t="n">
        <v>12.4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12338-2026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46087</v>
      </c>
      <c r="E591" s="1" t="n">
        <v>46263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45478</v>
      </c>
      <c r="E592" s="1" t="n">
        <v>46263</v>
      </c>
      <c r="F592" t="inlineStr">
        <is>
          <t>NORRBOTTENS LÄN</t>
        </is>
      </c>
      <c r="G592" t="inlineStr">
        <is>
          <t>BODEN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12875-2026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46092</v>
      </c>
      <c r="E593" s="1" t="n">
        <v>46263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45376-2025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45922</v>
      </c>
      <c r="E594" s="1" t="n">
        <v>46263</v>
      </c>
      <c r="F594" t="inlineStr">
        <is>
          <t>NORRBOTTENS LÄN</t>
        </is>
      </c>
      <c r="G594" t="inlineStr">
        <is>
          <t>BODEN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16965-2024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45411</v>
      </c>
      <c r="E595" s="1" t="n">
        <v>46263</v>
      </c>
      <c r="F595" t="inlineStr">
        <is>
          <t>NORRBOTTENS LÄN</t>
        </is>
      </c>
      <c r="G595" t="inlineStr">
        <is>
          <t>BODEN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13717-2026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46263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14245-2026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46099</v>
      </c>
      <c r="E597" s="1" t="n">
        <v>46263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2426-2024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45310</v>
      </c>
      <c r="E598" s="1" t="n">
        <v>46263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45761</v>
      </c>
      <c r="E599" s="1" t="n">
        <v>46263</v>
      </c>
      <c r="F599" t="inlineStr">
        <is>
          <t>NORRBOTTENS LÄN</t>
        </is>
      </c>
      <c r="G599" t="inlineStr">
        <is>
          <t>BODEN</t>
        </is>
      </c>
      <c r="H599" t="inlineStr">
        <is>
          <t>Övriga statliga verk och myndigheter</t>
        </is>
      </c>
      <c r="I599" t="n">
        <v>11.5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46263</v>
      </c>
      <c r="F600" t="inlineStr">
        <is>
          <t>NORRBOTTENS LÄN</t>
        </is>
      </c>
      <c r="G600" t="inlineStr">
        <is>
          <t>BODEN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11092-2022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44628</v>
      </c>
      <c r="E601" s="1" t="n">
        <v>46263</v>
      </c>
      <c r="F601" t="inlineStr">
        <is>
          <t>NORRBOTTENS LÄN</t>
        </is>
      </c>
      <c r="G601" t="inlineStr">
        <is>
          <t>BODEN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41957-2024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45561</v>
      </c>
      <c r="E602" s="1" t="n">
        <v>46263</v>
      </c>
      <c r="F602" t="inlineStr">
        <is>
          <t>NORRBOTTENS LÄN</t>
        </is>
      </c>
      <c r="G602" t="inlineStr">
        <is>
          <t>BODEN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45512</v>
      </c>
      <c r="E603" s="1" t="n">
        <v>46263</v>
      </c>
      <c r="F603" t="inlineStr">
        <is>
          <t>NORRBOTTENS LÄN</t>
        </is>
      </c>
      <c r="G603" t="inlineStr">
        <is>
          <t>BODEN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15342-2026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46263</v>
      </c>
      <c r="F604" t="inlineStr">
        <is>
          <t>NORRBOTTENS LÄN</t>
        </is>
      </c>
      <c r="G604" t="inlineStr">
        <is>
          <t>BODEN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46263</v>
      </c>
      <c r="F605" t="inlineStr">
        <is>
          <t>NORRBOTTENS LÄN</t>
        </is>
      </c>
      <c r="G605" t="inlineStr">
        <is>
          <t>BODEN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48950-2022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44859</v>
      </c>
      <c r="E606" s="1" t="n">
        <v>46263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45212</v>
      </c>
      <c r="E607" s="1" t="n">
        <v>46263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45687</v>
      </c>
      <c r="E608" s="1" t="n">
        <v>46263</v>
      </c>
      <c r="F608" t="inlineStr">
        <is>
          <t>NORRBOTTENS LÄN</t>
        </is>
      </c>
      <c r="G608" t="inlineStr">
        <is>
          <t>BODEN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45560</v>
      </c>
      <c r="E609" s="1" t="n">
        <v>46263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45770</v>
      </c>
      <c r="E610" s="1" t="n">
        <v>46263</v>
      </c>
      <c r="F610" t="inlineStr">
        <is>
          <t>NORRBOTTENS LÄN</t>
        </is>
      </c>
      <c r="G610" t="inlineStr">
        <is>
          <t>BODEN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45980</v>
      </c>
      <c r="E611" s="1" t="n">
        <v>46263</v>
      </c>
      <c r="F611" t="inlineStr">
        <is>
          <t>NORRBOTTENS LÄN</t>
        </is>
      </c>
      <c r="G611" t="inlineStr">
        <is>
          <t>BODEN</t>
        </is>
      </c>
      <c r="I611" t="n">
        <v>19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17909-2026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46263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17810-2026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46263</v>
      </c>
      <c r="F613" t="inlineStr">
        <is>
          <t>NORRBOTTENS LÄN</t>
        </is>
      </c>
      <c r="G613" t="inlineStr">
        <is>
          <t>BODEN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46126</v>
      </c>
      <c r="E614" s="1" t="n">
        <v>46263</v>
      </c>
      <c r="F614" t="inlineStr">
        <is>
          <t>NORRBOTTENS LÄN</t>
        </is>
      </c>
      <c r="G614" t="inlineStr">
        <is>
          <t>BODEN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46126</v>
      </c>
      <c r="E615" s="1" t="n">
        <v>46263</v>
      </c>
      <c r="F615" t="inlineStr">
        <is>
          <t>NORRBOTTENS LÄN</t>
        </is>
      </c>
      <c r="G615" t="inlineStr">
        <is>
          <t>BODEN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31456-2024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45505</v>
      </c>
      <c r="E616" s="1" t="n">
        <v>46263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18448-2026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46127</v>
      </c>
      <c r="E617" s="1" t="n">
        <v>46263</v>
      </c>
      <c r="F617" t="inlineStr">
        <is>
          <t>NORRBOTTENS LÄN</t>
        </is>
      </c>
      <c r="G617" t="inlineStr">
        <is>
          <t>BODEN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46263</v>
      </c>
      <c r="F618" t="inlineStr">
        <is>
          <t>NORRBOTTENS LÄN</t>
        </is>
      </c>
      <c r="G618" t="inlineStr">
        <is>
          <t>BODEN</t>
        </is>
      </c>
      <c r="I618" t="n">
        <v>11.7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46132</v>
      </c>
      <c r="E619" s="1" t="n">
        <v>46263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19200-2026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46263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46263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24744-2024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45460</v>
      </c>
      <c r="E622" s="1" t="n">
        <v>46263</v>
      </c>
      <c r="F622" t="inlineStr">
        <is>
          <t>NORRBOTTENS LÄN</t>
        </is>
      </c>
      <c r="G622" t="inlineStr">
        <is>
          <t>BODEN</t>
        </is>
      </c>
      <c r="H622" t="inlineStr">
        <is>
          <t>Övriga Aktiebolag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55317-2023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45237</v>
      </c>
      <c r="E623" s="1" t="n">
        <v>46263</v>
      </c>
      <c r="F623" t="inlineStr">
        <is>
          <t>NORRBOTTENS LÄN</t>
        </is>
      </c>
      <c r="G623" t="inlineStr">
        <is>
          <t>BODEN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49162-2023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45210</v>
      </c>
      <c r="E624" s="1" t="n">
        <v>46263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45448-2023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45194</v>
      </c>
      <c r="E625" s="1" t="n">
        <v>46263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62589-2025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46263</v>
      </c>
      <c r="F626" t="inlineStr">
        <is>
          <t>NORRBOTTENS LÄN</t>
        </is>
      </c>
      <c r="G626" t="inlineStr">
        <is>
          <t>BODEN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38874-2023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45161</v>
      </c>
      <c r="E627" s="1" t="n">
        <v>46263</v>
      </c>
      <c r="F627" t="inlineStr">
        <is>
          <t>NORRBOTTENS LÄN</t>
        </is>
      </c>
      <c r="G627" t="inlineStr">
        <is>
          <t>BODEN</t>
        </is>
      </c>
      <c r="I627" t="n">
        <v>15.5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32754-2022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44783</v>
      </c>
      <c r="E628" s="1" t="n">
        <v>46263</v>
      </c>
      <c r="F628" t="inlineStr">
        <is>
          <t>NORRBOTTENS LÄN</t>
        </is>
      </c>
      <c r="G628" t="inlineStr">
        <is>
          <t>BODEN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47097-2023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45201</v>
      </c>
      <c r="E629" s="1" t="n">
        <v>46263</v>
      </c>
      <c r="F629" t="inlineStr">
        <is>
          <t>NORRBOTTENS LÄN</t>
        </is>
      </c>
      <c r="G629" t="inlineStr">
        <is>
          <t>BODEN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57600-2021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44484</v>
      </c>
      <c r="E630" s="1" t="n">
        <v>46263</v>
      </c>
      <c r="F630" t="inlineStr">
        <is>
          <t>NORRBOTTENS LÄN</t>
        </is>
      </c>
      <c r="G630" t="inlineStr">
        <is>
          <t>BODEN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46263</v>
      </c>
      <c r="F631" t="inlineStr">
        <is>
          <t>NORRBOTTENS LÄN</t>
        </is>
      </c>
      <c r="G631" t="inlineStr">
        <is>
          <t>BODEN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11865-2025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46263</v>
      </c>
      <c r="F632" t="inlineStr">
        <is>
          <t>NORRBOTTENS LÄN</t>
        </is>
      </c>
      <c r="G632" t="inlineStr">
        <is>
          <t>BODEN</t>
        </is>
      </c>
      <c r="H632" t="inlineStr">
        <is>
          <t>Övriga Aktiebolag</t>
        </is>
      </c>
      <c r="I632" t="n">
        <v>10.6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57579-2023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45246</v>
      </c>
      <c r="E633" s="1" t="n">
        <v>46263</v>
      </c>
      <c r="F633" t="inlineStr">
        <is>
          <t>NORRBOTTENS LÄN</t>
        </is>
      </c>
      <c r="G633" t="inlineStr">
        <is>
          <t>BODEN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18428-2025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45762</v>
      </c>
      <c r="E634" s="1" t="n">
        <v>46263</v>
      </c>
      <c r="F634" t="inlineStr">
        <is>
          <t>NORRBOTTENS LÄN</t>
        </is>
      </c>
      <c r="G634" t="inlineStr">
        <is>
          <t>BODEN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45935</v>
      </c>
      <c r="E635" s="1" t="n">
        <v>46263</v>
      </c>
      <c r="F635" t="inlineStr">
        <is>
          <t>NORRBOTTENS LÄN</t>
        </is>
      </c>
      <c r="G635" t="inlineStr">
        <is>
          <t>BODEN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39463-2023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45166</v>
      </c>
      <c r="E636" s="1" t="n">
        <v>46263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9940-2025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45718</v>
      </c>
      <c r="E637" s="1" t="n">
        <v>46263</v>
      </c>
      <c r="F637" t="inlineStr">
        <is>
          <t>NORRBOTTENS LÄN</t>
        </is>
      </c>
      <c r="G637" t="inlineStr">
        <is>
          <t>BODEN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45247</v>
      </c>
      <c r="E638" s="1" t="n">
        <v>46263</v>
      </c>
      <c r="F638" t="inlineStr">
        <is>
          <t>NORRBOTTENS LÄN</t>
        </is>
      </c>
      <c r="G638" t="inlineStr">
        <is>
          <t>BODEN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45314</v>
      </c>
      <c r="E639" s="1" t="n">
        <v>46263</v>
      </c>
      <c r="F639" t="inlineStr">
        <is>
          <t>NORRBOTTENS LÄN</t>
        </is>
      </c>
      <c r="G639" t="inlineStr">
        <is>
          <t>BODEN</t>
        </is>
      </c>
      <c r="I639" t="n">
        <v>17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59688-2023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45256</v>
      </c>
      <c r="E640" s="1" t="n">
        <v>46263</v>
      </c>
      <c r="F640" t="inlineStr">
        <is>
          <t>NORRBOTTENS LÄN</t>
        </is>
      </c>
      <c r="G640" t="inlineStr">
        <is>
          <t>BODEN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57604-2021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44484</v>
      </c>
      <c r="E641" s="1" t="n">
        <v>46263</v>
      </c>
      <c r="F641" t="inlineStr">
        <is>
          <t>NORRBOTTENS LÄN</t>
        </is>
      </c>
      <c r="G641" t="inlineStr">
        <is>
          <t>BODEN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45680</v>
      </c>
      <c r="E642" s="1" t="n">
        <v>46263</v>
      </c>
      <c r="F642" t="inlineStr">
        <is>
          <t>NORRBOTTENS LÄN</t>
        </is>
      </c>
      <c r="G642" t="inlineStr">
        <is>
          <t>BODEN</t>
        </is>
      </c>
      <c r="H642" t="inlineStr">
        <is>
          <t>Naturvårdsverket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59890-2023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45254</v>
      </c>
      <c r="E643" s="1" t="n">
        <v>46263</v>
      </c>
      <c r="F643" t="inlineStr">
        <is>
          <t>NORRBOTTENS LÄN</t>
        </is>
      </c>
      <c r="G643" t="inlineStr">
        <is>
          <t>BODEN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45257</v>
      </c>
      <c r="E644" s="1" t="n">
        <v>46263</v>
      </c>
      <c r="F644" t="inlineStr">
        <is>
          <t>NORRBOTTENS LÄN</t>
        </is>
      </c>
      <c r="G644" t="inlineStr">
        <is>
          <t>BODEN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13556-2022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44648</v>
      </c>
      <c r="E645" s="1" t="n">
        <v>46263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61488-2023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46263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8873-2024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45356</v>
      </c>
      <c r="E647" s="1" t="n">
        <v>46263</v>
      </c>
      <c r="F647" t="inlineStr">
        <is>
          <t>NORRBOTTENS LÄN</t>
        </is>
      </c>
      <c r="G647" t="inlineStr">
        <is>
          <t>BODEN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47024-2024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45586</v>
      </c>
      <c r="E648" s="1" t="n">
        <v>46263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54935-2021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44474</v>
      </c>
      <c r="E649" s="1" t="n">
        <v>46263</v>
      </c>
      <c r="F649" t="inlineStr">
        <is>
          <t>NORRBOTTENS LÄN</t>
        </is>
      </c>
      <c r="G649" t="inlineStr">
        <is>
          <t>BODEN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45694</v>
      </c>
      <c r="E650" s="1" t="n">
        <v>46263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61241-2023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45260</v>
      </c>
      <c r="E651" s="1" t="n">
        <v>46263</v>
      </c>
      <c r="F651" t="inlineStr">
        <is>
          <t>NORRBOTTENS LÄN</t>
        </is>
      </c>
      <c r="G651" t="inlineStr">
        <is>
          <t>BODEN</t>
        </is>
      </c>
      <c r="I651" t="n">
        <v>33.9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46263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45022</v>
      </c>
      <c r="E653" s="1" t="n">
        <v>46263</v>
      </c>
      <c r="F653" t="inlineStr">
        <is>
          <t>NORRBOTTENS LÄN</t>
        </is>
      </c>
      <c r="G653" t="inlineStr">
        <is>
          <t>BODEN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50561-2025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45944</v>
      </c>
      <c r="E654" s="1" t="n">
        <v>46263</v>
      </c>
      <c r="F654" t="inlineStr">
        <is>
          <t>NORRBOTTENS LÄN</t>
        </is>
      </c>
      <c r="G654" t="inlineStr">
        <is>
          <t>BODEN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31195-2025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45832</v>
      </c>
      <c r="E655" s="1" t="n">
        <v>46263</v>
      </c>
      <c r="F655" t="inlineStr">
        <is>
          <t>NORRBOTTENS LÄN</t>
        </is>
      </c>
      <c r="G655" t="inlineStr">
        <is>
          <t>BODEN</t>
        </is>
      </c>
      <c r="I655" t="n">
        <v>8.9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44573</v>
      </c>
      <c r="E656" s="1" t="n">
        <v>46263</v>
      </c>
      <c r="F656" t="inlineStr">
        <is>
          <t>NORRBOTTENS LÄN</t>
        </is>
      </c>
      <c r="G656" t="inlineStr">
        <is>
          <t>BODEN</t>
        </is>
      </c>
      <c r="H656" t="inlineStr">
        <is>
          <t>Övriga statliga verk och myndigheter</t>
        </is>
      </c>
      <c r="I656" t="n">
        <v>9.9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61988-2025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46003</v>
      </c>
      <c r="E657" s="1" t="n">
        <v>46263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7442-2024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45345</v>
      </c>
      <c r="E658" s="1" t="n">
        <v>46263</v>
      </c>
      <c r="F658" t="inlineStr">
        <is>
          <t>NORRBOTTENS LÄN</t>
        </is>
      </c>
      <c r="G658" t="inlineStr">
        <is>
          <t>BODEN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29377-2024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45483</v>
      </c>
      <c r="E659" s="1" t="n">
        <v>46263</v>
      </c>
      <c r="F659" t="inlineStr">
        <is>
          <t>NORRBOTTENS LÄN</t>
        </is>
      </c>
      <c r="G659" t="inlineStr">
        <is>
          <t>BODEN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64975-2023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45285</v>
      </c>
      <c r="E660" s="1" t="n">
        <v>46263</v>
      </c>
      <c r="F660" t="inlineStr">
        <is>
          <t>NORRBOTTENS LÄN</t>
        </is>
      </c>
      <c r="G660" t="inlineStr">
        <is>
          <t>BODEN</t>
        </is>
      </c>
      <c r="I660" t="n">
        <v>9.4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35115-2024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45529</v>
      </c>
      <c r="E661" s="1" t="n">
        <v>46263</v>
      </c>
      <c r="F661" t="inlineStr">
        <is>
          <t>NORRBOTTENS LÄN</t>
        </is>
      </c>
      <c r="G661" t="inlineStr">
        <is>
          <t>BODEN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25627-2022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44732</v>
      </c>
      <c r="E662" s="1" t="n">
        <v>46263</v>
      </c>
      <c r="F662" t="inlineStr">
        <is>
          <t>NORRBOTTENS LÄN</t>
        </is>
      </c>
      <c r="G662" t="inlineStr">
        <is>
          <t>BODEN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45323</v>
      </c>
      <c r="E663" s="1" t="n">
        <v>46263</v>
      </c>
      <c r="F663" t="inlineStr">
        <is>
          <t>NORRBOTTENS LÄN</t>
        </is>
      </c>
      <c r="G663" t="inlineStr">
        <is>
          <t>BODEN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7159-2023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44970</v>
      </c>
      <c r="E664" s="1" t="n">
        <v>46263</v>
      </c>
      <c r="F664" t="inlineStr">
        <is>
          <t>NORRBOTTENS LÄN</t>
        </is>
      </c>
      <c r="G664" t="inlineStr">
        <is>
          <t>BODEN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49124-2023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45210</v>
      </c>
      <c r="E665" s="1" t="n">
        <v>46263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45692</v>
      </c>
      <c r="E666" s="1" t="n">
        <v>46263</v>
      </c>
      <c r="F666" t="inlineStr">
        <is>
          <t>NORRBOTTENS LÄN</t>
        </is>
      </c>
      <c r="G666" t="inlineStr">
        <is>
          <t>BODEN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46263</v>
      </c>
      <c r="F667" t="inlineStr">
        <is>
          <t>NORRBOTTENS LÄN</t>
        </is>
      </c>
      <c r="G667" t="inlineStr">
        <is>
          <t>BODEN</t>
        </is>
      </c>
      <c r="I667" t="n">
        <v>11.1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36438-2024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46263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44964</v>
      </c>
      <c r="E669" s="1" t="n">
        <v>46263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37114-2024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45539</v>
      </c>
      <c r="E670" s="1" t="n">
        <v>46263</v>
      </c>
      <c r="F670" t="inlineStr">
        <is>
          <t>NORRBOTTENS LÄN</t>
        </is>
      </c>
      <c r="G670" t="inlineStr">
        <is>
          <t>BODEN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32775-2025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45839</v>
      </c>
      <c r="E671" s="1" t="n">
        <v>46263</v>
      </c>
      <c r="F671" t="inlineStr">
        <is>
          <t>NORRBOTTENS LÄN</t>
        </is>
      </c>
      <c r="G671" t="inlineStr">
        <is>
          <t>BODEN</t>
        </is>
      </c>
      <c r="I671" t="n">
        <v>13.6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19563-2024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45429</v>
      </c>
      <c r="E672" s="1" t="n">
        <v>46263</v>
      </c>
      <c r="F672" t="inlineStr">
        <is>
          <t>NORRBOTTENS LÄN</t>
        </is>
      </c>
      <c r="G672" t="inlineStr">
        <is>
          <t>BODEN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35755-2025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45860</v>
      </c>
      <c r="E673" s="1" t="n">
        <v>46263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28432-2022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44747</v>
      </c>
      <c r="E674" s="1" t="n">
        <v>46263</v>
      </c>
      <c r="F674" t="inlineStr">
        <is>
          <t>NORRBOTTENS LÄN</t>
        </is>
      </c>
      <c r="G674" t="inlineStr">
        <is>
          <t>BODEN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28248-2025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45818</v>
      </c>
      <c r="E675" s="1" t="n">
        <v>46263</v>
      </c>
      <c r="F675" t="inlineStr">
        <is>
          <t>NORRBOTTENS LÄN</t>
        </is>
      </c>
      <c r="G675" t="inlineStr">
        <is>
          <t>BODEN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21421-2022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44706</v>
      </c>
      <c r="E676" s="1" t="n">
        <v>46263</v>
      </c>
      <c r="F676" t="inlineStr">
        <is>
          <t>NORRBOTTENS LÄN</t>
        </is>
      </c>
      <c r="G676" t="inlineStr">
        <is>
          <t>BODEN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53840-2022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44880</v>
      </c>
      <c r="E677" s="1" t="n">
        <v>46263</v>
      </c>
      <c r="F677" t="inlineStr">
        <is>
          <t>NORRBOTTENS LÄN</t>
        </is>
      </c>
      <c r="G677" t="inlineStr">
        <is>
          <t>BODEN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9969-2023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44979</v>
      </c>
      <c r="E678" s="1" t="n">
        <v>46263</v>
      </c>
      <c r="F678" t="inlineStr">
        <is>
          <t>NORRBOTTENS LÄN</t>
        </is>
      </c>
      <c r="G678" t="inlineStr">
        <is>
          <t>BODEN</t>
        </is>
      </c>
      <c r="H678" t="inlineStr">
        <is>
          <t>Övriga statliga verk och myndigheter</t>
        </is>
      </c>
      <c r="I678" t="n">
        <v>18.8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877-2023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44931</v>
      </c>
      <c r="E679" s="1" t="n">
        <v>46263</v>
      </c>
      <c r="F679" t="inlineStr">
        <is>
          <t>NORRBOTTENS LÄN</t>
        </is>
      </c>
      <c r="G679" t="inlineStr">
        <is>
          <t>BODEN</t>
        </is>
      </c>
      <c r="I679" t="n">
        <v>8.699999999999999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45999</v>
      </c>
      <c r="E680" s="1" t="n">
        <v>46263</v>
      </c>
      <c r="F680" t="inlineStr">
        <is>
          <t>NORRBOTTENS LÄN</t>
        </is>
      </c>
      <c r="G680" t="inlineStr">
        <is>
          <t>BODEN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43648-2023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45187</v>
      </c>
      <c r="E681" s="1" t="n">
        <v>46263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48471-2024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45591</v>
      </c>
      <c r="E682" s="1" t="n">
        <v>46263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14757-2023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45014</v>
      </c>
      <c r="E683" s="1" t="n">
        <v>46263</v>
      </c>
      <c r="F683" t="inlineStr">
        <is>
          <t>NORRBOTTENS LÄN</t>
        </is>
      </c>
      <c r="G683" t="inlineStr">
        <is>
          <t>BODEN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46263</v>
      </c>
      <c r="F684" t="inlineStr">
        <is>
          <t>NORRBOTTENS LÄN</t>
        </is>
      </c>
      <c r="G684" t="inlineStr">
        <is>
          <t>BODEN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37984-2024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46263</v>
      </c>
      <c r="F685" t="inlineStr">
        <is>
          <t>NORRBOTTENS LÄN</t>
        </is>
      </c>
      <c r="G685" t="inlineStr">
        <is>
          <t>BODEN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61214-2024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45645</v>
      </c>
      <c r="E686" s="1" t="n">
        <v>46263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12801-2023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45001</v>
      </c>
      <c r="E687" s="1" t="n">
        <v>46263</v>
      </c>
      <c r="F687" t="inlineStr">
        <is>
          <t>NORRBOTTENS LÄN</t>
        </is>
      </c>
      <c r="G687" t="inlineStr">
        <is>
          <t>BODEN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44964</v>
      </c>
      <c r="E688" s="1" t="n">
        <v>46263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29309-2023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45105</v>
      </c>
      <c r="E689" s="1" t="n">
        <v>46263</v>
      </c>
      <c r="F689" t="inlineStr">
        <is>
          <t>NORRBOTTENS LÄN</t>
        </is>
      </c>
      <c r="G689" t="inlineStr">
        <is>
          <t>BODEN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3462-2022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44585</v>
      </c>
      <c r="E690" s="1" t="n">
        <v>46263</v>
      </c>
      <c r="F690" t="inlineStr">
        <is>
          <t>NORRBOTTENS LÄN</t>
        </is>
      </c>
      <c r="G690" t="inlineStr">
        <is>
          <t>BODEN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46564-2022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44847</v>
      </c>
      <c r="E691" s="1" t="n">
        <v>46263</v>
      </c>
      <c r="F691" t="inlineStr">
        <is>
          <t>NORRBOTTENS LÄN</t>
        </is>
      </c>
      <c r="G691" t="inlineStr">
        <is>
          <t>BODEN</t>
        </is>
      </c>
      <c r="I691" t="n">
        <v>28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3146-2024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45316</v>
      </c>
      <c r="E692" s="1" t="n">
        <v>46263</v>
      </c>
      <c r="F692" t="inlineStr">
        <is>
          <t>NORRBOTTENS LÄN</t>
        </is>
      </c>
      <c r="G692" t="inlineStr">
        <is>
          <t>BODEN</t>
        </is>
      </c>
      <c r="I692" t="n">
        <v>8.800000000000001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73910-2021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44552</v>
      </c>
      <c r="E693" s="1" t="n">
        <v>46263</v>
      </c>
      <c r="F693" t="inlineStr">
        <is>
          <t>NORRBOTTENS LÄN</t>
        </is>
      </c>
      <c r="G693" t="inlineStr">
        <is>
          <t>BODEN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8776-2022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44614</v>
      </c>
      <c r="E694" s="1" t="n">
        <v>46263</v>
      </c>
      <c r="F694" t="inlineStr">
        <is>
          <t>NORRBOTTENS LÄN</t>
        </is>
      </c>
      <c r="G694" t="inlineStr">
        <is>
          <t>BODEN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45470</v>
      </c>
      <c r="E695" s="1" t="n">
        <v>46263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Aktiebolag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47423-2024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45587</v>
      </c>
      <c r="E696" s="1" t="n">
        <v>46263</v>
      </c>
      <c r="F696" t="inlineStr">
        <is>
          <t>NORRBOTTENS LÄN</t>
        </is>
      </c>
      <c r="G696" t="inlineStr">
        <is>
          <t>BODEN</t>
        </is>
      </c>
      <c r="I696" t="n">
        <v>17.2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708-2022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44566</v>
      </c>
      <c r="E697" s="1" t="n">
        <v>46263</v>
      </c>
      <c r="F697" t="inlineStr">
        <is>
          <t>NORRBOTTENS LÄN</t>
        </is>
      </c>
      <c r="G697" t="inlineStr">
        <is>
          <t>BODEN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4254-2025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46263</v>
      </c>
      <c r="F698" t="inlineStr">
        <is>
          <t>NORRBOTTENS LÄN</t>
        </is>
      </c>
      <c r="G698" t="inlineStr">
        <is>
          <t>BODEN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37791-2024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45543</v>
      </c>
      <c r="E699" s="1" t="n">
        <v>46263</v>
      </c>
      <c r="F699" t="inlineStr">
        <is>
          <t>NORRBOTTENS LÄN</t>
        </is>
      </c>
      <c r="G699" t="inlineStr">
        <is>
          <t>BODEN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57563-2023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45246</v>
      </c>
      <c r="E700" s="1" t="n">
        <v>46263</v>
      </c>
      <c r="F700" t="inlineStr">
        <is>
          <t>NORRBOTTENS LÄN</t>
        </is>
      </c>
      <c r="G700" t="inlineStr">
        <is>
          <t>BODEN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45035-2022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44841</v>
      </c>
      <c r="E701" s="1" t="n">
        <v>46263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18436-2025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45762</v>
      </c>
      <c r="E702" s="1" t="n">
        <v>46263</v>
      </c>
      <c r="F702" t="inlineStr">
        <is>
          <t>NORRBOTTENS LÄN</t>
        </is>
      </c>
      <c r="G702" t="inlineStr">
        <is>
          <t>BODEN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28074-2024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45476</v>
      </c>
      <c r="E703" s="1" t="n">
        <v>46263</v>
      </c>
      <c r="F703" t="inlineStr">
        <is>
          <t>NORRBOTTENS LÄN</t>
        </is>
      </c>
      <c r="G703" t="inlineStr">
        <is>
          <t>BODEN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46029</v>
      </c>
      <c r="E704" s="1" t="n">
        <v>46263</v>
      </c>
      <c r="F704" t="inlineStr">
        <is>
          <t>NORRBOTTENS LÄN</t>
        </is>
      </c>
      <c r="G704" t="inlineStr">
        <is>
          <t>BODEN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23232-2024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45453</v>
      </c>
      <c r="E705" s="1" t="n">
        <v>46263</v>
      </c>
      <c r="F705" t="inlineStr">
        <is>
          <t>NORRBOTTENS LÄN</t>
        </is>
      </c>
      <c r="G705" t="inlineStr">
        <is>
          <t>BODEN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16700-2024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45408</v>
      </c>
      <c r="E706" s="1" t="n">
        <v>46263</v>
      </c>
      <c r="F706" t="inlineStr">
        <is>
          <t>NORRBOTTENS LÄN</t>
        </is>
      </c>
      <c r="G706" t="inlineStr">
        <is>
          <t>BODEN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62017-2025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46003</v>
      </c>
      <c r="E707" s="1" t="n">
        <v>46263</v>
      </c>
      <c r="F707" t="inlineStr">
        <is>
          <t>NORRBOTTENS LÄN</t>
        </is>
      </c>
      <c r="G707" t="inlineStr">
        <is>
          <t>BODEN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46263</v>
      </c>
      <c r="F708" t="inlineStr">
        <is>
          <t>NORRBOTTENS LÄN</t>
        </is>
      </c>
      <c r="G708" t="inlineStr">
        <is>
          <t>BODEN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30105-2023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45099</v>
      </c>
      <c r="E709" s="1" t="n">
        <v>46263</v>
      </c>
      <c r="F709" t="inlineStr">
        <is>
          <t>NORRBOTTENS LÄN</t>
        </is>
      </c>
      <c r="G709" t="inlineStr">
        <is>
          <t>BODEN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61588-2024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45646</v>
      </c>
      <c r="E710" s="1" t="n">
        <v>46263</v>
      </c>
      <c r="F710" t="inlineStr">
        <is>
          <t>NORRBOTTENS LÄN</t>
        </is>
      </c>
      <c r="G710" t="inlineStr">
        <is>
          <t>BODEN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19757-2025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46263</v>
      </c>
      <c r="F711" t="inlineStr">
        <is>
          <t>NORRBOTTENS LÄN</t>
        </is>
      </c>
      <c r="G711" t="inlineStr">
        <is>
          <t>BODEN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23706-2024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45454</v>
      </c>
      <c r="E712" s="1" t="n">
        <v>46263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45770</v>
      </c>
      <c r="E713" s="1" t="n">
        <v>46263</v>
      </c>
      <c r="F713" t="inlineStr">
        <is>
          <t>NORRBOTTENS LÄN</t>
        </is>
      </c>
      <c r="G713" t="inlineStr">
        <is>
          <t>BODEN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45677</v>
      </c>
      <c r="E714" s="1" t="n">
        <v>46263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18569-2024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45425</v>
      </c>
      <c r="E715" s="1" t="n">
        <v>46263</v>
      </c>
      <c r="F715" t="inlineStr">
        <is>
          <t>NORRBOTTENS LÄN</t>
        </is>
      </c>
      <c r="G715" t="inlineStr">
        <is>
          <t>BODEN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19968-2025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45771</v>
      </c>
      <c r="E716" s="1" t="n">
        <v>46263</v>
      </c>
      <c r="F716" t="inlineStr">
        <is>
          <t>NORRBOTTENS LÄN</t>
        </is>
      </c>
      <c r="G716" t="inlineStr">
        <is>
          <t>BODEN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45125</v>
      </c>
      <c r="E717" s="1" t="n">
        <v>46263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62140-2024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45646</v>
      </c>
      <c r="E718" s="1" t="n">
        <v>46263</v>
      </c>
      <c r="F718" t="inlineStr">
        <is>
          <t>NORRBOTTENS LÄN</t>
        </is>
      </c>
      <c r="G718" t="inlineStr">
        <is>
          <t>BODEN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19082-2025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45766</v>
      </c>
      <c r="E719" s="1" t="n">
        <v>46263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58504-2024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45635</v>
      </c>
      <c r="E720" s="1" t="n">
        <v>46263</v>
      </c>
      <c r="F720" t="inlineStr">
        <is>
          <t>NORRBOTTENS LÄN</t>
        </is>
      </c>
      <c r="G720" t="inlineStr">
        <is>
          <t>BODEN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28357-2023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45099</v>
      </c>
      <c r="E721" s="1" t="n">
        <v>46263</v>
      </c>
      <c r="F721" t="inlineStr">
        <is>
          <t>NORRBOTTENS LÄN</t>
        </is>
      </c>
      <c r="G721" t="inlineStr">
        <is>
          <t>BODEN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15017-2022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44657</v>
      </c>
      <c r="E722" s="1" t="n">
        <v>46263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61487-2023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45264</v>
      </c>
      <c r="E723" s="1" t="n">
        <v>46263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8028-2024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45350</v>
      </c>
      <c r="E724" s="1" t="n">
        <v>46263</v>
      </c>
      <c r="F724" t="inlineStr">
        <is>
          <t>NORRBOTTENS LÄN</t>
        </is>
      </c>
      <c r="G724" t="inlineStr">
        <is>
          <t>BODEN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12562-2024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45379</v>
      </c>
      <c r="E725" s="1" t="n">
        <v>46263</v>
      </c>
      <c r="F725" t="inlineStr">
        <is>
          <t>NORRBOTTENS LÄN</t>
        </is>
      </c>
      <c r="G725" t="inlineStr">
        <is>
          <t>BODEN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57873-2021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44484</v>
      </c>
      <c r="E726" s="1" t="n">
        <v>46263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57895-2021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44486</v>
      </c>
      <c r="E727" s="1" t="n">
        <v>46263</v>
      </c>
      <c r="F727" t="inlineStr">
        <is>
          <t>NORRBOTTENS LÄN</t>
        </is>
      </c>
      <c r="G727" t="inlineStr">
        <is>
          <t>BODEN</t>
        </is>
      </c>
      <c r="I727" t="n">
        <v>9.199999999999999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48129-2023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45205</v>
      </c>
      <c r="E728" s="1" t="n">
        <v>46263</v>
      </c>
      <c r="F728" t="inlineStr">
        <is>
          <t>NORRBOTTENS LÄN</t>
        </is>
      </c>
      <c r="G728" t="inlineStr">
        <is>
          <t>BODEN</t>
        </is>
      </c>
      <c r="I728" t="n">
        <v>7.1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11634-2026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46263</v>
      </c>
      <c r="F729" t="inlineStr">
        <is>
          <t>NORRBOTTENS LÄN</t>
        </is>
      </c>
      <c r="G729" t="inlineStr">
        <is>
          <t>BODEN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17417-2023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45035</v>
      </c>
      <c r="E730" s="1" t="n">
        <v>46263</v>
      </c>
      <c r="F730" t="inlineStr">
        <is>
          <t>NORRBOTTENS LÄN</t>
        </is>
      </c>
      <c r="G730" t="inlineStr">
        <is>
          <t>BODEN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45893</v>
      </c>
      <c r="E731" s="1" t="n">
        <v>46263</v>
      </c>
      <c r="F731" t="inlineStr">
        <is>
          <t>NORRBOTTENS LÄN</t>
        </is>
      </c>
      <c r="G731" t="inlineStr">
        <is>
          <t>BODEN</t>
        </is>
      </c>
      <c r="H731" t="inlineStr">
        <is>
          <t>Övriga statliga verk och myndigheter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33511-2025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45841</v>
      </c>
      <c r="E732" s="1" t="n">
        <v>46263</v>
      </c>
      <c r="F732" t="inlineStr">
        <is>
          <t>NORRBOTTENS LÄN</t>
        </is>
      </c>
      <c r="G732" t="inlineStr">
        <is>
          <t>BODEN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6638-2024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45341</v>
      </c>
      <c r="E733" s="1" t="n">
        <v>46263</v>
      </c>
      <c r="F733" t="inlineStr">
        <is>
          <t>NORRBOTTENS LÄN</t>
        </is>
      </c>
      <c r="G733" t="inlineStr">
        <is>
          <t>BODEN</t>
        </is>
      </c>
      <c r="H733" t="inlineStr">
        <is>
          <t>Övriga statliga verk och myndigheter</t>
        </is>
      </c>
      <c r="I733" t="n">
        <v>12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46148</v>
      </c>
      <c r="E734" s="1" t="n">
        <v>46263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61932-2024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45653</v>
      </c>
      <c r="E735" s="1" t="n">
        <v>46263</v>
      </c>
      <c r="F735" t="inlineStr">
        <is>
          <t>NORRBOTTENS LÄN</t>
        </is>
      </c>
      <c r="G735" t="inlineStr">
        <is>
          <t>BODEN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41212-2023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45174</v>
      </c>
      <c r="E736" s="1" t="n">
        <v>46263</v>
      </c>
      <c r="F736" t="inlineStr">
        <is>
          <t>NORRBOTTENS LÄN</t>
        </is>
      </c>
      <c r="G736" t="inlineStr">
        <is>
          <t>BODEN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21279-2026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46263</v>
      </c>
      <c r="F737" t="inlineStr">
        <is>
          <t>NORRBOTTENS LÄN</t>
        </is>
      </c>
      <c r="G737" t="inlineStr">
        <is>
          <t>BODEN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42995-2022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44833</v>
      </c>
      <c r="E738" s="1" t="n">
        <v>46263</v>
      </c>
      <c r="F738" t="inlineStr">
        <is>
          <t>NORRBOTTENS LÄN</t>
        </is>
      </c>
      <c r="G738" t="inlineStr">
        <is>
          <t>BODEN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21784-2026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46150</v>
      </c>
      <c r="E739" s="1" t="n">
        <v>46263</v>
      </c>
      <c r="F739" t="inlineStr">
        <is>
          <t>NORRBOTTENS LÄN</t>
        </is>
      </c>
      <c r="G739" t="inlineStr">
        <is>
          <t>BODEN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22264-2026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46150</v>
      </c>
      <c r="E740" s="1" t="n">
        <v>46263</v>
      </c>
      <c r="F740" t="inlineStr">
        <is>
          <t>NORRBOTTENS LÄN</t>
        </is>
      </c>
      <c r="G740" t="inlineStr">
        <is>
          <t>BODEN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46150</v>
      </c>
      <c r="E741" s="1" t="n">
        <v>46263</v>
      </c>
      <c r="F741" t="inlineStr">
        <is>
          <t>NORRBOTTENS LÄN</t>
        </is>
      </c>
      <c r="G741" t="inlineStr">
        <is>
          <t>BODEN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21688-2026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46149</v>
      </c>
      <c r="E742" s="1" t="n">
        <v>46263</v>
      </c>
      <c r="F742" t="inlineStr">
        <is>
          <t>NORRBOTTENS LÄN</t>
        </is>
      </c>
      <c r="G742" t="inlineStr">
        <is>
          <t>BODEN</t>
        </is>
      </c>
      <c r="I742" t="n">
        <v>11.6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59893-2023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45254</v>
      </c>
      <c r="E743" s="1" t="n">
        <v>46263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21610-2026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46149</v>
      </c>
      <c r="E744" s="1" t="n">
        <v>46263</v>
      </c>
      <c r="F744" t="inlineStr">
        <is>
          <t>NORRBOTTENS LÄN</t>
        </is>
      </c>
      <c r="G744" t="inlineStr">
        <is>
          <t>BODEN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21703-2026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46149</v>
      </c>
      <c r="E745" s="1" t="n">
        <v>46263</v>
      </c>
      <c r="F745" t="inlineStr">
        <is>
          <t>NORRBOTTENS LÄN</t>
        </is>
      </c>
      <c r="G745" t="inlineStr">
        <is>
          <t>BODEN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44935</v>
      </c>
      <c r="E746" s="1" t="n">
        <v>46263</v>
      </c>
      <c r="F746" t="inlineStr">
        <is>
          <t>NORRBOTTENS LÄN</t>
        </is>
      </c>
      <c r="G746" t="inlineStr">
        <is>
          <t>BODEN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22239-2026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46263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16699-2024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46263</v>
      </c>
      <c r="F748" t="inlineStr">
        <is>
          <t>NORRBOTTENS LÄN</t>
        </is>
      </c>
      <c r="G748" t="inlineStr">
        <is>
          <t>BODEN</t>
        </is>
      </c>
      <c r="I748" t="n">
        <v>14.9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19068-2024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45427</v>
      </c>
      <c r="E749" s="1" t="n">
        <v>46263</v>
      </c>
      <c r="F749" t="inlineStr">
        <is>
          <t>NORRBOTTENS LÄN</t>
        </is>
      </c>
      <c r="G749" t="inlineStr">
        <is>
          <t>BODEN</t>
        </is>
      </c>
      <c r="I749" t="n">
        <v>22.1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46263</v>
      </c>
      <c r="F750" t="inlineStr">
        <is>
          <t>NORRBOTTENS LÄN</t>
        </is>
      </c>
      <c r="G750" t="inlineStr">
        <is>
          <t>BODEN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60085-2024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45639</v>
      </c>
      <c r="E751" s="1" t="n">
        <v>46263</v>
      </c>
      <c r="F751" t="inlineStr">
        <is>
          <t>NORRBOTTENS LÄN</t>
        </is>
      </c>
      <c r="G751" t="inlineStr">
        <is>
          <t>BODEN</t>
        </is>
      </c>
      <c r="I751" t="n">
        <v>9.5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56837-2023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45244</v>
      </c>
      <c r="E752" s="1" t="n">
        <v>46263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statliga verk och myndigheter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61969-2024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45653</v>
      </c>
      <c r="E753" s="1" t="n">
        <v>46263</v>
      </c>
      <c r="F753" t="inlineStr">
        <is>
          <t>NORRBOTTENS LÄN</t>
        </is>
      </c>
      <c r="G753" t="inlineStr">
        <is>
          <t>BODEN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59035-2025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45988</v>
      </c>
      <c r="E754" s="1" t="n">
        <v>46263</v>
      </c>
      <c r="F754" t="inlineStr">
        <is>
          <t>NORRBOTTENS LÄN</t>
        </is>
      </c>
      <c r="G754" t="inlineStr">
        <is>
          <t>BODEN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61587-2024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45646</v>
      </c>
      <c r="E755" s="1" t="n">
        <v>46263</v>
      </c>
      <c r="F755" t="inlineStr">
        <is>
          <t>NORRBOTTENS LÄN</t>
        </is>
      </c>
      <c r="G755" t="inlineStr">
        <is>
          <t>BODEN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46263</v>
      </c>
      <c r="F756" t="inlineStr">
        <is>
          <t>NORRBOTTENS LÄN</t>
        </is>
      </c>
      <c r="G756" t="inlineStr">
        <is>
          <t>BODEN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21329-2024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45440</v>
      </c>
      <c r="E757" s="1" t="n">
        <v>46263</v>
      </c>
      <c r="F757" t="inlineStr">
        <is>
          <t>NORRBOTTENS LÄN</t>
        </is>
      </c>
      <c r="G757" t="inlineStr">
        <is>
          <t>BODEN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45672</v>
      </c>
      <c r="E758" s="1" t="n">
        <v>46263</v>
      </c>
      <c r="F758" t="inlineStr">
        <is>
          <t>NORRBOTTENS LÄN</t>
        </is>
      </c>
      <c r="G758" t="inlineStr">
        <is>
          <t>BODEN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19624-2025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45770</v>
      </c>
      <c r="E759" s="1" t="n">
        <v>46263</v>
      </c>
      <c r="F759" t="inlineStr">
        <is>
          <t>NORRBOTTENS LÄN</t>
        </is>
      </c>
      <c r="G759" t="inlineStr">
        <is>
          <t>BODEN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28079-2024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45476</v>
      </c>
      <c r="E760" s="1" t="n">
        <v>46263</v>
      </c>
      <c r="F760" t="inlineStr">
        <is>
          <t>NORRBOTTENS LÄN</t>
        </is>
      </c>
      <c r="G760" t="inlineStr">
        <is>
          <t>BODEN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46263</v>
      </c>
      <c r="F761" t="inlineStr">
        <is>
          <t>NORRBOTTENS LÄN</t>
        </is>
      </c>
      <c r="G761" t="inlineStr">
        <is>
          <t>BODEN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19050-2025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46263</v>
      </c>
      <c r="F762" t="inlineStr">
        <is>
          <t>NORRBOTTENS LÄN</t>
        </is>
      </c>
      <c r="G762" t="inlineStr">
        <is>
          <t>BODEN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54236-2022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44881</v>
      </c>
      <c r="E763" s="1" t="n">
        <v>46263</v>
      </c>
      <c r="F763" t="inlineStr">
        <is>
          <t>NORRBOTTENS LÄN</t>
        </is>
      </c>
      <c r="G763" t="inlineStr">
        <is>
          <t>BODEN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14801-2024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45397</v>
      </c>
      <c r="E764" s="1" t="n">
        <v>46263</v>
      </c>
      <c r="F764" t="inlineStr">
        <is>
          <t>NORRBOTTENS LÄN</t>
        </is>
      </c>
      <c r="G764" t="inlineStr">
        <is>
          <t>BODEN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14802-2024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45397</v>
      </c>
      <c r="E765" s="1" t="n">
        <v>46263</v>
      </c>
      <c r="F765" t="inlineStr">
        <is>
          <t>NORRBOTTENS LÄN</t>
        </is>
      </c>
      <c r="G765" t="inlineStr">
        <is>
          <t>BODEN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13925-2024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45391</v>
      </c>
      <c r="E766" s="1" t="n">
        <v>46263</v>
      </c>
      <c r="F766" t="inlineStr">
        <is>
          <t>NORRBOTTENS LÄN</t>
        </is>
      </c>
      <c r="G766" t="inlineStr">
        <is>
          <t>BODEN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46263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11.3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37212-2025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45875</v>
      </c>
      <c r="E768" s="1" t="n">
        <v>46263</v>
      </c>
      <c r="F768" t="inlineStr">
        <is>
          <t>NORRBOTTENS LÄN</t>
        </is>
      </c>
      <c r="G768" t="inlineStr">
        <is>
          <t>BODEN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15157-2025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45744</v>
      </c>
      <c r="E769" s="1" t="n">
        <v>46263</v>
      </c>
      <c r="F769" t="inlineStr">
        <is>
          <t>NORRBOTTENS LÄN</t>
        </is>
      </c>
      <c r="G769" t="inlineStr">
        <is>
          <t>BODEN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45691</v>
      </c>
      <c r="E770" s="1" t="n">
        <v>46263</v>
      </c>
      <c r="F770" t="inlineStr">
        <is>
          <t>NORRBOTTENS LÄN</t>
        </is>
      </c>
      <c r="G770" t="inlineStr">
        <is>
          <t>BODEN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23790-2026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46164</v>
      </c>
      <c r="E771" s="1" t="n">
        <v>46263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23792-2026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46164</v>
      </c>
      <c r="E772" s="1" t="n">
        <v>46263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46164</v>
      </c>
      <c r="E773" s="1" t="n">
        <v>46263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46164</v>
      </c>
      <c r="E774" s="1" t="n">
        <v>46263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45674</v>
      </c>
      <c r="E775" s="1" t="n">
        <v>46263</v>
      </c>
      <c r="F775" t="inlineStr">
        <is>
          <t>NORRBOTTENS LÄN</t>
        </is>
      </c>
      <c r="G775" t="inlineStr">
        <is>
          <t>BODEN</t>
        </is>
      </c>
      <c r="I775" t="n">
        <v>7.2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46263</v>
      </c>
      <c r="F776" t="inlineStr">
        <is>
          <t>NORRBOTTENS LÄN</t>
        </is>
      </c>
      <c r="G776" t="inlineStr">
        <is>
          <t>BODEN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46263</v>
      </c>
      <c r="F777" t="inlineStr">
        <is>
          <t>NORRBOTTENS LÄN</t>
        </is>
      </c>
      <c r="G777" t="inlineStr">
        <is>
          <t>BODEN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40157-2025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45894</v>
      </c>
      <c r="E778" s="1" t="n">
        <v>46263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statliga verk och myndigheter</t>
        </is>
      </c>
      <c r="I778" t="n">
        <v>17.6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46263</v>
      </c>
      <c r="F779" t="inlineStr">
        <is>
          <t>NORRBOTTENS LÄN</t>
        </is>
      </c>
      <c r="G779" t="inlineStr">
        <is>
          <t>BODEN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24225-2026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46263</v>
      </c>
      <c r="F780" t="inlineStr">
        <is>
          <t>NORRBOTTENS LÄN</t>
        </is>
      </c>
      <c r="G780" t="inlineStr">
        <is>
          <t>BODEN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46168</v>
      </c>
      <c r="E781" s="1" t="n">
        <v>46263</v>
      </c>
      <c r="F781" t="inlineStr">
        <is>
          <t>NORRBOTTENS LÄN</t>
        </is>
      </c>
      <c r="G781" t="inlineStr">
        <is>
          <t>BODEN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46168</v>
      </c>
      <c r="E782" s="1" t="n">
        <v>46263</v>
      </c>
      <c r="F782" t="inlineStr">
        <is>
          <t>NORRBOTTENS LÄN</t>
        </is>
      </c>
      <c r="G782" t="inlineStr">
        <is>
          <t>BODEN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46263</v>
      </c>
      <c r="F783" t="inlineStr">
        <is>
          <t>NORRBOTTENS LÄN</t>
        </is>
      </c>
      <c r="G783" t="inlineStr">
        <is>
          <t>BODEN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46263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46171</v>
      </c>
      <c r="E785" s="1" t="n">
        <v>46263</v>
      </c>
      <c r="F785" t="inlineStr">
        <is>
          <t>NORRBOTTENS LÄN</t>
        </is>
      </c>
      <c r="G785" t="inlineStr">
        <is>
          <t>BODEN</t>
        </is>
      </c>
      <c r="I785" t="n">
        <v>6.1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24805-2026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46172</v>
      </c>
      <c r="E786" s="1" t="n">
        <v>46263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46174</v>
      </c>
      <c r="E787" s="1" t="n">
        <v>46263</v>
      </c>
      <c r="F787" t="inlineStr">
        <is>
          <t>NORRBOTTENS LÄN</t>
        </is>
      </c>
      <c r="G787" t="inlineStr">
        <is>
          <t>BODEN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46263</v>
      </c>
      <c r="F788" t="inlineStr">
        <is>
          <t>NORRBOTTENS LÄN</t>
        </is>
      </c>
      <c r="G788" t="inlineStr">
        <is>
          <t>BODEN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46263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46263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8869-2024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45356</v>
      </c>
      <c r="E791" s="1" t="n">
        <v>46263</v>
      </c>
      <c r="F791" t="inlineStr">
        <is>
          <t>NORRBOTTENS LÄN</t>
        </is>
      </c>
      <c r="G791" t="inlineStr">
        <is>
          <t>BODEN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25817-2026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46178</v>
      </c>
      <c r="E792" s="1" t="n">
        <v>46263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46181</v>
      </c>
      <c r="E793" s="1" t="n">
        <v>46263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26056-2026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46263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46225</v>
      </c>
      <c r="E795" s="1" t="n">
        <v>46263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46263</v>
      </c>
      <c r="F796" t="inlineStr">
        <is>
          <t>NORRBOTTENS LÄN</t>
        </is>
      </c>
      <c r="G796" t="inlineStr">
        <is>
          <t>BODEN</t>
        </is>
      </c>
      <c r="I796" t="n">
        <v>18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24498-2026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46263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26386-2026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46263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46263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46263</v>
      </c>
      <c r="F800" t="inlineStr">
        <is>
          <t>NORRBOTTENS LÄN</t>
        </is>
      </c>
      <c r="G800" t="inlineStr">
        <is>
          <t>BODEN</t>
        </is>
      </c>
      <c r="I800" t="n">
        <v>7.7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46263</v>
      </c>
      <c r="F801" t="inlineStr">
        <is>
          <t>NORRBOTTENS LÄN</t>
        </is>
      </c>
      <c r="G801" t="inlineStr">
        <is>
          <t>BODEN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26776-2026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46184</v>
      </c>
      <c r="E802" s="1" t="n">
        <v>46263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  <c r="Z802">
        <f>HYPERLINK("https://klasma.github.io/Logging_2582/knärot/A 26776-2026 karta knärot.png", "A 26776-2026")</f>
        <v/>
      </c>
      <c r="AA802">
        <f>HYPERLINK("https://klasma.github.io/Logging_2582/klagomål/A 26776-2026 FSC-klagomål.docx", "A 26776-2026")</f>
        <v/>
      </c>
      <c r="AB802">
        <f>HYPERLINK("https://klasma.github.io/Logging_2582/klagomålsmail/A 26776-2026 FSC-klagomål mail.docx", "A 26776-2026")</f>
        <v/>
      </c>
      <c r="AC802">
        <f>HYPERLINK("https://klasma.github.io/Logging_2582/tillsyn/A 26776-2026 tillsynsbegäran.docx", "A 26776-2026")</f>
        <v/>
      </c>
      <c r="AD802">
        <f>HYPERLINK("https://klasma.github.io/Logging_2582/tillsynsmail/A 26776-2026 tillsynsbegäran mail.docx", "A 26776-2026")</f>
        <v/>
      </c>
    </row>
    <row r="803" ht="15" customHeight="1">
      <c r="A803" t="inlineStr">
        <is>
          <t>A 26714-2026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46263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26662-2026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46263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42.2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46234</v>
      </c>
      <c r="E805" s="1" t="n">
        <v>46263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32088-2026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46234</v>
      </c>
      <c r="E806" s="1" t="n">
        <v>46263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32087-2026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46234</v>
      </c>
      <c r="E807" s="1" t="n">
        <v>46263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27749-2026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46191</v>
      </c>
      <c r="E808" s="1" t="n">
        <v>46263</v>
      </c>
      <c r="F808" t="inlineStr">
        <is>
          <t>NORRBOTTENS LÄN</t>
        </is>
      </c>
      <c r="G808" t="inlineStr">
        <is>
          <t>BODEN</t>
        </is>
      </c>
      <c r="I808" t="n">
        <v>4.9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32426-2026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46238</v>
      </c>
      <c r="E809" s="1" t="n">
        <v>46263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32427-2026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46238</v>
      </c>
      <c r="E810" s="1" t="n">
        <v>46263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46263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28512-2026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46197</v>
      </c>
      <c r="E812" s="1" t="n">
        <v>46263</v>
      </c>
      <c r="F812" t="inlineStr">
        <is>
          <t>NORRBOTTENS LÄN</t>
        </is>
      </c>
      <c r="G812" t="inlineStr">
        <is>
          <t>BODEN</t>
        </is>
      </c>
      <c r="I812" t="n">
        <v>10.8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32678-2026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46240</v>
      </c>
      <c r="E813" s="1" t="n">
        <v>46263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46239</v>
      </c>
      <c r="E814" s="1" t="n">
        <v>46263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26.6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46263</v>
      </c>
      <c r="F815" t="inlineStr">
        <is>
          <t>NORRBOTTENS LÄN</t>
        </is>
      </c>
      <c r="G815" t="inlineStr">
        <is>
          <t>BODEN</t>
        </is>
      </c>
      <c r="I815" t="n">
        <v>8.9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46240</v>
      </c>
      <c r="E816" s="1" t="n">
        <v>46263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29467-2026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46198</v>
      </c>
      <c r="E817" s="1" t="n">
        <v>46263</v>
      </c>
      <c r="F817" t="inlineStr">
        <is>
          <t>NORRBOTTENS LÄN</t>
        </is>
      </c>
      <c r="G817" t="inlineStr">
        <is>
          <t>BODEN</t>
        </is>
      </c>
      <c r="I817" t="n">
        <v>14.5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46263</v>
      </c>
      <c r="F818" t="inlineStr">
        <is>
          <t>NORRBOTTENS LÄN</t>
        </is>
      </c>
      <c r="G818" t="inlineStr">
        <is>
          <t>BODEN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28615-2026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46197</v>
      </c>
      <c r="E819" s="1" t="n">
        <v>46263</v>
      </c>
      <c r="F819" t="inlineStr">
        <is>
          <t>NORRBOTTENS LÄN</t>
        </is>
      </c>
      <c r="G819" t="inlineStr">
        <is>
          <t>BODEN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60337-2024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45643</v>
      </c>
      <c r="E820" s="1" t="n">
        <v>46263</v>
      </c>
      <c r="F820" t="inlineStr">
        <is>
          <t>NORRBOTTENS LÄN</t>
        </is>
      </c>
      <c r="G820" t="inlineStr">
        <is>
          <t>BODEN</t>
        </is>
      </c>
      <c r="I820" t="n">
        <v>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28496-2026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46197</v>
      </c>
      <c r="E821" s="1" t="n">
        <v>46263</v>
      </c>
      <c r="F821" t="inlineStr">
        <is>
          <t>NORRBOTTENS LÄN</t>
        </is>
      </c>
      <c r="G821" t="inlineStr">
        <is>
          <t>BODEN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32674-2026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46240</v>
      </c>
      <c r="E822" s="1" t="n">
        <v>46263</v>
      </c>
      <c r="F822" t="inlineStr">
        <is>
          <t>NORRBOTTENS LÄN</t>
        </is>
      </c>
      <c r="G822" t="inlineStr">
        <is>
          <t>BODEN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28490-2026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46197</v>
      </c>
      <c r="E823" s="1" t="n">
        <v>46263</v>
      </c>
      <c r="F823" t="inlineStr">
        <is>
          <t>NORRBOTTENS LÄN</t>
        </is>
      </c>
      <c r="G823" t="inlineStr">
        <is>
          <t>BODEN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29393-2026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46203</v>
      </c>
      <c r="E824" s="1" t="n">
        <v>46263</v>
      </c>
      <c r="F824" t="inlineStr">
        <is>
          <t>NORRBOTTENS LÄN</t>
        </is>
      </c>
      <c r="G824" t="inlineStr">
        <is>
          <t>BODEN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29555-2026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46263</v>
      </c>
      <c r="F825" t="inlineStr">
        <is>
          <t>NORRBOTTENS LÄN</t>
        </is>
      </c>
      <c r="G825" t="inlineStr">
        <is>
          <t>BODEN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29155-2026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46263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29183-2026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46202</v>
      </c>
      <c r="E827" s="1" t="n">
        <v>46263</v>
      </c>
      <c r="F827" t="inlineStr">
        <is>
          <t>NORRBOTTENS LÄN</t>
        </is>
      </c>
      <c r="G827" t="inlineStr">
        <is>
          <t>BODEN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46202</v>
      </c>
      <c r="E828" s="1" t="n">
        <v>46263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29152-2026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46202</v>
      </c>
      <c r="E829" s="1" t="n">
        <v>46263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29394-2026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46203</v>
      </c>
      <c r="E830" s="1" t="n">
        <v>46263</v>
      </c>
      <c r="F830" t="inlineStr">
        <is>
          <t>NORRBOTTENS LÄN</t>
        </is>
      </c>
      <c r="G830" t="inlineStr">
        <is>
          <t>BODEN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29746-2026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46204</v>
      </c>
      <c r="E831" s="1" t="n">
        <v>46263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46246</v>
      </c>
      <c r="E832" s="1" t="n">
        <v>46263</v>
      </c>
      <c r="F832" t="inlineStr">
        <is>
          <t>NORRBOTTENS LÄN</t>
        </is>
      </c>
      <c r="G832" t="inlineStr">
        <is>
          <t>BODEN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29568-2026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46263</v>
      </c>
      <c r="F833" t="inlineStr">
        <is>
          <t>NORRBOTTENS LÄN</t>
        </is>
      </c>
      <c r="G833" t="inlineStr">
        <is>
          <t>BODEN</t>
        </is>
      </c>
      <c r="I833" t="n">
        <v>12.2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46248</v>
      </c>
      <c r="E834" s="1" t="n">
        <v>46263</v>
      </c>
      <c r="F834" t="inlineStr">
        <is>
          <t>NORRBOTTENS LÄN</t>
        </is>
      </c>
      <c r="G834" t="inlineStr">
        <is>
          <t>BODEN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29759-2026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46263</v>
      </c>
      <c r="F835" t="inlineStr">
        <is>
          <t>NORRBOTTENS LÄN</t>
        </is>
      </c>
      <c r="G835" t="inlineStr">
        <is>
          <t>BODEN</t>
        </is>
      </c>
      <c r="I835" t="n">
        <v>38.7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46209</v>
      </c>
      <c r="E836" s="1" t="n">
        <v>46263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46252</v>
      </c>
      <c r="E837" s="1" t="n">
        <v>46263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19.5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30023-2026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46263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33790-2026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46263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33864-2026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46251</v>
      </c>
      <c r="E840" s="1" t="n">
        <v>46263</v>
      </c>
      <c r="F840" t="inlineStr">
        <is>
          <t>NORRBOTTENS LÄN</t>
        </is>
      </c>
      <c r="G840" t="inlineStr">
        <is>
          <t>BODEN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30025-2026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46206</v>
      </c>
      <c r="E841" s="1" t="n">
        <v>46263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30077-2026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46206</v>
      </c>
      <c r="E842" s="1" t="n">
        <v>46263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30332-2026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46208</v>
      </c>
      <c r="E843" s="1" t="n">
        <v>46263</v>
      </c>
      <c r="F843" t="inlineStr">
        <is>
          <t>NORRBOTTENS LÄN</t>
        </is>
      </c>
      <c r="G843" t="inlineStr">
        <is>
          <t>BODEN</t>
        </is>
      </c>
      <c r="I843" t="n">
        <v>9.800000000000001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46263</v>
      </c>
      <c r="F844" t="inlineStr">
        <is>
          <t>NORRBOTTENS LÄN</t>
        </is>
      </c>
      <c r="G844" t="inlineStr">
        <is>
          <t>BODEN</t>
        </is>
      </c>
      <c r="H844" t="inlineStr">
        <is>
          <t>Kommuner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30430-2026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46263</v>
      </c>
      <c r="F845" t="inlineStr">
        <is>
          <t>NORRBOTTENS LÄN</t>
        </is>
      </c>
      <c r="G845" t="inlineStr">
        <is>
          <t>BODEN</t>
        </is>
      </c>
      <c r="H845" t="inlineStr">
        <is>
          <t>Kommuner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30745-2026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46211</v>
      </c>
      <c r="E846" s="1" t="n">
        <v>46263</v>
      </c>
      <c r="F846" t="inlineStr">
        <is>
          <t>NORRBOTTENS LÄN</t>
        </is>
      </c>
      <c r="G846" t="inlineStr">
        <is>
          <t>BODEN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34158-2026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46253</v>
      </c>
      <c r="E847" s="1" t="n">
        <v>46263</v>
      </c>
      <c r="F847" t="inlineStr">
        <is>
          <t>NORRBOTTENS LÄN</t>
        </is>
      </c>
      <c r="G847" t="inlineStr">
        <is>
          <t>BODEN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34333-2026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46254</v>
      </c>
      <c r="E848" s="1" t="n">
        <v>46263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18.5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34517-2026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46255</v>
      </c>
      <c r="E849" s="1" t="n">
        <v>46263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34463-2026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46254</v>
      </c>
      <c r="E850" s="1" t="n">
        <v>46263</v>
      </c>
      <c r="F850" t="inlineStr">
        <is>
          <t>NORRBOTTENS LÄN</t>
        </is>
      </c>
      <c r="G850" t="inlineStr">
        <is>
          <t>BODEN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34462-2026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46263</v>
      </c>
      <c r="F851" t="inlineStr">
        <is>
          <t>NORRBOTTENS LÄN</t>
        </is>
      </c>
      <c r="G851" t="inlineStr">
        <is>
          <t>BODEN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46263</v>
      </c>
      <c r="F852" t="inlineStr">
        <is>
          <t>NORRBOTTENS LÄN</t>
        </is>
      </c>
      <c r="G852" t="inlineStr">
        <is>
          <t>BODEN</t>
        </is>
      </c>
      <c r="H852" t="inlineStr">
        <is>
          <t>Naturvårdsverket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34897-2026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46259</v>
      </c>
      <c r="E853" s="1" t="n">
        <v>46263</v>
      </c>
      <c r="F853" t="inlineStr">
        <is>
          <t>NORRBOTTENS LÄN</t>
        </is>
      </c>
      <c r="G853" t="inlineStr">
        <is>
          <t>BODEN</t>
        </is>
      </c>
      <c r="H853" t="inlineStr">
        <is>
          <t>Naturvårdsverket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34898-2026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46259</v>
      </c>
      <c r="E854" s="1" t="n">
        <v>46263</v>
      </c>
      <c r="F854" t="inlineStr">
        <is>
          <t>NORRBOTTENS LÄN</t>
        </is>
      </c>
      <c r="G854" t="inlineStr">
        <is>
          <t>BODEN</t>
        </is>
      </c>
      <c r="H854" t="inlineStr">
        <is>
          <t>Naturvårdsverket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35060-2026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46259</v>
      </c>
      <c r="E855" s="1" t="n">
        <v>46263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44.8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31217-2026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46217</v>
      </c>
      <c r="E856" s="1" t="n">
        <v>46263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46263</v>
      </c>
      <c r="F857" t="inlineStr">
        <is>
          <t>NORRBOTTENS LÄN</t>
        </is>
      </c>
      <c r="G857" t="inlineStr">
        <is>
          <t>BODEN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31209-2026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46217</v>
      </c>
      <c r="E858" s="1" t="n">
        <v>46263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8.800000000000001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31211-2026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46217</v>
      </c>
      <c r="E859" s="1" t="n">
        <v>46263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31226-2026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46217</v>
      </c>
      <c r="E860" s="1" t="n">
        <v>46263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46052-2025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46263</v>
      </c>
      <c r="F861" t="inlineStr">
        <is>
          <t>NORRBOTTENS LÄN</t>
        </is>
      </c>
      <c r="G861" t="inlineStr">
        <is>
          <t>BODEN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40117-2025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45894</v>
      </c>
      <c r="E862" s="1" t="n">
        <v>46263</v>
      </c>
      <c r="F862" t="inlineStr">
        <is>
          <t>NORRBOTTENS LÄN</t>
        </is>
      </c>
      <c r="G862" t="inlineStr">
        <is>
          <t>BODEN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46263</v>
      </c>
      <c r="F863" t="inlineStr">
        <is>
          <t>NORRBOTTENS LÄN</t>
        </is>
      </c>
      <c r="G863" t="inlineStr">
        <is>
          <t>BODEN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46263</v>
      </c>
      <c r="F864" t="inlineStr">
        <is>
          <t>NORRBOTTENS LÄN</t>
        </is>
      </c>
      <c r="G864" t="inlineStr">
        <is>
          <t>BODEN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35381-2026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46263</v>
      </c>
      <c r="F865" t="inlineStr">
        <is>
          <t>NORRBOTTENS LÄN</t>
        </is>
      </c>
      <c r="G865" t="inlineStr">
        <is>
          <t>BODEN</t>
        </is>
      </c>
      <c r="I865" t="n">
        <v>10.9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35295-2026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46263</v>
      </c>
      <c r="F866" t="inlineStr">
        <is>
          <t>NORRBOTTENS LÄN</t>
        </is>
      </c>
      <c r="G866" t="inlineStr">
        <is>
          <t>BODEN</t>
        </is>
      </c>
      <c r="I866" t="n">
        <v>5.3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  <c r="Z866">
        <f>HYPERLINK("https://klasma.github.io/Logging_2582/knärot/A 35295-2026 karta knärot.png", "A 35295-2026")</f>
        <v/>
      </c>
      <c r="AA866">
        <f>HYPERLINK("https://klasma.github.io/Logging_2582/klagomål/A 35295-2026 FSC-klagomål.docx", "A 35295-2026")</f>
        <v/>
      </c>
      <c r="AB866">
        <f>HYPERLINK("https://klasma.github.io/Logging_2582/klagomålsmail/A 35295-2026 FSC-klagomål mail.docx", "A 35295-2026")</f>
        <v/>
      </c>
      <c r="AC866">
        <f>HYPERLINK("https://klasma.github.io/Logging_2582/tillsyn/A 35295-2026 tillsynsbegäran.docx", "A 35295-2026")</f>
        <v/>
      </c>
      <c r="AD866">
        <f>HYPERLINK("https://klasma.github.io/Logging_2582/tillsynsmail/A 35295-2026 tillsynsbegäran mail.docx", "A 35295-2026")</f>
        <v/>
      </c>
    </row>
    <row r="867" ht="15" customHeight="1">
      <c r="A867" t="inlineStr">
        <is>
          <t>A 35407-2026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46263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885-2024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45376</v>
      </c>
      <c r="E868" s="1" t="n">
        <v>46263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1063-2023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45013</v>
      </c>
      <c r="E869" s="1" t="n">
        <v>46263</v>
      </c>
      <c r="F869" t="inlineStr">
        <is>
          <t>NORRBOTTENS LÄN</t>
        </is>
      </c>
      <c r="G869" t="inlineStr">
        <is>
          <t>BODEN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883-2024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45376</v>
      </c>
      <c r="E870" s="1" t="n">
        <v>46263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52-2025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45667</v>
      </c>
      <c r="E871" s="1" t="n">
        <v>46263</v>
      </c>
      <c r="F871" t="inlineStr">
        <is>
          <t>NORRBOTTENS LÄN</t>
        </is>
      </c>
      <c r="G871" t="inlineStr">
        <is>
          <t>BODEN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44945</v>
      </c>
      <c r="E872" s="1" t="n">
        <v>46263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977-2025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45743</v>
      </c>
      <c r="E873" s="1" t="n">
        <v>46263</v>
      </c>
      <c r="F873" t="inlineStr">
        <is>
          <t>NORRBOTTENS LÄN</t>
        </is>
      </c>
      <c r="G873" t="inlineStr">
        <is>
          <t>BODEN</t>
        </is>
      </c>
      <c r="I873" t="n">
        <v>11.1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978-2025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45743</v>
      </c>
      <c r="E874" s="1" t="n">
        <v>46263</v>
      </c>
      <c r="F874" t="inlineStr">
        <is>
          <t>NORRBOTTENS LÄN</t>
        </is>
      </c>
      <c r="G874" t="inlineStr">
        <is>
          <t>BODEN</t>
        </is>
      </c>
      <c r="I874" t="n">
        <v>19.5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1498-2025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45789</v>
      </c>
      <c r="E875" s="1" t="n">
        <v>46263</v>
      </c>
      <c r="F875" t="inlineStr">
        <is>
          <t>NORRBOTTENS LÄN</t>
        </is>
      </c>
      <c r="G875" t="inlineStr">
        <is>
          <t>BODEN</t>
        </is>
      </c>
      <c r="H875" t="inlineStr">
        <is>
          <t>Övriga Aktiebolag</t>
        </is>
      </c>
      <c r="I875" t="n">
        <v>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1572-2025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45792</v>
      </c>
      <c r="E876" s="1" t="n">
        <v>46263</v>
      </c>
      <c r="F876" t="inlineStr">
        <is>
          <t>NORRBOTTENS LÄN</t>
        </is>
      </c>
      <c r="G876" t="inlineStr">
        <is>
          <t>BODEN</t>
        </is>
      </c>
      <c r="I876" t="n">
        <v>8.6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1631-2025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46263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1633-2025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46263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1632-2025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45799</v>
      </c>
      <c r="E879" s="1" t="n">
        <v>46263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1734-2025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45810</v>
      </c>
      <c r="E880" s="1" t="n">
        <v>46263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1811-2025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45818</v>
      </c>
      <c r="E881" s="1" t="n">
        <v>46263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2072-2025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45840</v>
      </c>
      <c r="E882" s="1" t="n">
        <v>46263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3580-2025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46018</v>
      </c>
      <c r="E883" s="1" t="n">
        <v>46263</v>
      </c>
      <c r="F883" t="inlineStr">
        <is>
          <t>NORRBOTTENS LÄN</t>
        </is>
      </c>
      <c r="G883" t="inlineStr">
        <is>
          <t>BODEN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1267-2026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46263</v>
      </c>
      <c r="F884" t="inlineStr">
        <is>
          <t>NORRBOTTENS LÄN</t>
        </is>
      </c>
      <c r="G884" t="inlineStr">
        <is>
          <t>BODEN</t>
        </is>
      </c>
      <c r="I884" t="n">
        <v>57.4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1261-2026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46263</v>
      </c>
      <c r="F885" t="inlineStr">
        <is>
          <t>NORRBOTTENS LÄN</t>
        </is>
      </c>
      <c r="G885" t="inlineStr">
        <is>
          <t>BODEN</t>
        </is>
      </c>
      <c r="I885" t="n">
        <v>16.9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1262-2026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46147</v>
      </c>
      <c r="E886" s="1" t="n">
        <v>46263</v>
      </c>
      <c r="F886" t="inlineStr">
        <is>
          <t>NORRBOTTENS LÄN</t>
        </is>
      </c>
      <c r="G886" t="inlineStr">
        <is>
          <t>BODEN</t>
        </is>
      </c>
      <c r="H886" t="inlineStr">
        <is>
          <t>Kommuner</t>
        </is>
      </c>
      <c r="I886" t="n">
        <v>16.2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1356-2026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46152</v>
      </c>
      <c r="E887" s="1" t="n">
        <v>46263</v>
      </c>
      <c r="F887" t="inlineStr">
        <is>
          <t>NORRBOTTENS LÄN</t>
        </is>
      </c>
      <c r="G887" t="inlineStr">
        <is>
          <t>BODEN</t>
        </is>
      </c>
      <c r="I887" t="n">
        <v>124.7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1357-2026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46152</v>
      </c>
      <c r="E888" s="1" t="n">
        <v>46263</v>
      </c>
      <c r="F888" t="inlineStr">
        <is>
          <t>NORRBOTTENS LÄN</t>
        </is>
      </c>
      <c r="G888" t="inlineStr">
        <is>
          <t>BODEN</t>
        </is>
      </c>
      <c r="I888" t="n">
        <v>38.2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>
      <c r="A889" t="inlineStr">
        <is>
          <t>S 1297-2026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46148</v>
      </c>
      <c r="E889" s="1" t="n">
        <v>46263</v>
      </c>
      <c r="F889" t="inlineStr">
        <is>
          <t>NORRBOTTENS LÄN</t>
        </is>
      </c>
      <c r="G889" t="inlineStr">
        <is>
          <t>BODEN</t>
        </is>
      </c>
      <c r="I889" t="n">
        <v>20.5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2026-08-29T01:55:02Z</dcterms:created>
  <dcterms:modified xmlns:dcterms="http://purl.org/dc/terms/" xmlns:xsi="http://www.w3.org/2001/XMLSchema-instance" xsi:type="dcterms:W3CDTF">2026-08-29T01:55:03Z</dcterms:modified>
</cp:coreProperties>
</file>