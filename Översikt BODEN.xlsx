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46225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46225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46225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46225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46225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46225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46225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46225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46225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t="n">
        <v>9</v>
      </c>
      <c r="V16" s="2" t="inlineStr">
        <is>
          <t>Garnlav
Dropptaggsvamp
Olisthaerus substriatus
Rosenticka
Talltita
Ullticka
Violmussling
Revlummer</t>
        </is>
      </c>
      <c r="W16">
        <f>HYPERLINK("https://klasma.github.io/Logging_2582/artfynd/A 3922-2025 artfynd.xlsx", "A 3922-2025")</f>
        <v/>
      </c>
      <c r="X16">
        <f>HYPERLINK("https://klasma.github.io/Logging_2582/kartor/A 3922-2025 karta.png", "A 3922-2025")</f>
        <v/>
      </c>
      <c r="Y16">
        <f>HYPERLINK("https://klasma.github.io/Logging_2582/kartor_geotiff/A 3922-2025 georefererad karta.tif", "A 3922-2025")</f>
        <v/>
      </c>
      <c r="AA16">
        <f>HYPERLINK("https://klasma.github.io/Logging_2582/klagomål/A 3922-2025 FSC-klagomål.docx", "A 3922-2025")</f>
        <v/>
      </c>
      <c r="AB16">
        <f>HYPERLINK("https://klasma.github.io/Logging_2582/klagomålsmail/A 3922-2025 FSC-klagomål mail.docx", "A 3922-2025")</f>
        <v/>
      </c>
      <c r="AC16">
        <f>HYPERLINK("https://klasma.github.io/Logging_2582/tillsyn/A 3922-2025 tillsynsbegäran.docx", "A 3922-2025")</f>
        <v/>
      </c>
      <c r="AD16">
        <f>HYPERLINK("https://klasma.github.io/Logging_2582/tillsynsmail/A 3922-2025 tillsynsbegäran mail.docx", "A 3922-2025")</f>
        <v/>
      </c>
      <c r="AE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46225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46225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46225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46225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46225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46225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46225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46225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46225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46225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46225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46225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Stare
Rosenfink
Rävticka
Sångsvan
Trana</t>
        </is>
      </c>
      <c r="W28">
        <f>HYPERLINK("https://klasma.github.io/Logging_2582/artfynd/A 59358-2022 artfynd.xlsx", "A 59358-2022")</f>
        <v/>
      </c>
      <c r="X28">
        <f>HYPERLINK("https://klasma.github.io/Logging_2582/kartor/A 59358-2022 karta.png", "A 59358-2022")</f>
        <v/>
      </c>
      <c r="Y28">
        <f>HYPERLINK("https://klasma.github.io/Logging_2582/kartor_geotiff/A 59358-2022 georefererad karta.tif", "A 59358-2022")</f>
        <v/>
      </c>
      <c r="AA28">
        <f>HYPERLINK("https://klasma.github.io/Logging_2582/klagomål/A 59358-2022 FSC-klagomål.docx", "A 59358-2022")</f>
        <v/>
      </c>
      <c r="AB28">
        <f>HYPERLINK("https://klasma.github.io/Logging_2582/klagomålsmail/A 59358-2022 FSC-klagomål mail.docx", "A 59358-2022")</f>
        <v/>
      </c>
      <c r="AC28">
        <f>HYPERLINK("https://klasma.github.io/Logging_2582/tillsyn/A 59358-2022 tillsynsbegäran.docx", "A 59358-2022")</f>
        <v/>
      </c>
      <c r="AD28">
        <f>HYPERLINK("https://klasma.github.io/Logging_2582/tillsynsmail/A 59358-2022 tillsynsbegäran mail.docx", "A 59358-2022")</f>
        <v/>
      </c>
      <c r="AE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46225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46225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t="n">
        <v>9</v>
      </c>
      <c r="V30" s="2" t="inlineStr">
        <is>
          <t>Knärot
Lunglav
Spindelblomster
Stuplav
Fläcknycklar</t>
        </is>
      </c>
      <c r="W30">
        <f>HYPERLINK("https://klasma.github.io/Logging_2582/artfynd/A 31030-2025 artfynd.xlsx", "A 31030-2025")</f>
        <v/>
      </c>
      <c r="X30">
        <f>HYPERLINK("https://klasma.github.io/Logging_2582/kartor/A 31030-2025 karta.png", "A 31030-2025")</f>
        <v/>
      </c>
      <c r="Y30">
        <f>HYPERLINK("https://klasma.github.io/Logging_2582/kartor_geotiff/A 31030-2025 georefererad karta.tif", "A 31030-2025")</f>
        <v/>
      </c>
      <c r="Z30">
        <f>HYPERLINK("https://klasma.github.io/Logging_2582/knärot/A 31030-2025 karta knärot.png", "A 31030-2025")</f>
        <v/>
      </c>
      <c r="AA30">
        <f>HYPERLINK("https://klasma.github.io/Logging_2582/klagomål/A 31030-2025 FSC-klagomål.docx", "A 31030-2025")</f>
        <v/>
      </c>
      <c r="AB30">
        <f>HYPERLINK("https://klasma.github.io/Logging_2582/klagomålsmail/A 31030-2025 FSC-klagomål mail.docx", "A 31030-2025")</f>
        <v/>
      </c>
      <c r="AC30">
        <f>HYPERLINK("https://klasma.github.io/Logging_2582/tillsyn/A 31030-2025 tillsynsbegäran.docx", "A 31030-2025")</f>
        <v/>
      </c>
      <c r="AD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46225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t="n">
        <v>4</v>
      </c>
      <c r="V31" s="2" t="inlineStr">
        <is>
          <t>Doftticka
Garnlav
Lunglav
Bårdlav
Stuplav</t>
        </is>
      </c>
      <c r="W31">
        <f>HYPERLINK("https://klasma.github.io/Logging_2582/artfynd/A 32309-2025 artfynd.xlsx", "A 32309-2025")</f>
        <v/>
      </c>
      <c r="X31">
        <f>HYPERLINK("https://klasma.github.io/Logging_2582/kartor/A 32309-2025 karta.png", "A 32309-2025")</f>
        <v/>
      </c>
      <c r="Y31">
        <f>HYPERLINK("https://klasma.github.io/Logging_2582/kartor_geotiff/A 32309-2025 georefererad karta.tif", "A 32309-2025")</f>
        <v/>
      </c>
      <c r="AA31">
        <f>HYPERLINK("https://klasma.github.io/Logging_2582/klagomål/A 32309-2025 FSC-klagomål.docx", "A 32309-2025")</f>
        <v/>
      </c>
      <c r="AB31">
        <f>HYPERLINK("https://klasma.github.io/Logging_2582/klagomålsmail/A 32309-2025 FSC-klagomål mail.docx", "A 32309-2025")</f>
        <v/>
      </c>
      <c r="AC31">
        <f>HYPERLINK("https://klasma.github.io/Logging_2582/tillsyn/A 32309-2025 tillsynsbegäran.docx", "A 32309-2025")</f>
        <v/>
      </c>
      <c r="AD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46225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32325-2024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45512</v>
      </c>
      <c r="E33" s="1" t="n">
        <v>46225</v>
      </c>
      <c r="F33" t="inlineStr">
        <is>
          <t>NORRBOTTENS LÄN</t>
        </is>
      </c>
      <c r="G33" t="inlineStr">
        <is>
          <t>BODEN</t>
        </is>
      </c>
      <c r="H33" t="inlineStr">
        <is>
          <t>Övriga Aktiebolag</t>
        </is>
      </c>
      <c r="I33" t="n">
        <v>36.5</v>
      </c>
      <c r="J33" t="n">
        <v>1</v>
      </c>
      <c r="K33" t="n">
        <v>2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7</v>
      </c>
      <c r="U33" t="n">
        <v>7</v>
      </c>
      <c r="V33" s="2" t="inlineStr">
        <is>
          <t>Garnlav
Knärot
Gammelgransskål
Luddlav
Skinnlav</t>
        </is>
      </c>
      <c r="W33">
        <f>HYPERLINK("https://klasma.github.io/Logging_2582/artfynd/A 32325-2024 artfynd.xlsx", "A 32325-2024")</f>
        <v/>
      </c>
      <c r="X33">
        <f>HYPERLINK("https://klasma.github.io/Logging_2582/kartor/A 32325-2024 karta.png", "A 32325-2024")</f>
        <v/>
      </c>
      <c r="Y33">
        <f>HYPERLINK("https://klasma.github.io/Logging_2582/kartor_geotiff/A 32325-2024 georefererad karta.tif", "A 32325-2024")</f>
        <v/>
      </c>
      <c r="Z33">
        <f>HYPERLINK("https://klasma.github.io/Logging_2582/knärot/A 32325-2024 karta knärot.png", "A 32325-2024")</f>
        <v/>
      </c>
      <c r="AA33">
        <f>HYPERLINK("https://klasma.github.io/Logging_2582/klagomål/A 32325-2024 FSC-klagomål.docx", "A 32325-2024")</f>
        <v/>
      </c>
      <c r="AB33">
        <f>HYPERLINK("https://klasma.github.io/Logging_2582/klagomålsmail/A 32325-2024 FSC-klagomål mail.docx", "A 32325-2024")</f>
        <v/>
      </c>
      <c r="AC33">
        <f>HYPERLINK("https://klasma.github.io/Logging_2582/tillsyn/A 32325-2024 tillsynsbegäran.docx", "A 32325-2024")</f>
        <v/>
      </c>
      <c r="AD33">
        <f>HYPERLINK("https://klasma.github.io/Logging_2582/tillsynsmail/A 32325-2024 tillsynsbegäran mail.docx", "A 32325-2024")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46225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46225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46225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46225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t="n">
        <v>7</v>
      </c>
      <c r="V37" s="2" t="inlineStr">
        <is>
          <t>Knärot
Norna
Lunglav
Stuplav</t>
        </is>
      </c>
      <c r="W37">
        <f>HYPERLINK("https://klasma.github.io/Logging_2582/artfynd/A 28197-2025 artfynd.xlsx", "A 28197-2025")</f>
        <v/>
      </c>
      <c r="X37">
        <f>HYPERLINK("https://klasma.github.io/Logging_2582/kartor/A 28197-2025 karta.png", "A 28197-2025")</f>
        <v/>
      </c>
      <c r="Y37">
        <f>HYPERLINK("https://klasma.github.io/Logging_2582/kartor_geotiff/A 28197-2025 georefererad karta.tif", "A 28197-2025")</f>
        <v/>
      </c>
      <c r="Z37">
        <f>HYPERLINK("https://klasma.github.io/Logging_2582/knärot/A 28197-2025 karta knärot.png", "A 28197-2025")</f>
        <v/>
      </c>
      <c r="AA37">
        <f>HYPERLINK("https://klasma.github.io/Logging_2582/klagomål/A 28197-2025 FSC-klagomål.docx", "A 28197-2025")</f>
        <v/>
      </c>
      <c r="AB37">
        <f>HYPERLINK("https://klasma.github.io/Logging_2582/klagomålsmail/A 28197-2025 FSC-klagomål mail.docx", "A 28197-2025")</f>
        <v/>
      </c>
      <c r="AC37">
        <f>HYPERLINK("https://klasma.github.io/Logging_2582/tillsyn/A 28197-2025 tillsynsbegäran.docx", "A 28197-2025")</f>
        <v/>
      </c>
      <c r="AD37">
        <f>HYPERLINK("https://klasma.github.io/Logging_2582/tillsynsmail/A 28197-2025 tillsynsbegäran mail.docx", "A 28197-2025")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46225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t="n">
        <v>0</v>
      </c>
      <c r="V38" s="2" t="inlineStr">
        <is>
          <t>Goliatmusseron
Skrovlig taggsvamp
Dvärgbägarlav
Skarp dropptaggsvamp</t>
        </is>
      </c>
      <c r="W38">
        <f>HYPERLINK("https://klasma.github.io/Logging_2582/artfynd/A 59028-2025 artfynd.xlsx", "A 59028-2025")</f>
        <v/>
      </c>
      <c r="X38">
        <f>HYPERLINK("https://klasma.github.io/Logging_2582/kartor/A 59028-2025 karta.png", "A 59028-2025")</f>
        <v/>
      </c>
      <c r="Y38">
        <f>HYPERLINK("https://klasma.github.io/Logging_2582/kartor_geotiff/A 59028-2025 georefererad karta.tif", "A 59028-2025")</f>
        <v/>
      </c>
      <c r="AA38">
        <f>HYPERLINK("https://klasma.github.io/Logging_2582/klagomål/A 59028-2025 FSC-klagomål.docx", "A 59028-2025")</f>
        <v/>
      </c>
      <c r="AB38">
        <f>HYPERLINK("https://klasma.github.io/Logging_2582/klagomålsmail/A 59028-2025 FSC-klagomål mail.docx", "A 59028-2025")</f>
        <v/>
      </c>
      <c r="AC38">
        <f>HYPERLINK("https://klasma.github.io/Logging_2582/tillsyn/A 59028-2025 tillsynsbegäran.docx", "A 59028-2025")</f>
        <v/>
      </c>
      <c r="AD38">
        <f>HYPERLINK("https://klasma.github.io/Logging_2582/tillsynsmail/A 59028-2025 tillsynsbegäran mail.docx", "A 59028-2025")</f>
        <v/>
      </c>
    </row>
    <row r="39" ht="15" customHeight="1">
      <c r="A39" t="inlineStr">
        <is>
          <t>A 57526-2025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46225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2.9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27</v>
      </c>
      <c r="U39" t="n">
        <v>0</v>
      </c>
      <c r="V39" s="2" t="inlineStr">
        <is>
          <t>Knärot
Lunglav
Ullticka
Stuplav</t>
        </is>
      </c>
      <c r="W39">
        <f>HYPERLINK("https://klasma.github.io/Logging_2582/artfynd/A 57526-2025 artfynd.xlsx", "A 57526-2025")</f>
        <v/>
      </c>
      <c r="X39">
        <f>HYPERLINK("https://klasma.github.io/Logging_2582/kartor/A 57526-2025 karta.png", "A 57526-2025")</f>
        <v/>
      </c>
      <c r="Y39">
        <f>HYPERLINK("https://klasma.github.io/Logging_2582/kartor_geotiff/A 57526-2025 georefererad karta.tif", "A 57526-2025")</f>
        <v/>
      </c>
      <c r="Z39">
        <f>HYPERLINK("https://klasma.github.io/Logging_2582/knärot/A 57526-2025 karta knärot.png", "A 57526-2025")</f>
        <v/>
      </c>
      <c r="AA39">
        <f>HYPERLINK("https://klasma.github.io/Logging_2582/klagomål/A 57526-2025 FSC-klagomål.docx", "A 57526-2025")</f>
        <v/>
      </c>
      <c r="AB39">
        <f>HYPERLINK("https://klasma.github.io/Logging_2582/klagomålsmail/A 57526-2025 FSC-klagomål mail.docx", "A 57526-2025")</f>
        <v/>
      </c>
      <c r="AC39">
        <f>HYPERLINK("https://klasma.github.io/Logging_2582/tillsyn/A 57526-2025 tillsynsbegäran.docx", "A 57526-2025")</f>
        <v/>
      </c>
      <c r="AD39">
        <f>HYPERLINK("https://klasma.github.io/Logging_2582/tillsynsmail/A 57526-2025 tillsynsbegäran mail.docx", "A 57526-2025")</f>
        <v/>
      </c>
    </row>
    <row r="40" ht="15" customHeight="1">
      <c r="A40" t="inlineStr">
        <is>
          <t>A 21475-2026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46148</v>
      </c>
      <c r="E40" s="1" t="n">
        <v>46225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27.6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Harticka
Tretåig hackspett
Smal svampklubba
Järpe</t>
        </is>
      </c>
      <c r="W40">
        <f>HYPERLINK("https://klasma.github.io/Logging_2582/artfynd/A 21475-2026 artfynd.xlsx", "A 21475-2026")</f>
        <v/>
      </c>
      <c r="X40">
        <f>HYPERLINK("https://klasma.github.io/Logging_2582/kartor/A 21475-2026 karta.png", "A 21475-2026")</f>
        <v/>
      </c>
      <c r="Y40">
        <f>HYPERLINK("https://klasma.github.io/Logging_2582/kartor_geotiff/A 21475-2026 georefererad karta.tif", "A 21475-2026")</f>
        <v/>
      </c>
      <c r="AA40">
        <f>HYPERLINK("https://klasma.github.io/Logging_2582/klagomål/A 21475-2026 FSC-klagomål.docx", "A 21475-2026")</f>
        <v/>
      </c>
      <c r="AB40">
        <f>HYPERLINK("https://klasma.github.io/Logging_2582/klagomålsmail/A 21475-2026 FSC-klagomål mail.docx", "A 21475-2026")</f>
        <v/>
      </c>
      <c r="AC40">
        <f>HYPERLINK("https://klasma.github.io/Logging_2582/tillsyn/A 21475-2026 tillsynsbegäran.docx", "A 21475-2026")</f>
        <v/>
      </c>
      <c r="AD40">
        <f>HYPERLINK("https://klasma.github.io/Logging_2582/tillsynsmail/A 21475-2026 tillsynsbegäran mail.docx", "A 21475-2026")</f>
        <v/>
      </c>
      <c r="AE40">
        <f>HYPERLINK("https://klasma.github.io/Logging_2582/fåglar/A 21475-2026 prioriterade fågelarter.docx", "A 21475-2026")</f>
        <v/>
      </c>
    </row>
    <row r="41" ht="15" customHeight="1">
      <c r="A41" t="inlineStr">
        <is>
          <t>A 28358-2026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46196</v>
      </c>
      <c r="E41" s="1" t="n">
        <v>46225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7.3</v>
      </c>
      <c r="J41" t="n">
        <v>3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6</v>
      </c>
      <c r="U41" t="n">
        <v>0</v>
      </c>
      <c r="V41" s="2" t="inlineStr">
        <is>
          <t>Doftticka
Knärot
Lunglav
Spindelblomster</t>
        </is>
      </c>
      <c r="W41">
        <f>HYPERLINK("https://klasma.github.io/Logging_2582/artfynd/A 28358-2026 artfynd.xlsx", "A 28358-2026")</f>
        <v/>
      </c>
      <c r="X41">
        <f>HYPERLINK("https://klasma.github.io/Logging_2582/kartor/A 28358-2026 karta.png", "A 28358-2026")</f>
        <v/>
      </c>
      <c r="Y41">
        <f>HYPERLINK("https://klasma.github.io/Logging_2582/kartor_geotiff/A 28358-2026 georefererad karta.tif", "A 28358-2026")</f>
        <v/>
      </c>
      <c r="Z41">
        <f>HYPERLINK("https://klasma.github.io/Logging_2582/knärot/A 28358-2026 karta knärot.png", "A 28358-2026")</f>
        <v/>
      </c>
      <c r="AA41">
        <f>HYPERLINK("https://klasma.github.io/Logging_2582/klagomål/A 28358-2026 FSC-klagomål.docx", "A 28358-2026")</f>
        <v/>
      </c>
      <c r="AB41">
        <f>HYPERLINK("https://klasma.github.io/Logging_2582/klagomålsmail/A 28358-2026 FSC-klagomål mail.docx", "A 28358-2026")</f>
        <v/>
      </c>
      <c r="AC41">
        <f>HYPERLINK("https://klasma.github.io/Logging_2582/tillsyn/A 28358-2026 tillsynsbegäran.docx", "A 28358-2026")</f>
        <v/>
      </c>
      <c r="AD41">
        <f>HYPERLINK("https://klasma.github.io/Logging_2582/tillsynsmail/A 28358-2026 tillsynsbegäran mail.docx", "A 28358-2026")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46225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46225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46225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29150-2023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45105</v>
      </c>
      <c r="E46" s="1" t="n">
        <v>46225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Urskogsänger
Björkplattnos
Månlåsbräken</t>
        </is>
      </c>
      <c r="W46">
        <f>HYPERLINK("https://klasma.github.io/Logging_2582/artfynd/A 29150-2023 artfynd.xlsx", "A 29150-2023")</f>
        <v/>
      </c>
      <c r="X46">
        <f>HYPERLINK("https://klasma.github.io/Logging_2582/kartor/A 29150-2023 karta.png", "A 29150-2023")</f>
        <v/>
      </c>
      <c r="Y46">
        <f>HYPERLINK("https://klasma.github.io/Logging_2582/kartor_geotiff/A 29150-2023 georefererad karta.tif", "A 29150-2023")</f>
        <v/>
      </c>
      <c r="AA46">
        <f>HYPERLINK("https://klasma.github.io/Logging_2582/klagomål/A 29150-2023 FSC-klagomål.docx", "A 29150-2023")</f>
        <v/>
      </c>
      <c r="AB46">
        <f>HYPERLINK("https://klasma.github.io/Logging_2582/klagomålsmail/A 29150-2023 FSC-klagomål mail.docx", "A 29150-2023")</f>
        <v/>
      </c>
      <c r="AC46">
        <f>HYPERLINK("https://klasma.github.io/Logging_2582/tillsyn/A 29150-2023 tillsynsbegäran.docx", "A 29150-2023")</f>
        <v/>
      </c>
      <c r="AD46">
        <f>HYPERLINK("https://klasma.github.io/Logging_2582/tillsynsmail/A 29150-2023 tillsynsbegäran mail.docx", "A 29150-2023")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6118-2025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46225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3.7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14</v>
      </c>
      <c r="U48" t="n">
        <v>14</v>
      </c>
      <c r="V48" s="2" t="inlineStr">
        <is>
          <t>Garnlav
Tretåig hackspett
Spillkråka</t>
        </is>
      </c>
      <c r="W48">
        <f>HYPERLINK("https://klasma.github.io/Logging_2582/artfynd/A 6118-2025 artfynd.xlsx", "A 6118-2025")</f>
        <v/>
      </c>
      <c r="X48">
        <f>HYPERLINK("https://klasma.github.io/Logging_2582/kartor/A 6118-2025 karta.png", "A 6118-2025")</f>
        <v/>
      </c>
      <c r="Y48">
        <f>HYPERLINK("https://klasma.github.io/Logging_2582/kartor_geotiff/A 6118-2025 georefererad karta.tif", "A 6118-2025")</f>
        <v/>
      </c>
      <c r="AA48">
        <f>HYPERLINK("https://klasma.github.io/Logging_2582/klagomål/A 6118-2025 FSC-klagomål.docx", "A 6118-2025")</f>
        <v/>
      </c>
      <c r="AB48">
        <f>HYPERLINK("https://klasma.github.io/Logging_2582/klagomålsmail/A 6118-2025 FSC-klagomål mail.docx", "A 6118-2025")</f>
        <v/>
      </c>
      <c r="AC48">
        <f>HYPERLINK("https://klasma.github.io/Logging_2582/tillsyn/A 6118-2025 tillsynsbegäran.docx", "A 6118-2025")</f>
        <v/>
      </c>
      <c r="AD48">
        <f>HYPERLINK("https://klasma.github.io/Logging_2582/tillsynsmail/A 6118-2025 tillsynsbegäran mail.docx", "A 6118-2025")</f>
        <v/>
      </c>
      <c r="AE48">
        <f>HYPERLINK("https://klasma.github.io/Logging_2582/fåglar/A 6118-2025 prioriterade fågelarter.docx", "A 6118-2025")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46225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10087-2026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46073</v>
      </c>
      <c r="E50" s="1" t="n">
        <v>46225</v>
      </c>
      <c r="F50" t="inlineStr">
        <is>
          <t>NORRBOTTENS LÄN</t>
        </is>
      </c>
      <c r="G50" t="inlineStr">
        <is>
          <t>BODEN</t>
        </is>
      </c>
      <c r="I50" t="n">
        <v>5.9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Korthornad vedstekel
Skogsödla
Vanlig padda</t>
        </is>
      </c>
      <c r="W50">
        <f>HYPERLINK("https://klasma.github.io/Logging_2582/artfynd/A 10087-2026 artfynd.xlsx", "A 10087-2026")</f>
        <v/>
      </c>
      <c r="X50">
        <f>HYPERLINK("https://klasma.github.io/Logging_2582/kartor/A 10087-2026 karta.png", "A 10087-2026")</f>
        <v/>
      </c>
      <c r="Y50">
        <f>HYPERLINK("https://klasma.github.io/Logging_2582/kartor_geotiff/A 10087-2026 georefererad karta.tif", "A 10087-2026")</f>
        <v/>
      </c>
      <c r="AA50">
        <f>HYPERLINK("https://klasma.github.io/Logging_2582/klagomål/A 10087-2026 FSC-klagomål.docx", "A 10087-2026")</f>
        <v/>
      </c>
      <c r="AB50">
        <f>HYPERLINK("https://klasma.github.io/Logging_2582/klagomålsmail/A 10087-2026 FSC-klagomål mail.docx", "A 10087-2026")</f>
        <v/>
      </c>
      <c r="AC50">
        <f>HYPERLINK("https://klasma.github.io/Logging_2582/tillsyn/A 10087-2026 tillsynsbegäran.docx", "A 10087-2026")</f>
        <v/>
      </c>
      <c r="AD50">
        <f>HYPERLINK("https://klasma.github.io/Logging_2582/tillsynsmail/A 10087-2026 tillsynsbegäran mail.docx", "A 10087-2026")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46225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46225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46225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26728-2026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46225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14.4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Lunglav
Plattlummer
Fläcknycklar</t>
        </is>
      </c>
      <c r="W54">
        <f>HYPERLINK("https://klasma.github.io/Logging_2582/artfynd/A 26728-2026 artfynd.xlsx", "A 26728-2026")</f>
        <v/>
      </c>
      <c r="X54">
        <f>HYPERLINK("https://klasma.github.io/Logging_2582/kartor/A 26728-2026 karta.png", "A 26728-2026")</f>
        <v/>
      </c>
      <c r="Y54">
        <f>HYPERLINK("https://klasma.github.io/Logging_2582/kartor_geotiff/A 26728-2026 georefererad karta.tif", "A 26728-2026")</f>
        <v/>
      </c>
      <c r="AA54">
        <f>HYPERLINK("https://klasma.github.io/Logging_2582/klagomål/A 26728-2026 FSC-klagomål.docx", "A 26728-2026")</f>
        <v/>
      </c>
      <c r="AB54">
        <f>HYPERLINK("https://klasma.github.io/Logging_2582/klagomålsmail/A 26728-2026 FSC-klagomål mail.docx", "A 26728-2026")</f>
        <v/>
      </c>
      <c r="AC54">
        <f>HYPERLINK("https://klasma.github.io/Logging_2582/tillsyn/A 26728-2026 tillsynsbegäran.docx", "A 26728-2026")</f>
        <v/>
      </c>
      <c r="AD54">
        <f>HYPERLINK("https://klasma.github.io/Logging_2582/tillsynsmail/A 26728-2026 tillsynsbegäran mail.docx", "A 26728-2026")</f>
        <v/>
      </c>
    </row>
    <row r="55" ht="15" customHeight="1">
      <c r="A55" t="inlineStr">
        <is>
          <t>A 29868-2026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46225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5.3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6</v>
      </c>
      <c r="U55" t="n">
        <v>2</v>
      </c>
      <c r="V55" s="2" t="inlineStr">
        <is>
          <t>Garnlav
Lunglav
Spindelblomster</t>
        </is>
      </c>
      <c r="W55">
        <f>HYPERLINK("https://klasma.github.io/Logging_2582/artfynd/A 29868-2026 artfynd.xlsx", "A 29868-2026")</f>
        <v/>
      </c>
      <c r="X55">
        <f>HYPERLINK("https://klasma.github.io/Logging_2582/kartor/A 29868-2026 karta.png", "A 29868-2026")</f>
        <v/>
      </c>
      <c r="Y55">
        <f>HYPERLINK("https://klasma.github.io/Logging_2582/kartor_geotiff/A 29868-2026 georefererad karta.tif", "A 29868-2026")</f>
        <v/>
      </c>
      <c r="AA55">
        <f>HYPERLINK("https://klasma.github.io/Logging_2582/klagomål/A 29868-2026 FSC-klagomål.docx", "A 29868-2026")</f>
        <v/>
      </c>
      <c r="AB55">
        <f>HYPERLINK("https://klasma.github.io/Logging_2582/klagomålsmail/A 29868-2026 FSC-klagomål mail.docx", "A 29868-2026")</f>
        <v/>
      </c>
      <c r="AC55">
        <f>HYPERLINK("https://klasma.github.io/Logging_2582/tillsyn/A 29868-2026 tillsynsbegäran.docx", "A 29868-2026")</f>
        <v/>
      </c>
      <c r="AD55">
        <f>HYPERLINK("https://klasma.github.io/Logging_2582/tillsynsmail/A 29868-2026 tillsynsbegäran mail.docx", "A 29868-2026")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46225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31230-2026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46217</v>
      </c>
      <c r="E57" s="1" t="n">
        <v>46225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Fläcknycklar
Fläcknycklar × sumpnycklar</t>
        </is>
      </c>
      <c r="W57">
        <f>HYPERLINK("https://klasma.github.io/Logging_2582/artfynd/A 31230-2026 artfynd.xlsx", "A 31230-2026")</f>
        <v/>
      </c>
      <c r="X57">
        <f>HYPERLINK("https://klasma.github.io/Logging_2582/kartor/A 31230-2026 karta.png", "A 31230-2026")</f>
        <v/>
      </c>
      <c r="Y57">
        <f>HYPERLINK("https://klasma.github.io/Logging_2582/kartor_geotiff/A 31230-2026 georefererad karta.tif", "A 31230-2026")</f>
        <v/>
      </c>
      <c r="AA57">
        <f>HYPERLINK("https://klasma.github.io/Logging_2582/klagomål/A 31230-2026 FSC-klagomål.docx", "A 31230-2026")</f>
        <v/>
      </c>
      <c r="AB57">
        <f>HYPERLINK("https://klasma.github.io/Logging_2582/klagomålsmail/A 31230-2026 FSC-klagomål mail.docx", "A 31230-2026")</f>
        <v/>
      </c>
      <c r="AC57">
        <f>HYPERLINK("https://klasma.github.io/Logging_2582/tillsyn/A 31230-2026 tillsynsbegäran.docx", "A 31230-2026")</f>
        <v/>
      </c>
      <c r="AD57">
        <f>HYPERLINK("https://klasma.github.io/Logging_2582/tillsynsmail/A 31230-2026 tillsynsbegäran mail.docx", "A 31230-2026")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46225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46225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46225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46225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46225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46225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46225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8754-2026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46066</v>
      </c>
      <c r="E66" s="1" t="n">
        <v>46225</v>
      </c>
      <c r="F66" t="inlineStr">
        <is>
          <t>NORRBOTTENS LÄN</t>
        </is>
      </c>
      <c r="G66" t="inlineStr">
        <is>
          <t>BODEN</t>
        </is>
      </c>
      <c r="I66" t="n">
        <v>2.1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Ullticka</t>
        </is>
      </c>
      <c r="W66">
        <f>HYPERLINK("https://klasma.github.io/Logging_2582/artfynd/A 8754-2026 artfynd.xlsx", "A 8754-2026")</f>
        <v/>
      </c>
      <c r="X66">
        <f>HYPERLINK("https://klasma.github.io/Logging_2582/kartor/A 8754-2026 karta.png", "A 8754-2026")</f>
        <v/>
      </c>
      <c r="Y66">
        <f>HYPERLINK("https://klasma.github.io/Logging_2582/kartor_geotiff/A 8754-2026 georefererad karta.tif", "A 8754-2026")</f>
        <v/>
      </c>
      <c r="AA66">
        <f>HYPERLINK("https://klasma.github.io/Logging_2582/klagomål/A 8754-2026 FSC-klagomål.docx", "A 8754-2026")</f>
        <v/>
      </c>
      <c r="AB66">
        <f>HYPERLINK("https://klasma.github.io/Logging_2582/klagomålsmail/A 8754-2026 FSC-klagomål mail.docx", "A 8754-2026")</f>
        <v/>
      </c>
      <c r="AC66">
        <f>HYPERLINK("https://klasma.github.io/Logging_2582/tillsyn/A 8754-2026 tillsynsbegäran.docx", "A 8754-2026")</f>
        <v/>
      </c>
      <c r="AD66">
        <f>HYPERLINK("https://klasma.github.io/Logging_2582/tillsynsmail/A 8754-2026 tillsynsbegäran mail.docx", "A 8754-2026")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46225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28867-2025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46225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8.199999999999999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12</v>
      </c>
      <c r="U68" t="n">
        <v>12</v>
      </c>
      <c r="V68" s="2" t="inlineStr">
        <is>
          <t>Knärot
Fläcknycklar</t>
        </is>
      </c>
      <c r="W68">
        <f>HYPERLINK("https://klasma.github.io/Logging_2582/artfynd/A 28867-2025 artfynd.xlsx", "A 28867-2025")</f>
        <v/>
      </c>
      <c r="X68">
        <f>HYPERLINK("https://klasma.github.io/Logging_2582/kartor/A 28867-2025 karta.png", "A 28867-2025")</f>
        <v/>
      </c>
      <c r="Y68">
        <f>HYPERLINK("https://klasma.github.io/Logging_2582/kartor_geotiff/A 28867-2025 georefererad karta.tif", "A 28867-2025")</f>
        <v/>
      </c>
      <c r="Z68">
        <f>HYPERLINK("https://klasma.github.io/Logging_2582/knärot/A 28867-2025 karta knärot.png", "A 28867-2025")</f>
        <v/>
      </c>
      <c r="AA68">
        <f>HYPERLINK("https://klasma.github.io/Logging_2582/klagomål/A 28867-2025 FSC-klagomål.docx", "A 28867-2025")</f>
        <v/>
      </c>
      <c r="AB68">
        <f>HYPERLINK("https://klasma.github.io/Logging_2582/klagomålsmail/A 28867-2025 FSC-klagomål mail.docx", "A 28867-2025")</f>
        <v/>
      </c>
      <c r="AC68">
        <f>HYPERLINK("https://klasma.github.io/Logging_2582/tillsyn/A 28867-2025 tillsynsbegäran.docx", "A 28867-2025")</f>
        <v/>
      </c>
      <c r="AD68">
        <f>HYPERLINK("https://klasma.github.io/Logging_2582/tillsynsmail/A 28867-2025 tillsynsbegäran mail.docx", "A 28867-2025")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46225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Öring</t>
        </is>
      </c>
      <c r="W69">
        <f>HYPERLINK("https://klasma.github.io/Logging_2582/artfynd/A 25701-2025 artfynd.xlsx", "A 25701-2025")</f>
        <v/>
      </c>
      <c r="X69">
        <f>HYPERLINK("https://klasma.github.io/Logging_2582/kartor/A 25701-2025 karta.png", "A 25701-2025")</f>
        <v/>
      </c>
      <c r="Y69">
        <f>HYPERLINK("https://klasma.github.io/Logging_2582/kartor_geotiff/A 25701-2025 georefererad karta.tif", "A 25701-2025")</f>
        <v/>
      </c>
      <c r="AA69">
        <f>HYPERLINK("https://klasma.github.io/Logging_2582/klagomål/A 25701-2025 FSC-klagomål.docx", "A 25701-2025")</f>
        <v/>
      </c>
      <c r="AB69">
        <f>HYPERLINK("https://klasma.github.io/Logging_2582/klagomålsmail/A 25701-2025 FSC-klagomål mail.docx", "A 25701-2025")</f>
        <v/>
      </c>
      <c r="AC69">
        <f>HYPERLINK("https://klasma.github.io/Logging_2582/tillsyn/A 25701-2025 tillsynsbegäran.docx", "A 25701-2025")</f>
        <v/>
      </c>
      <c r="AD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46225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46225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45477-2025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46225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9.1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Doftticka
Lunglav</t>
        </is>
      </c>
      <c r="W72">
        <f>HYPERLINK("https://klasma.github.io/Logging_2582/artfynd/A 45477-2025 artfynd.xlsx", "A 45477-2025")</f>
        <v/>
      </c>
      <c r="X72">
        <f>HYPERLINK("https://klasma.github.io/Logging_2582/kartor/A 45477-2025 karta.png", "A 45477-2025")</f>
        <v/>
      </c>
      <c r="Y72">
        <f>HYPERLINK("https://klasma.github.io/Logging_2582/kartor_geotiff/A 45477-2025 georefererad karta.tif", "A 45477-2025")</f>
        <v/>
      </c>
      <c r="AA72">
        <f>HYPERLINK("https://klasma.github.io/Logging_2582/klagomål/A 45477-2025 FSC-klagomål.docx", "A 45477-2025")</f>
        <v/>
      </c>
      <c r="AB72">
        <f>HYPERLINK("https://klasma.github.io/Logging_2582/klagomålsmail/A 45477-2025 FSC-klagomål mail.docx", "A 45477-2025")</f>
        <v/>
      </c>
      <c r="AC72">
        <f>HYPERLINK("https://klasma.github.io/Logging_2582/tillsyn/A 45477-2025 tillsynsbegäran.docx", "A 45477-2025")</f>
        <v/>
      </c>
      <c r="AD72">
        <f>HYPERLINK("https://klasma.github.io/Logging_2582/tillsynsmail/A 45477-2025 tillsynsbegäran mail.docx", "A 45477-2025")</f>
        <v/>
      </c>
    </row>
    <row r="73" ht="15" customHeight="1">
      <c r="A73" t="inlineStr">
        <is>
          <t>A 37086-2025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46225</v>
      </c>
      <c r="F73" t="inlineStr">
        <is>
          <t>NORRBOTTENS LÄN</t>
        </is>
      </c>
      <c r="G73" t="inlineStr">
        <is>
          <t>BODEN</t>
        </is>
      </c>
      <c r="H73" t="inlineStr">
        <is>
          <t>Övriga Aktiebolag</t>
        </is>
      </c>
      <c r="I73" t="n">
        <v>22.8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37086-2025 artfynd.xlsx", "A 37086-2025")</f>
        <v/>
      </c>
      <c r="X73">
        <f>HYPERLINK("https://klasma.github.io/Logging_2582/kartor/A 37086-2025 karta.png", "A 37086-2025")</f>
        <v/>
      </c>
      <c r="Y73">
        <f>HYPERLINK("https://klasma.github.io/Logging_2582/kartor_geotiff/A 37086-2025 georefererad karta.tif", "A 37086-2025")</f>
        <v/>
      </c>
      <c r="AA73">
        <f>HYPERLINK("https://klasma.github.io/Logging_2582/klagomål/A 37086-2025 FSC-klagomål.docx", "A 37086-2025")</f>
        <v/>
      </c>
      <c r="AB73">
        <f>HYPERLINK("https://klasma.github.io/Logging_2582/klagomålsmail/A 37086-2025 FSC-klagomål mail.docx", "A 37086-2025")</f>
        <v/>
      </c>
      <c r="AC73">
        <f>HYPERLINK("https://klasma.github.io/Logging_2582/tillsyn/A 37086-2025 tillsynsbegäran.docx", "A 37086-2025")</f>
        <v/>
      </c>
      <c r="AD73">
        <f>HYPERLINK("https://klasma.github.io/Logging_2582/tillsynsmail/A 37086-2025 tillsynsbegäran mail.docx", "A 37086-2025")</f>
        <v/>
      </c>
    </row>
    <row r="74" ht="15" customHeight="1">
      <c r="A74" t="inlineStr">
        <is>
          <t>A 50100-2025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46225</v>
      </c>
      <c r="F74" t="inlineStr">
        <is>
          <t>NORRBOTTENS LÄN</t>
        </is>
      </c>
      <c r="G74" t="inlineStr">
        <is>
          <t>BODEN</t>
        </is>
      </c>
      <c r="I74" t="n">
        <v>6.5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Mörk kolflarnlav
Fläcknycklar</t>
        </is>
      </c>
      <c r="W74">
        <f>HYPERLINK("https://klasma.github.io/Logging_2582/artfynd/A 50100-2025 artfynd.xlsx", "A 50100-2025")</f>
        <v/>
      </c>
      <c r="X74">
        <f>HYPERLINK("https://klasma.github.io/Logging_2582/kartor/A 50100-2025 karta.png", "A 50100-2025")</f>
        <v/>
      </c>
      <c r="Y74">
        <f>HYPERLINK("https://klasma.github.io/Logging_2582/kartor_geotiff/A 50100-2025 georefererad karta.tif", "A 50100-2025")</f>
        <v/>
      </c>
      <c r="AA74">
        <f>HYPERLINK("https://klasma.github.io/Logging_2582/klagomål/A 50100-2025 FSC-klagomål.docx", "A 50100-2025")</f>
        <v/>
      </c>
      <c r="AB74">
        <f>HYPERLINK("https://klasma.github.io/Logging_2582/klagomålsmail/A 50100-2025 FSC-klagomål mail.docx", "A 50100-2025")</f>
        <v/>
      </c>
      <c r="AC74">
        <f>HYPERLINK("https://klasma.github.io/Logging_2582/tillsyn/A 50100-2025 tillsynsbegäran.docx", "A 50100-2025")</f>
        <v/>
      </c>
      <c r="AD74">
        <f>HYPERLINK("https://klasma.github.io/Logging_2582/tillsynsmail/A 50100-2025 tillsynsbegäran mail.docx", "A 50100-2025")</f>
        <v/>
      </c>
    </row>
    <row r="75" ht="15" customHeight="1">
      <c r="A75" t="inlineStr">
        <is>
          <t>A 51957-2025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45952</v>
      </c>
      <c r="E75" s="1" t="n">
        <v>46225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6</v>
      </c>
      <c r="U75" t="n">
        <v>0</v>
      </c>
      <c r="V75" s="2" t="inlineStr">
        <is>
          <t>Garnlav
Harticka</t>
        </is>
      </c>
      <c r="W75">
        <f>HYPERLINK("https://klasma.github.io/Logging_2582/artfynd/A 51957-2025 artfynd.xlsx", "A 51957-2025")</f>
        <v/>
      </c>
      <c r="X75">
        <f>HYPERLINK("https://klasma.github.io/Logging_2582/kartor/A 51957-2025 karta.png", "A 51957-2025")</f>
        <v/>
      </c>
      <c r="Y75">
        <f>HYPERLINK("https://klasma.github.io/Logging_2582/kartor_geotiff/A 51957-2025 georefererad karta.tif", "A 51957-2025")</f>
        <v/>
      </c>
      <c r="AA75">
        <f>HYPERLINK("https://klasma.github.io/Logging_2582/klagomål/A 51957-2025 FSC-klagomål.docx", "A 51957-2025")</f>
        <v/>
      </c>
      <c r="AB75">
        <f>HYPERLINK("https://klasma.github.io/Logging_2582/klagomålsmail/A 51957-2025 FSC-klagomål mail.docx", "A 51957-2025")</f>
        <v/>
      </c>
      <c r="AC75">
        <f>HYPERLINK("https://klasma.github.io/Logging_2582/tillsyn/A 51957-2025 tillsynsbegäran.docx", "A 51957-2025")</f>
        <v/>
      </c>
      <c r="AD75">
        <f>HYPERLINK("https://klasma.github.io/Logging_2582/tillsynsmail/A 51957-2025 tillsynsbegäran mail.docx", "A 51957-2025")</f>
        <v/>
      </c>
    </row>
    <row r="76" ht="15" customHeight="1">
      <c r="A76" t="inlineStr">
        <is>
          <t>A 9306-2025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46225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11.7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Rynkskinn</t>
        </is>
      </c>
      <c r="W76">
        <f>HYPERLINK("https://klasma.github.io/Logging_2582/artfynd/A 9306-2025 artfynd.xlsx", "A 9306-2025")</f>
        <v/>
      </c>
      <c r="X76">
        <f>HYPERLINK("https://klasma.github.io/Logging_2582/kartor/A 9306-2025 karta.png", "A 9306-2025")</f>
        <v/>
      </c>
      <c r="Y76">
        <f>HYPERLINK("https://klasma.github.io/Logging_2582/kartor_geotiff/A 9306-2025 georefererad karta.tif", "A 9306-2025")</f>
        <v/>
      </c>
      <c r="AA76">
        <f>HYPERLINK("https://klasma.github.io/Logging_2582/klagomål/A 9306-2025 FSC-klagomål.docx", "A 9306-2025")</f>
        <v/>
      </c>
      <c r="AB76">
        <f>HYPERLINK("https://klasma.github.io/Logging_2582/klagomålsmail/A 9306-2025 FSC-klagomål mail.docx", "A 9306-2025")</f>
        <v/>
      </c>
      <c r="AC76">
        <f>HYPERLINK("https://klasma.github.io/Logging_2582/tillsyn/A 9306-2025 tillsynsbegäran.docx", "A 9306-2025")</f>
        <v/>
      </c>
      <c r="AD76">
        <f>HYPERLINK("https://klasma.github.io/Logging_2582/tillsynsmail/A 9306-2025 tillsynsbegäran mail.docx", "A 9306-2025")</f>
        <v/>
      </c>
    </row>
    <row r="77" ht="15" customHeight="1">
      <c r="A77" t="inlineStr">
        <is>
          <t>A 54167-2025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46225</v>
      </c>
      <c r="F77" t="inlineStr">
        <is>
          <t>NORRBOTTENS LÄN</t>
        </is>
      </c>
      <c r="G77" t="inlineStr">
        <is>
          <t>BODEN</t>
        </is>
      </c>
      <c r="I77" t="n">
        <v>1.1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Stiftgelélav</t>
        </is>
      </c>
      <c r="W77">
        <f>HYPERLINK("https://klasma.github.io/Logging_2582/artfynd/A 54167-2025 artfynd.xlsx", "A 54167-2025")</f>
        <v/>
      </c>
      <c r="X77">
        <f>HYPERLINK("https://klasma.github.io/Logging_2582/kartor/A 54167-2025 karta.png", "A 54167-2025")</f>
        <v/>
      </c>
      <c r="Y77">
        <f>HYPERLINK("https://klasma.github.io/Logging_2582/kartor_geotiff/A 54167-2025 georefererad karta.tif", "A 54167-2025")</f>
        <v/>
      </c>
      <c r="AA77">
        <f>HYPERLINK("https://klasma.github.io/Logging_2582/klagomål/A 54167-2025 FSC-klagomål.docx", "A 54167-2025")</f>
        <v/>
      </c>
      <c r="AB77">
        <f>HYPERLINK("https://klasma.github.io/Logging_2582/klagomålsmail/A 54167-2025 FSC-klagomål mail.docx", "A 54167-2025")</f>
        <v/>
      </c>
      <c r="AC77">
        <f>HYPERLINK("https://klasma.github.io/Logging_2582/tillsyn/A 54167-2025 tillsynsbegäran.docx", "A 54167-2025")</f>
        <v/>
      </c>
      <c r="AD77">
        <f>HYPERLINK("https://klasma.github.io/Logging_2582/tillsynsmail/A 54167-2025 tillsynsbegäran mail.docx", "A 54167-2025")</f>
        <v/>
      </c>
    </row>
    <row r="78" ht="15" customHeight="1">
      <c r="A78" t="inlineStr">
        <is>
          <t>A 60774-2025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45999</v>
      </c>
      <c r="E78" s="1" t="n">
        <v>46225</v>
      </c>
      <c r="F78" t="inlineStr">
        <is>
          <t>NORRBOTTENS LÄN</t>
        </is>
      </c>
      <c r="G78" t="inlineStr">
        <is>
          <t>BODEN</t>
        </is>
      </c>
      <c r="I78" t="n">
        <v>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Ullticka
Skinnlav</t>
        </is>
      </c>
      <c r="W78">
        <f>HYPERLINK("https://klasma.github.io/Logging_2582/artfynd/A 60774-2025 artfynd.xlsx", "A 60774-2025")</f>
        <v/>
      </c>
      <c r="X78">
        <f>HYPERLINK("https://klasma.github.io/Logging_2582/kartor/A 60774-2025 karta.png", "A 60774-2025")</f>
        <v/>
      </c>
      <c r="Y78">
        <f>HYPERLINK("https://klasma.github.io/Logging_2582/kartor_geotiff/A 60774-2025 georefererad karta.tif", "A 60774-2025")</f>
        <v/>
      </c>
      <c r="AA78">
        <f>HYPERLINK("https://klasma.github.io/Logging_2582/klagomål/A 60774-2025 FSC-klagomål.docx", "A 60774-2025")</f>
        <v/>
      </c>
      <c r="AB78">
        <f>HYPERLINK("https://klasma.github.io/Logging_2582/klagomålsmail/A 60774-2025 FSC-klagomål mail.docx", "A 60774-2025")</f>
        <v/>
      </c>
      <c r="AC78">
        <f>HYPERLINK("https://klasma.github.io/Logging_2582/tillsyn/A 60774-2025 tillsynsbegäran.docx", "A 60774-2025")</f>
        <v/>
      </c>
      <c r="AD78">
        <f>HYPERLINK("https://klasma.github.io/Logging_2582/tillsynsmail/A 60774-2025 tillsynsbegäran mail.docx", "A 60774-2025")</f>
        <v/>
      </c>
    </row>
    <row r="79" ht="15" customHeight="1">
      <c r="A79" t="inlineStr">
        <is>
          <t>A 31758-2025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46225</v>
      </c>
      <c r="F79" t="inlineStr">
        <is>
          <t>NORRBOTTENS LÄN</t>
        </is>
      </c>
      <c r="G79" t="inlineStr">
        <is>
          <t>BODEN</t>
        </is>
      </c>
      <c r="I79" t="n">
        <v>19.9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Garnlav
Tretåig hackspett</t>
        </is>
      </c>
      <c r="W79">
        <f>HYPERLINK("https://klasma.github.io/Logging_2582/artfynd/A 31758-2025 artfynd.xlsx", "A 31758-2025")</f>
        <v/>
      </c>
      <c r="X79">
        <f>HYPERLINK("https://klasma.github.io/Logging_2582/kartor/A 31758-2025 karta.png", "A 31758-2025")</f>
        <v/>
      </c>
      <c r="Y79">
        <f>HYPERLINK("https://klasma.github.io/Logging_2582/kartor_geotiff/A 31758-2025 georefererad karta.tif", "A 31758-2025")</f>
        <v/>
      </c>
      <c r="AA79">
        <f>HYPERLINK("https://klasma.github.io/Logging_2582/klagomål/A 31758-2025 FSC-klagomål.docx", "A 31758-2025")</f>
        <v/>
      </c>
      <c r="AB79">
        <f>HYPERLINK("https://klasma.github.io/Logging_2582/klagomålsmail/A 31758-2025 FSC-klagomål mail.docx", "A 31758-2025")</f>
        <v/>
      </c>
      <c r="AC79">
        <f>HYPERLINK("https://klasma.github.io/Logging_2582/tillsyn/A 31758-2025 tillsynsbegäran.docx", "A 31758-2025")</f>
        <v/>
      </c>
      <c r="AD79">
        <f>HYPERLINK("https://klasma.github.io/Logging_2582/tillsynsmail/A 31758-2025 tillsynsbegäran mail.docx", "A 31758-2025")</f>
        <v/>
      </c>
      <c r="AE79">
        <f>HYPERLINK("https://klasma.github.io/Logging_2582/fåglar/A 31758-2025 prioriterade fågelarter.docx", "A 31758-2025")</f>
        <v/>
      </c>
    </row>
    <row r="80" ht="15" customHeight="1">
      <c r="A80" t="inlineStr">
        <is>
          <t>A 6895-2025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45701</v>
      </c>
      <c r="E80" s="1" t="n">
        <v>46225</v>
      </c>
      <c r="F80" t="inlineStr">
        <is>
          <t>NORRBOTTENS LÄN</t>
        </is>
      </c>
      <c r="G80" t="inlineStr">
        <is>
          <t>BODEN</t>
        </is>
      </c>
      <c r="I80" t="n">
        <v>1.5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Plattlummer</t>
        </is>
      </c>
      <c r="W80">
        <f>HYPERLINK("https://klasma.github.io/Logging_2582/artfynd/A 6895-2025 artfynd.xlsx", "A 6895-2025")</f>
        <v/>
      </c>
      <c r="X80">
        <f>HYPERLINK("https://klasma.github.io/Logging_2582/kartor/A 6895-2025 karta.png", "A 6895-2025")</f>
        <v/>
      </c>
      <c r="Y80">
        <f>HYPERLINK("https://klasma.github.io/Logging_2582/kartor_geotiff/A 6895-2025 georefererad karta.tif", "A 6895-2025")</f>
        <v/>
      </c>
      <c r="AA80">
        <f>HYPERLINK("https://klasma.github.io/Logging_2582/klagomål/A 6895-2025 FSC-klagomål.docx", "A 6895-2025")</f>
        <v/>
      </c>
      <c r="AB80">
        <f>HYPERLINK("https://klasma.github.io/Logging_2582/klagomålsmail/A 6895-2025 FSC-klagomål mail.docx", "A 6895-2025")</f>
        <v/>
      </c>
      <c r="AC80">
        <f>HYPERLINK("https://klasma.github.io/Logging_2582/tillsyn/A 6895-2025 tillsynsbegäran.docx", "A 6895-2025")</f>
        <v/>
      </c>
      <c r="AD80">
        <f>HYPERLINK("https://klasma.github.io/Logging_2582/tillsynsmail/A 6895-2025 tillsynsbegäran mail.docx", "A 6895-2025")</f>
        <v/>
      </c>
    </row>
    <row r="81" ht="15" customHeight="1">
      <c r="A81" t="inlineStr">
        <is>
          <t>A 26721-2026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46225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7.8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Tibast</t>
        </is>
      </c>
      <c r="W81">
        <f>HYPERLINK("https://klasma.github.io/Logging_2582/artfynd/A 26721-2026 artfynd.xlsx", "A 26721-2026")</f>
        <v/>
      </c>
      <c r="X81">
        <f>HYPERLINK("https://klasma.github.io/Logging_2582/kartor/A 26721-2026 karta.png", "A 26721-2026")</f>
        <v/>
      </c>
      <c r="Y81">
        <f>HYPERLINK("https://klasma.github.io/Logging_2582/kartor_geotiff/A 26721-2026 georefererad karta.tif", "A 26721-2026")</f>
        <v/>
      </c>
      <c r="AA81">
        <f>HYPERLINK("https://klasma.github.io/Logging_2582/klagomål/A 26721-2026 FSC-klagomål.docx", "A 26721-2026")</f>
        <v/>
      </c>
      <c r="AB81">
        <f>HYPERLINK("https://klasma.github.io/Logging_2582/klagomålsmail/A 26721-2026 FSC-klagomål mail.docx", "A 26721-2026")</f>
        <v/>
      </c>
      <c r="AC81">
        <f>HYPERLINK("https://klasma.github.io/Logging_2582/tillsyn/A 26721-2026 tillsynsbegäran.docx", "A 26721-2026")</f>
        <v/>
      </c>
      <c r="AD81">
        <f>HYPERLINK("https://klasma.github.io/Logging_2582/tillsynsmail/A 26721-2026 tillsynsbegäran mail.docx", "A 26721-2026")</f>
        <v/>
      </c>
    </row>
    <row r="82" ht="15" customHeight="1">
      <c r="A82" t="inlineStr">
        <is>
          <t>A 59435-2024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46225</v>
      </c>
      <c r="F82" t="inlineStr">
        <is>
          <t>NORRBOTTENS LÄN</t>
        </is>
      </c>
      <c r="G82" t="inlineStr">
        <is>
          <t>BODEN</t>
        </is>
      </c>
      <c r="I82" t="n">
        <v>2.1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Lappranunkel
Ögonpyrola</t>
        </is>
      </c>
      <c r="W82">
        <f>HYPERLINK("https://klasma.github.io/Logging_2582/artfynd/A 59435-2024 artfynd.xlsx", "A 59435-2024")</f>
        <v/>
      </c>
      <c r="X82">
        <f>HYPERLINK("https://klasma.github.io/Logging_2582/kartor/A 59435-2024 karta.png", "A 59435-2024")</f>
        <v/>
      </c>
      <c r="Y82">
        <f>HYPERLINK("https://klasma.github.io/Logging_2582/kartor_geotiff/A 59435-2024 georefererad karta.tif", "A 59435-2024")</f>
        <v/>
      </c>
      <c r="AA82">
        <f>HYPERLINK("https://klasma.github.io/Logging_2582/klagomål/A 59435-2024 FSC-klagomål.docx", "A 59435-2024")</f>
        <v/>
      </c>
      <c r="AB82">
        <f>HYPERLINK("https://klasma.github.io/Logging_2582/klagomålsmail/A 59435-2024 FSC-klagomål mail.docx", "A 59435-2024")</f>
        <v/>
      </c>
      <c r="AC82">
        <f>HYPERLINK("https://klasma.github.io/Logging_2582/tillsyn/A 59435-2024 tillsynsbegäran.docx", "A 59435-2024")</f>
        <v/>
      </c>
      <c r="AD82">
        <f>HYPERLINK("https://klasma.github.io/Logging_2582/tillsynsmail/A 59435-2024 tillsynsbegäran mail.docx", "A 59435-2024")</f>
        <v/>
      </c>
    </row>
    <row r="83" ht="15" customHeight="1">
      <c r="A83" t="inlineStr">
        <is>
          <t>A 8703-2026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46225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8703-2026 artfynd.xlsx", "A 8703-2026")</f>
        <v/>
      </c>
      <c r="X83">
        <f>HYPERLINK("https://klasma.github.io/Logging_2582/kartor/A 8703-2026 karta.png", "A 8703-2026")</f>
        <v/>
      </c>
      <c r="Y83">
        <f>HYPERLINK("https://klasma.github.io/Logging_2582/kartor_geotiff/A 8703-2026 georefererad karta.tif", "A 8703-2026")</f>
        <v/>
      </c>
      <c r="AA83">
        <f>HYPERLINK("https://klasma.github.io/Logging_2582/klagomål/A 8703-2026 FSC-klagomål.docx", "A 8703-2026")</f>
        <v/>
      </c>
      <c r="AB83">
        <f>HYPERLINK("https://klasma.github.io/Logging_2582/klagomålsmail/A 8703-2026 FSC-klagomål mail.docx", "A 8703-2026")</f>
        <v/>
      </c>
      <c r="AC83">
        <f>HYPERLINK("https://klasma.github.io/Logging_2582/tillsyn/A 8703-2026 tillsynsbegäran.docx", "A 8703-2026")</f>
        <v/>
      </c>
      <c r="AD83">
        <f>HYPERLINK("https://klasma.github.io/Logging_2582/tillsynsmail/A 8703-2026 tillsynsbegäran mail.docx", "A 8703-2026")</f>
        <v/>
      </c>
    </row>
    <row r="84" ht="15" customHeight="1">
      <c r="A84" t="inlineStr">
        <is>
          <t>A 26773-2026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46225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Lunglav</t>
        </is>
      </c>
      <c r="W84">
        <f>HYPERLINK("https://klasma.github.io/Logging_2582/artfynd/A 26773-2026 artfynd.xlsx", "A 26773-2026")</f>
        <v/>
      </c>
      <c r="X84">
        <f>HYPERLINK("https://klasma.github.io/Logging_2582/kartor/A 26773-2026 karta.png", "A 26773-2026")</f>
        <v/>
      </c>
      <c r="Y84">
        <f>HYPERLINK("https://klasma.github.io/Logging_2582/kartor_geotiff/A 26773-2026 georefererad karta.tif", "A 26773-2026")</f>
        <v/>
      </c>
      <c r="Z84">
        <f>HYPERLINK("https://klasma.github.io/Logging_2582/knärot/A 26773-2026 karta knärot.png", "A 26773-2026")</f>
        <v/>
      </c>
      <c r="AA84">
        <f>HYPERLINK("https://klasma.github.io/Logging_2582/klagomål/A 26773-2026 FSC-klagomål.docx", "A 26773-2026")</f>
        <v/>
      </c>
      <c r="AB84">
        <f>HYPERLINK("https://klasma.github.io/Logging_2582/klagomålsmail/A 26773-2026 FSC-klagomål mail.docx", "A 26773-2026")</f>
        <v/>
      </c>
      <c r="AC84">
        <f>HYPERLINK("https://klasma.github.io/Logging_2582/tillsyn/A 26773-2026 tillsynsbegäran.docx", "A 26773-2026")</f>
        <v/>
      </c>
      <c r="AD84">
        <f>HYPERLINK("https://klasma.github.io/Logging_2582/tillsynsmail/A 26773-2026 tillsynsbegäran mail.docx", "A 26773-2026")</f>
        <v/>
      </c>
    </row>
    <row r="85" ht="15" customHeight="1">
      <c r="A85" t="inlineStr">
        <is>
          <t>A 34737-2024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45526</v>
      </c>
      <c r="E85" s="1" t="n">
        <v>46225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4</v>
      </c>
      <c r="U85" t="n">
        <v>1</v>
      </c>
      <c r="V85" s="2" t="inlineStr">
        <is>
          <t>Lunglav
Fläcknycklar</t>
        </is>
      </c>
      <c r="W85">
        <f>HYPERLINK("https://klasma.github.io/Logging_2582/artfynd/A 34737-2024 artfynd.xlsx", "A 34737-2024")</f>
        <v/>
      </c>
      <c r="X85">
        <f>HYPERLINK("https://klasma.github.io/Logging_2582/kartor/A 34737-2024 karta.png", "A 34737-2024")</f>
        <v/>
      </c>
      <c r="Y85">
        <f>HYPERLINK("https://klasma.github.io/Logging_2582/kartor_geotiff/A 34737-2024 georefererad karta.tif", "A 34737-2024")</f>
        <v/>
      </c>
      <c r="AA85">
        <f>HYPERLINK("https://klasma.github.io/Logging_2582/klagomål/A 34737-2024 FSC-klagomål.docx", "A 34737-2024")</f>
        <v/>
      </c>
      <c r="AB85">
        <f>HYPERLINK("https://klasma.github.io/Logging_2582/klagomålsmail/A 34737-2024 FSC-klagomål mail.docx", "A 34737-2024")</f>
        <v/>
      </c>
      <c r="AC85">
        <f>HYPERLINK("https://klasma.github.io/Logging_2582/tillsyn/A 34737-2024 tillsynsbegäran.docx", "A 34737-2024")</f>
        <v/>
      </c>
      <c r="AD85">
        <f>HYPERLINK("https://klasma.github.io/Logging_2582/tillsynsmail/A 34737-2024 tillsynsbegäran mail.docx", "A 34737-2024")</f>
        <v/>
      </c>
    </row>
    <row r="86" ht="15" customHeight="1">
      <c r="A86" t="inlineStr">
        <is>
          <t>A 21657-2026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46225</v>
      </c>
      <c r="F86" t="inlineStr">
        <is>
          <t>NORRBOTTENS LÄN</t>
        </is>
      </c>
      <c r="G86" t="inlineStr">
        <is>
          <t>BODEN</t>
        </is>
      </c>
      <c r="I86" t="n">
        <v>9.800000000000001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Orre
Utter</t>
        </is>
      </c>
      <c r="W86">
        <f>HYPERLINK("https://klasma.github.io/Logging_2582/artfynd/A 21657-2026 artfynd.xlsx", "A 21657-2026")</f>
        <v/>
      </c>
      <c r="X86">
        <f>HYPERLINK("https://klasma.github.io/Logging_2582/kartor/A 21657-2026 karta.png", "A 21657-2026")</f>
        <v/>
      </c>
      <c r="Y86">
        <f>HYPERLINK("https://klasma.github.io/Logging_2582/kartor_geotiff/A 21657-2026 georefererad karta.tif", "A 21657-2026")</f>
        <v/>
      </c>
      <c r="AA86">
        <f>HYPERLINK("https://klasma.github.io/Logging_2582/klagomål/A 21657-2026 FSC-klagomål.docx", "A 21657-2026")</f>
        <v/>
      </c>
      <c r="AB86">
        <f>HYPERLINK("https://klasma.github.io/Logging_2582/klagomålsmail/A 21657-2026 FSC-klagomål mail.docx", "A 21657-2026")</f>
        <v/>
      </c>
      <c r="AC86">
        <f>HYPERLINK("https://klasma.github.io/Logging_2582/tillsyn/A 21657-2026 tillsynsbegäran.docx", "A 21657-2026")</f>
        <v/>
      </c>
      <c r="AD86">
        <f>HYPERLINK("https://klasma.github.io/Logging_2582/tillsynsmail/A 21657-2026 tillsynsbegäran mail.docx", "A 21657-2026")</f>
        <v/>
      </c>
      <c r="AE86">
        <f>HYPERLINK("https://klasma.github.io/Logging_2582/fåglar/A 21657-2026 prioriterade fågelarter.docx", "A 21657-2026")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46225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23794-2026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46164</v>
      </c>
      <c r="E88" s="1" t="n">
        <v>46225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3.1</v>
      </c>
      <c r="J88" t="n">
        <v>2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Plattlummer
Spindelblomster</t>
        </is>
      </c>
      <c r="W88">
        <f>HYPERLINK("https://klasma.github.io/Logging_2582/artfynd/A 23794-2026 artfynd.xlsx", "A 23794-2026")</f>
        <v/>
      </c>
      <c r="X88">
        <f>HYPERLINK("https://klasma.github.io/Logging_2582/kartor/A 23794-2026 karta.png", "A 23794-2026")</f>
        <v/>
      </c>
      <c r="Y88">
        <f>HYPERLINK("https://klasma.github.io/Logging_2582/kartor_geotiff/A 23794-2026 georefererad karta.tif", "A 23794-2026")</f>
        <v/>
      </c>
      <c r="AA88">
        <f>HYPERLINK("https://klasma.github.io/Logging_2582/klagomål/A 23794-2026 FSC-klagomål.docx", "A 23794-2026")</f>
        <v/>
      </c>
      <c r="AB88">
        <f>HYPERLINK("https://klasma.github.io/Logging_2582/klagomålsmail/A 23794-2026 FSC-klagomål mail.docx", "A 23794-2026")</f>
        <v/>
      </c>
      <c r="AC88">
        <f>HYPERLINK("https://klasma.github.io/Logging_2582/tillsyn/A 23794-2026 tillsynsbegäran.docx", "A 23794-2026")</f>
        <v/>
      </c>
      <c r="AD88">
        <f>HYPERLINK("https://klasma.github.io/Logging_2582/tillsynsmail/A 23794-2026 tillsynsbegäran mail.docx", "A 23794-2026")</f>
        <v/>
      </c>
    </row>
    <row r="89" ht="15" customHeight="1">
      <c r="A89" t="inlineStr">
        <is>
          <t>A 29807-2026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46225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Mörk kolflarnlav</t>
        </is>
      </c>
      <c r="W89">
        <f>HYPERLINK("https://klasma.github.io/Logging_2582/artfynd/A 29807-2026 artfynd.xlsx", "A 29807-2026")</f>
        <v/>
      </c>
      <c r="X89">
        <f>HYPERLINK("https://klasma.github.io/Logging_2582/kartor/A 29807-2026 karta.png", "A 29807-2026")</f>
        <v/>
      </c>
      <c r="Y89">
        <f>HYPERLINK("https://klasma.github.io/Logging_2582/kartor_geotiff/A 29807-2026 georefererad karta.tif", "A 29807-2026")</f>
        <v/>
      </c>
      <c r="AA89">
        <f>HYPERLINK("https://klasma.github.io/Logging_2582/klagomål/A 29807-2026 FSC-klagomål.docx", "A 29807-2026")</f>
        <v/>
      </c>
      <c r="AB89">
        <f>HYPERLINK("https://klasma.github.io/Logging_2582/klagomålsmail/A 29807-2026 FSC-klagomål mail.docx", "A 29807-2026")</f>
        <v/>
      </c>
      <c r="AC89">
        <f>HYPERLINK("https://klasma.github.io/Logging_2582/tillsyn/A 29807-2026 tillsynsbegäran.docx", "A 29807-2026")</f>
        <v/>
      </c>
      <c r="AD89">
        <f>HYPERLINK("https://klasma.github.io/Logging_2582/tillsynsmail/A 29807-2026 tillsynsbegäran mail.docx", "A 29807-2026")</f>
        <v/>
      </c>
    </row>
    <row r="90" ht="15" customHeight="1">
      <c r="A90" t="inlineStr">
        <is>
          <t>A 29881-2026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46225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Lunglav
Fläcknycklar</t>
        </is>
      </c>
      <c r="W90">
        <f>HYPERLINK("https://klasma.github.io/Logging_2582/artfynd/A 29881-2026 artfynd.xlsx", "A 29881-2026")</f>
        <v/>
      </c>
      <c r="X90">
        <f>HYPERLINK("https://klasma.github.io/Logging_2582/kartor/A 29881-2026 karta.png", "A 29881-2026")</f>
        <v/>
      </c>
      <c r="Y90">
        <f>HYPERLINK("https://klasma.github.io/Logging_2582/kartor_geotiff/A 29881-2026 georefererad karta.tif", "A 29881-2026")</f>
        <v/>
      </c>
      <c r="AA90">
        <f>HYPERLINK("https://klasma.github.io/Logging_2582/klagomål/A 29881-2026 FSC-klagomål.docx", "A 29881-2026")</f>
        <v/>
      </c>
      <c r="AB90">
        <f>HYPERLINK("https://klasma.github.io/Logging_2582/klagomålsmail/A 29881-2026 FSC-klagomål mail.docx", "A 29881-2026")</f>
        <v/>
      </c>
      <c r="AC90">
        <f>HYPERLINK("https://klasma.github.io/Logging_2582/tillsyn/A 29881-2026 tillsynsbegäran.docx", "A 29881-2026")</f>
        <v/>
      </c>
      <c r="AD90">
        <f>HYPERLINK("https://klasma.github.io/Logging_2582/tillsynsmail/A 29881-2026 tillsynsbegäran mail.docx", "A 29881-2026")</f>
        <v/>
      </c>
    </row>
    <row r="91" ht="15" customHeight="1">
      <c r="A91" t="inlineStr">
        <is>
          <t>A 29860-2026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46225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Knottrig blåslav
Lunglav</t>
        </is>
      </c>
      <c r="W91">
        <f>HYPERLINK("https://klasma.github.io/Logging_2582/artfynd/A 29860-2026 artfynd.xlsx", "A 29860-2026")</f>
        <v/>
      </c>
      <c r="X91">
        <f>HYPERLINK("https://klasma.github.io/Logging_2582/kartor/A 29860-2026 karta.png", "A 29860-2026")</f>
        <v/>
      </c>
      <c r="Y91">
        <f>HYPERLINK("https://klasma.github.io/Logging_2582/kartor_geotiff/A 29860-2026 georefererad karta.tif", "A 29860-2026")</f>
        <v/>
      </c>
      <c r="AA91">
        <f>HYPERLINK("https://klasma.github.io/Logging_2582/klagomål/A 29860-2026 FSC-klagomål.docx", "A 29860-2026")</f>
        <v/>
      </c>
      <c r="AB91">
        <f>HYPERLINK("https://klasma.github.io/Logging_2582/klagomålsmail/A 29860-2026 FSC-klagomål mail.docx", "A 29860-2026")</f>
        <v/>
      </c>
      <c r="AC91">
        <f>HYPERLINK("https://klasma.github.io/Logging_2582/tillsyn/A 29860-2026 tillsynsbegäran.docx", "A 29860-2026")</f>
        <v/>
      </c>
      <c r="AD91">
        <f>HYPERLINK("https://klasma.github.io/Logging_2582/tillsynsmail/A 29860-2026 tillsynsbegäran mail.docx", "A 29860-2026")</f>
        <v/>
      </c>
    </row>
    <row r="92" ht="15" customHeight="1">
      <c r="A92" t="inlineStr">
        <is>
          <t>A 900-2024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46225</v>
      </c>
      <c r="F92" t="inlineStr">
        <is>
          <t>NORRBOTTENS LÄN</t>
        </is>
      </c>
      <c r="G92" t="inlineStr">
        <is>
          <t>BODEN</t>
        </is>
      </c>
      <c r="I92" t="n">
        <v>5.2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Revlummer</t>
        </is>
      </c>
      <c r="W92">
        <f>HYPERLINK("https://klasma.github.io/Logging_2582/artfynd/A 900-2024 artfynd.xlsx", "A 900-2024")</f>
        <v/>
      </c>
      <c r="X92">
        <f>HYPERLINK("https://klasma.github.io/Logging_2582/kartor/A 900-2024 karta.png", "A 900-2024")</f>
        <v/>
      </c>
      <c r="Y92">
        <f>HYPERLINK("https://klasma.github.io/Logging_2582/kartor_geotiff/A 900-2024 georefererad karta.tif", "A 900-2024")</f>
        <v/>
      </c>
      <c r="Z92">
        <f>HYPERLINK("https://klasma.github.io/Logging_2582/knärot/A 900-2024 karta knärot.png", "A 900-2024")</f>
        <v/>
      </c>
      <c r="AA92">
        <f>HYPERLINK("https://klasma.github.io/Logging_2582/klagomål/A 900-2024 FSC-klagomål.docx", "A 900-2024")</f>
        <v/>
      </c>
      <c r="AB92">
        <f>HYPERLINK("https://klasma.github.io/Logging_2582/klagomålsmail/A 900-2024 FSC-klagomål mail.docx", "A 900-2024")</f>
        <v/>
      </c>
      <c r="AC92">
        <f>HYPERLINK("https://klasma.github.io/Logging_2582/tillsyn/A 900-2024 tillsynsbegäran.docx", "A 900-2024")</f>
        <v/>
      </c>
      <c r="AD92">
        <f>HYPERLINK("https://klasma.github.io/Logging_2582/tillsynsmail/A 900-2024 tillsynsbegäran mail.docx", "A 900-2024")</f>
        <v/>
      </c>
    </row>
    <row r="93" ht="15" customHeight="1">
      <c r="A93" t="inlineStr">
        <is>
          <t>A 17292-2022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44678</v>
      </c>
      <c r="E93" s="1" t="n">
        <v>46225</v>
      </c>
      <c r="F93" t="inlineStr">
        <is>
          <t>NORRBOTTENS LÄN</t>
        </is>
      </c>
      <c r="G93" t="inlineStr">
        <is>
          <t>BODEN</t>
        </is>
      </c>
      <c r="H93" t="inlineStr">
        <is>
          <t>Kyrkan</t>
        </is>
      </c>
      <c r="I93" t="n">
        <v>0.8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Revlummer</t>
        </is>
      </c>
      <c r="W93">
        <f>HYPERLINK("https://klasma.github.io/Logging_2582/artfynd/A 17292-2022 artfynd.xlsx", "A 17292-2022")</f>
        <v/>
      </c>
      <c r="X93">
        <f>HYPERLINK("https://klasma.github.io/Logging_2582/kartor/A 17292-2022 karta.png", "A 17292-2022")</f>
        <v/>
      </c>
      <c r="Y93">
        <f>HYPERLINK("https://klasma.github.io/Logging_2582/kartor_geotiff/A 17292-2022 georefererad karta.tif", "A 17292-2022")</f>
        <v/>
      </c>
      <c r="AA93">
        <f>HYPERLINK("https://klasma.github.io/Logging_2582/klagomål/A 17292-2022 FSC-klagomål.docx", "A 17292-2022")</f>
        <v/>
      </c>
      <c r="AB93">
        <f>HYPERLINK("https://klasma.github.io/Logging_2582/klagomålsmail/A 17292-2022 FSC-klagomål mail.docx", "A 17292-2022")</f>
        <v/>
      </c>
      <c r="AC93">
        <f>HYPERLINK("https://klasma.github.io/Logging_2582/tillsyn/A 17292-2022 tillsynsbegäran.docx", "A 17292-2022")</f>
        <v/>
      </c>
      <c r="AD93">
        <f>HYPERLINK("https://klasma.github.io/Logging_2582/tillsynsmail/A 17292-2022 tillsynsbegäran mail.docx", "A 17292-2022")</f>
        <v/>
      </c>
    </row>
    <row r="94" ht="15" customHeight="1">
      <c r="A94" t="inlineStr">
        <is>
          <t>A 61210-2024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46225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4</v>
      </c>
      <c r="U94" t="n">
        <v>0</v>
      </c>
      <c r="V94" s="2" t="inlineStr">
        <is>
          <t>Skrovlig taggsvamp
Blå taggsvamp</t>
        </is>
      </c>
      <c r="W94">
        <f>HYPERLINK("https://klasma.github.io/Logging_2582/artfynd/A 61210-2024 artfynd.xlsx", "A 61210-2024")</f>
        <v/>
      </c>
      <c r="X94">
        <f>HYPERLINK("https://klasma.github.io/Logging_2582/kartor/A 61210-2024 karta.png", "A 61210-2024")</f>
        <v/>
      </c>
      <c r="Y94">
        <f>HYPERLINK("https://klasma.github.io/Logging_2582/kartor_geotiff/A 61210-2024 georefererad karta.tif", "A 61210-2024")</f>
        <v/>
      </c>
      <c r="AA94">
        <f>HYPERLINK("https://klasma.github.io/Logging_2582/klagomål/A 61210-2024 FSC-klagomål.docx", "A 61210-2024")</f>
        <v/>
      </c>
      <c r="AB94">
        <f>HYPERLINK("https://klasma.github.io/Logging_2582/klagomålsmail/A 61210-2024 FSC-klagomål mail.docx", "A 61210-2024")</f>
        <v/>
      </c>
      <c r="AC94">
        <f>HYPERLINK("https://klasma.github.io/Logging_2582/tillsyn/A 61210-2024 tillsynsbegäran.docx", "A 61210-2024")</f>
        <v/>
      </c>
      <c r="AD94">
        <f>HYPERLINK("https://klasma.github.io/Logging_2582/tillsynsmail/A 61210-2024 tillsynsbegäran mail.docx", "A 61210-2024")</f>
        <v/>
      </c>
    </row>
    <row r="95" ht="15" customHeight="1">
      <c r="A95" t="inlineStr">
        <is>
          <t>A 1507-2022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46225</v>
      </c>
      <c r="F95" t="inlineStr">
        <is>
          <t>NORRBOTTENS LÄN</t>
        </is>
      </c>
      <c r="G95" t="inlineStr">
        <is>
          <t>BODEN</t>
        </is>
      </c>
      <c r="H95" t="inlineStr">
        <is>
          <t>Övriga statliga verk och myndigheter</t>
        </is>
      </c>
      <c r="I95" t="n">
        <v>15.4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Gråspett</t>
        </is>
      </c>
      <c r="W95">
        <f>HYPERLINK("https://klasma.github.io/Logging_2582/artfynd/A 1507-2022 artfynd.xlsx", "A 1507-2022")</f>
        <v/>
      </c>
      <c r="X95">
        <f>HYPERLINK("https://klasma.github.io/Logging_2582/kartor/A 1507-2022 karta.png", "A 1507-2022")</f>
        <v/>
      </c>
      <c r="Y95">
        <f>HYPERLINK("https://klasma.github.io/Logging_2582/kartor_geotiff/A 1507-2022 georefererad karta.tif", "A 1507-2022")</f>
        <v/>
      </c>
      <c r="AA95">
        <f>HYPERLINK("https://klasma.github.io/Logging_2582/klagomål/A 1507-2022 FSC-klagomål.docx", "A 1507-2022")</f>
        <v/>
      </c>
      <c r="AB95">
        <f>HYPERLINK("https://klasma.github.io/Logging_2582/klagomålsmail/A 1507-2022 FSC-klagomål mail.docx", "A 1507-2022")</f>
        <v/>
      </c>
      <c r="AC95">
        <f>HYPERLINK("https://klasma.github.io/Logging_2582/tillsyn/A 1507-2022 tillsynsbegäran.docx", "A 1507-2022")</f>
        <v/>
      </c>
      <c r="AD95">
        <f>HYPERLINK("https://klasma.github.io/Logging_2582/tillsynsmail/A 1507-2022 tillsynsbegäran mail.docx", "A 1507-2022")</f>
        <v/>
      </c>
      <c r="AE95">
        <f>HYPERLINK("https://klasma.github.io/Logging_2582/fåglar/A 1507-2022 prioriterade fågelarter.docx", "A 1507-2022")</f>
        <v/>
      </c>
    </row>
    <row r="96" ht="15" customHeight="1">
      <c r="A96" t="inlineStr">
        <is>
          <t>A 32971-2024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45517</v>
      </c>
      <c r="E96" s="1" t="n">
        <v>46225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5</v>
      </c>
      <c r="U96" t="n">
        <v>4</v>
      </c>
      <c r="V96" s="2" t="inlineStr">
        <is>
          <t>Lunglav
Fläcknycklar</t>
        </is>
      </c>
      <c r="W96">
        <f>HYPERLINK("https://klasma.github.io/Logging_2582/artfynd/A 32971-2024 artfynd.xlsx", "A 32971-2024")</f>
        <v/>
      </c>
      <c r="X96">
        <f>HYPERLINK("https://klasma.github.io/Logging_2582/kartor/A 32971-2024 karta.png", "A 32971-2024")</f>
        <v/>
      </c>
      <c r="Y96">
        <f>HYPERLINK("https://klasma.github.io/Logging_2582/kartor_geotiff/A 32971-2024 georefererad karta.tif", "A 32971-2024")</f>
        <v/>
      </c>
      <c r="AA96">
        <f>HYPERLINK("https://klasma.github.io/Logging_2582/klagomål/A 32971-2024 FSC-klagomål.docx", "A 32971-2024")</f>
        <v/>
      </c>
      <c r="AB96">
        <f>HYPERLINK("https://klasma.github.io/Logging_2582/klagomålsmail/A 32971-2024 FSC-klagomål mail.docx", "A 32971-2024")</f>
        <v/>
      </c>
      <c r="AC96">
        <f>HYPERLINK("https://klasma.github.io/Logging_2582/tillsyn/A 32971-2024 tillsynsbegäran.docx", "A 32971-2024")</f>
        <v/>
      </c>
      <c r="AD96">
        <f>HYPERLINK("https://klasma.github.io/Logging_2582/tillsynsmail/A 32971-2024 tillsynsbegäran mail.docx", "A 32971-2024")</f>
        <v/>
      </c>
    </row>
    <row r="97" ht="15" customHeight="1">
      <c r="A97" t="inlineStr">
        <is>
          <t>A 48899-2024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46225</v>
      </c>
      <c r="F97" t="inlineStr">
        <is>
          <t>NORRBOTTENS LÄN</t>
        </is>
      </c>
      <c r="G97" t="inlineStr">
        <is>
          <t>BODEN</t>
        </is>
      </c>
      <c r="H97" t="inlineStr">
        <is>
          <t>SCA</t>
        </is>
      </c>
      <c r="I97" t="n">
        <v>18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Hässlebrodd
Fläcknycklar</t>
        </is>
      </c>
      <c r="W97">
        <f>HYPERLINK("https://klasma.github.io/Logging_2582/artfynd/A 48899-2024 artfynd.xlsx", "A 48899-2024")</f>
        <v/>
      </c>
      <c r="X97">
        <f>HYPERLINK("https://klasma.github.io/Logging_2582/kartor/A 48899-2024 karta.png", "A 48899-2024")</f>
        <v/>
      </c>
      <c r="Y97">
        <f>HYPERLINK("https://klasma.github.io/Logging_2582/kartor_geotiff/A 48899-2024 georefererad karta.tif", "A 48899-2024")</f>
        <v/>
      </c>
      <c r="AA97">
        <f>HYPERLINK("https://klasma.github.io/Logging_2582/klagomål/A 48899-2024 FSC-klagomål.docx", "A 48899-2024")</f>
        <v/>
      </c>
      <c r="AB97">
        <f>HYPERLINK("https://klasma.github.io/Logging_2582/klagomålsmail/A 48899-2024 FSC-klagomål mail.docx", "A 48899-2024")</f>
        <v/>
      </c>
      <c r="AC97">
        <f>HYPERLINK("https://klasma.github.io/Logging_2582/tillsyn/A 48899-2024 tillsynsbegäran.docx", "A 48899-2024")</f>
        <v/>
      </c>
      <c r="AD97">
        <f>HYPERLINK("https://klasma.github.io/Logging_2582/tillsynsmail/A 48899-2024 tillsynsbegäran mail.docx", "A 48899-2024")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46225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6639-2024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45341</v>
      </c>
      <c r="E100" s="1" t="n">
        <v>46225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23.8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Kungsfågel</t>
        </is>
      </c>
      <c r="W100">
        <f>HYPERLINK("https://klasma.github.io/Logging_2582/artfynd/A 6639-2024 artfynd.xlsx", "A 6639-2024")</f>
        <v/>
      </c>
      <c r="X100">
        <f>HYPERLINK("https://klasma.github.io/Logging_2582/kartor/A 6639-2024 karta.png", "A 6639-2024")</f>
        <v/>
      </c>
      <c r="Y100">
        <f>HYPERLINK("https://klasma.github.io/Logging_2582/kartor_geotiff/A 6639-2024 georefererad karta.tif", "A 6639-2024")</f>
        <v/>
      </c>
      <c r="AA100">
        <f>HYPERLINK("https://klasma.github.io/Logging_2582/klagomål/A 6639-2024 FSC-klagomål.docx", "A 6639-2024")</f>
        <v/>
      </c>
      <c r="AB100">
        <f>HYPERLINK("https://klasma.github.io/Logging_2582/klagomålsmail/A 6639-2024 FSC-klagomål mail.docx", "A 6639-2024")</f>
        <v/>
      </c>
      <c r="AC100">
        <f>HYPERLINK("https://klasma.github.io/Logging_2582/tillsyn/A 6639-2024 tillsynsbegäran.docx", "A 6639-2024")</f>
        <v/>
      </c>
      <c r="AD100">
        <f>HYPERLINK("https://klasma.github.io/Logging_2582/tillsynsmail/A 6639-2024 tillsynsbegäran mail.docx", "A 6639-2024")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46225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Spindelblomster
Ögonpyrola</t>
        </is>
      </c>
      <c r="W101">
        <f>HYPERLINK("https://klasma.github.io/Logging_2582/artfynd/S 884-2024 artfynd.xlsx", "S 884-2024")</f>
        <v/>
      </c>
      <c r="X101">
        <f>HYPERLINK("https://klasma.github.io/Logging_2582/kartor/S 884-2024 karta.png", "S 884-2024")</f>
        <v/>
      </c>
      <c r="Y101">
        <f>HYPERLINK("https://klasma.github.io/Logging_2582/kartor_geotiff/S 884-2024 georefererad karta.tif", "S 884-2024")</f>
        <v/>
      </c>
      <c r="Z101">
        <f>HYPERLINK("https://klasma.github.io/Logging_2582/knärot/S 884-2024 karta knärot.png", "S 884-2024")</f>
        <v/>
      </c>
      <c r="AA101">
        <f>HYPERLINK("https://klasma.github.io/Logging_2582/klagomål/S 884-2024 FSC-klagomål.docx", "S 884-2024")</f>
        <v/>
      </c>
      <c r="AB101">
        <f>HYPERLINK("https://klasma.github.io/Logging_2582/klagomålsmail/S 884-2024 FSC-klagomål mail.docx", "S 884-2024")</f>
        <v/>
      </c>
      <c r="AC101">
        <f>HYPERLINK("https://klasma.github.io/Logging_2582/tillsyn/S 884-2024 tillsynsbegäran.docx", "S 884-2024")</f>
        <v/>
      </c>
      <c r="AD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46225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Gammelgransskål</t>
        </is>
      </c>
      <c r="W102">
        <f>HYPERLINK("https://klasma.github.io/Logging_2582/artfynd/A 13647-2022 artfynd.xlsx", "A 13647-2022")</f>
        <v/>
      </c>
      <c r="X102">
        <f>HYPERLINK("https://klasma.github.io/Logging_2582/kartor/A 13647-2022 karta.png", "A 13647-2022")</f>
        <v/>
      </c>
      <c r="Y102">
        <f>HYPERLINK("https://klasma.github.io/Logging_2582/kartor_geotiff/A 13647-2022 georefererad karta.tif", "A 13647-2022")</f>
        <v/>
      </c>
      <c r="AA102">
        <f>HYPERLINK("https://klasma.github.io/Logging_2582/klagomål/A 13647-2022 FSC-klagomål.docx", "A 13647-2022")</f>
        <v/>
      </c>
      <c r="AB102">
        <f>HYPERLINK("https://klasma.github.io/Logging_2582/klagomålsmail/A 13647-2022 FSC-klagomål mail.docx", "A 13647-2022")</f>
        <v/>
      </c>
      <c r="AC102">
        <f>HYPERLINK("https://klasma.github.io/Logging_2582/tillsyn/A 13647-2022 tillsynsbegäran.docx", "A 13647-2022")</f>
        <v/>
      </c>
      <c r="AD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46225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Svartvit flugsnappare</t>
        </is>
      </c>
      <c r="W103">
        <f>HYPERLINK("https://klasma.github.io/Logging_2582/artfynd/A 47030-2021 artfynd.xlsx", "A 47030-2021")</f>
        <v/>
      </c>
      <c r="X103">
        <f>HYPERLINK("https://klasma.github.io/Logging_2582/kartor/A 47030-2021 karta.png", "A 47030-2021")</f>
        <v/>
      </c>
      <c r="Y103">
        <f>HYPERLINK("https://klasma.github.io/Logging_2582/kartor_geotiff/A 47030-2021 georefererad karta.tif", "A 47030-2021")</f>
        <v/>
      </c>
      <c r="AA103">
        <f>HYPERLINK("https://klasma.github.io/Logging_2582/klagomål/A 47030-2021 FSC-klagomål.docx", "A 47030-2021")</f>
        <v/>
      </c>
      <c r="AB103">
        <f>HYPERLINK("https://klasma.github.io/Logging_2582/klagomålsmail/A 47030-2021 FSC-klagomål mail.docx", "A 47030-2021")</f>
        <v/>
      </c>
      <c r="AC103">
        <f>HYPERLINK("https://klasma.github.io/Logging_2582/tillsyn/A 47030-2021 tillsynsbegäran.docx", "A 47030-2021")</f>
        <v/>
      </c>
      <c r="AD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46225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padda</t>
        </is>
      </c>
      <c r="W104">
        <f>HYPERLINK("https://klasma.github.io/Logging_2582/artfynd/A 39884-2021 artfynd.xlsx", "A 39884-2021")</f>
        <v/>
      </c>
      <c r="X104">
        <f>HYPERLINK("https://klasma.github.io/Logging_2582/kartor/A 39884-2021 karta.png", "A 39884-2021")</f>
        <v/>
      </c>
      <c r="Y104">
        <f>HYPERLINK("https://klasma.github.io/Logging_2582/kartor_geotiff/A 39884-2021 georefererad karta.tif", "A 39884-2021")</f>
        <v/>
      </c>
      <c r="AA104">
        <f>HYPERLINK("https://klasma.github.io/Logging_2582/klagomål/A 39884-2021 FSC-klagomål.docx", "A 39884-2021")</f>
        <v/>
      </c>
      <c r="AB104">
        <f>HYPERLINK("https://klasma.github.io/Logging_2582/klagomålsmail/A 39884-2021 FSC-klagomål mail.docx", "A 39884-2021")</f>
        <v/>
      </c>
      <c r="AC104">
        <f>HYPERLINK("https://klasma.github.io/Logging_2582/tillsyn/A 39884-2021 tillsynsbegäran.docx", "A 39884-2021")</f>
        <v/>
      </c>
      <c r="AD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46225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HYPERLINK("https://klasma.github.io/Logging_2582/artfynd/A 44768-2022 artfynd.xlsx", "A 44768-2022")</f>
        <v/>
      </c>
      <c r="X105">
        <f>HYPERLINK("https://klasma.github.io/Logging_2582/kartor/A 44768-2022 karta.png", "A 44768-2022")</f>
        <v/>
      </c>
      <c r="Y105">
        <f>HYPERLINK("https://klasma.github.io/Logging_2582/kartor_geotiff/A 44768-2022 georefererad karta.tif", "A 44768-2022")</f>
        <v/>
      </c>
      <c r="AA105">
        <f>HYPERLINK("https://klasma.github.io/Logging_2582/klagomål/A 44768-2022 FSC-klagomål.docx", "A 44768-2022")</f>
        <v/>
      </c>
      <c r="AB105">
        <f>HYPERLINK("https://klasma.github.io/Logging_2582/klagomålsmail/A 44768-2022 FSC-klagomål mail.docx", "A 44768-2022")</f>
        <v/>
      </c>
      <c r="AC105">
        <f>HYPERLINK("https://klasma.github.io/Logging_2582/tillsyn/A 44768-2022 tillsynsbegäran.docx", "A 44768-2022")</f>
        <v/>
      </c>
      <c r="AD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46225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HYPERLINK("https://klasma.github.io/Logging_2582/artfynd/A 40779-2021 artfynd.xlsx", "A 40779-2021")</f>
        <v/>
      </c>
      <c r="X106">
        <f>HYPERLINK("https://klasma.github.io/Logging_2582/kartor/A 40779-2021 karta.png", "A 40779-2021")</f>
        <v/>
      </c>
      <c r="Y106">
        <f>HYPERLINK("https://klasma.github.io/Logging_2582/kartor_geotiff/A 40779-2021 georefererad karta.tif", "A 40779-2021")</f>
        <v/>
      </c>
      <c r="AA106">
        <f>HYPERLINK("https://klasma.github.io/Logging_2582/klagomål/A 40779-2021 FSC-klagomål.docx", "A 40779-2021")</f>
        <v/>
      </c>
      <c r="AB106">
        <f>HYPERLINK("https://klasma.github.io/Logging_2582/klagomålsmail/A 40779-2021 FSC-klagomål mail.docx", "A 40779-2021")</f>
        <v/>
      </c>
      <c r="AC106">
        <f>HYPERLINK("https://klasma.github.io/Logging_2582/tillsyn/A 40779-2021 tillsynsbegäran.docx", "A 40779-2021")</f>
        <v/>
      </c>
      <c r="AD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18678-2025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46225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Garnlav</t>
        </is>
      </c>
      <c r="W107">
        <f>HYPERLINK("https://klasma.github.io/Logging_2582/artfynd/A 18678-2025 artfynd.xlsx", "A 18678-2025")</f>
        <v/>
      </c>
      <c r="X107">
        <f>HYPERLINK("https://klasma.github.io/Logging_2582/kartor/A 18678-2025 karta.png", "A 18678-2025")</f>
        <v/>
      </c>
      <c r="Y107">
        <f>HYPERLINK("https://klasma.github.io/Logging_2582/kartor_geotiff/A 18678-2025 georefererad karta.tif", "A 18678-2025")</f>
        <v/>
      </c>
      <c r="AA107">
        <f>HYPERLINK("https://klasma.github.io/Logging_2582/klagomål/A 18678-2025 FSC-klagomål.docx", "A 18678-2025")</f>
        <v/>
      </c>
      <c r="AB107">
        <f>HYPERLINK("https://klasma.github.io/Logging_2582/klagomålsmail/A 18678-2025 FSC-klagomål mail.docx", "A 18678-2025")</f>
        <v/>
      </c>
      <c r="AC107">
        <f>HYPERLINK("https://klasma.github.io/Logging_2582/tillsyn/A 18678-2025 tillsynsbegäran.docx", "A 18678-2025")</f>
        <v/>
      </c>
      <c r="AD107">
        <f>HYPERLINK("https://klasma.github.io/Logging_2582/tillsynsmail/A 18678-2025 tillsynsbegäran mail.docx", "A 18678-2025")</f>
        <v/>
      </c>
    </row>
    <row r="108" ht="15" customHeight="1">
      <c r="A108" t="inlineStr">
        <is>
          <t>A 49410-2023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46225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Lunglav</t>
        </is>
      </c>
      <c r="W108">
        <f>HYPERLINK("https://klasma.github.io/Logging_2582/artfynd/A 49410-2023 artfynd.xlsx", "A 49410-2023")</f>
        <v/>
      </c>
      <c r="X108">
        <f>HYPERLINK("https://klasma.github.io/Logging_2582/kartor/A 49410-2023 karta.png", "A 49410-2023")</f>
        <v/>
      </c>
      <c r="Y108">
        <f>HYPERLINK("https://klasma.github.io/Logging_2582/kartor_geotiff/A 49410-2023 georefererad karta.tif", "A 49410-2023")</f>
        <v/>
      </c>
      <c r="AA108">
        <f>HYPERLINK("https://klasma.github.io/Logging_2582/klagomål/A 49410-2023 FSC-klagomål.docx", "A 49410-2023")</f>
        <v/>
      </c>
      <c r="AB108">
        <f>HYPERLINK("https://klasma.github.io/Logging_2582/klagomålsmail/A 49410-2023 FSC-klagomål mail.docx", "A 49410-2023")</f>
        <v/>
      </c>
      <c r="AC108">
        <f>HYPERLINK("https://klasma.github.io/Logging_2582/tillsyn/A 49410-2023 tillsynsbegäran.docx", "A 49410-2023")</f>
        <v/>
      </c>
      <c r="AD108">
        <f>HYPERLINK("https://klasma.github.io/Logging_2582/tillsynsmail/A 49410-2023 tillsynsbegäran mail.docx", "A 49410-2023")</f>
        <v/>
      </c>
    </row>
    <row r="109" ht="15" customHeight="1">
      <c r="A109" t="inlineStr">
        <is>
          <t>A 4878-2026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46225</v>
      </c>
      <c r="F109" t="inlineStr">
        <is>
          <t>NORRBOTTENS LÄN</t>
        </is>
      </c>
      <c r="G109" t="inlineStr">
        <is>
          <t>BODEN</t>
        </is>
      </c>
      <c r="I109" t="n">
        <v>1.8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padda</t>
        </is>
      </c>
      <c r="W109">
        <f>HYPERLINK("https://klasma.github.io/Logging_2582/artfynd/A 4878-2026 artfynd.xlsx", "A 4878-2026")</f>
        <v/>
      </c>
      <c r="X109">
        <f>HYPERLINK("https://klasma.github.io/Logging_2582/kartor/A 4878-2026 karta.png", "A 4878-2026")</f>
        <v/>
      </c>
      <c r="Y109">
        <f>HYPERLINK("https://klasma.github.io/Logging_2582/kartor_geotiff/A 4878-2026 georefererad karta.tif", "A 4878-2026")</f>
        <v/>
      </c>
      <c r="AA109">
        <f>HYPERLINK("https://klasma.github.io/Logging_2582/klagomål/A 4878-2026 FSC-klagomål.docx", "A 4878-2026")</f>
        <v/>
      </c>
      <c r="AB109">
        <f>HYPERLINK("https://klasma.github.io/Logging_2582/klagomålsmail/A 4878-2026 FSC-klagomål mail.docx", "A 4878-2026")</f>
        <v/>
      </c>
      <c r="AC109">
        <f>HYPERLINK("https://klasma.github.io/Logging_2582/tillsyn/A 4878-2026 tillsynsbegäran.docx", "A 4878-2026")</f>
        <v/>
      </c>
      <c r="AD109">
        <f>HYPERLINK("https://klasma.github.io/Logging_2582/tillsynsmail/A 4878-2026 tillsynsbegäran mail.docx", "A 4878-2026")</f>
        <v/>
      </c>
    </row>
    <row r="110" ht="15" customHeight="1">
      <c r="A110" t="inlineStr">
        <is>
          <t>A 2565-2026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46225</v>
      </c>
      <c r="F110" t="inlineStr">
        <is>
          <t>NORRBOTTENS LÄN</t>
        </is>
      </c>
      <c r="G110" t="inlineStr">
        <is>
          <t>BODEN</t>
        </is>
      </c>
      <c r="H110" t="inlineStr">
        <is>
          <t>Naturvårdsverket</t>
        </is>
      </c>
      <c r="I110" t="n">
        <v>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Garnlav</t>
        </is>
      </c>
      <c r="W110">
        <f>HYPERLINK("https://klasma.github.io/Logging_2582/artfynd/A 2565-2026 artfynd.xlsx", "A 2565-2026")</f>
        <v/>
      </c>
      <c r="X110">
        <f>HYPERLINK("https://klasma.github.io/Logging_2582/kartor/A 2565-2026 karta.png", "A 2565-2026")</f>
        <v/>
      </c>
      <c r="Y110">
        <f>HYPERLINK("https://klasma.github.io/Logging_2582/kartor_geotiff/A 2565-2026 georefererad karta.tif", "A 2565-2026")</f>
        <v/>
      </c>
      <c r="AA110">
        <f>HYPERLINK("https://klasma.github.io/Logging_2582/klagomål/A 2565-2026 FSC-klagomål.docx", "A 2565-2026")</f>
        <v/>
      </c>
      <c r="AB110">
        <f>HYPERLINK("https://klasma.github.io/Logging_2582/klagomålsmail/A 2565-2026 FSC-klagomål mail.docx", "A 2565-2026")</f>
        <v/>
      </c>
      <c r="AC110">
        <f>HYPERLINK("https://klasma.github.io/Logging_2582/tillsyn/A 2565-2026 tillsynsbegäran.docx", "A 2565-2026")</f>
        <v/>
      </c>
      <c r="AD110">
        <f>HYPERLINK("https://klasma.github.io/Logging_2582/tillsynsmail/A 2565-2026 tillsynsbegäran mail.docx", "A 2565-2026")</f>
        <v/>
      </c>
    </row>
    <row r="111" ht="15" customHeight="1">
      <c r="A111" t="inlineStr">
        <is>
          <t>A 41443-2025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45901</v>
      </c>
      <c r="E111" s="1" t="n">
        <v>46225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HYPERLINK("https://klasma.github.io/Logging_2582/artfynd/A 41443-2025 artfynd.xlsx", "A 41443-2025")</f>
        <v/>
      </c>
      <c r="X111">
        <f>HYPERLINK("https://klasma.github.io/Logging_2582/kartor/A 41443-2025 karta.png", "A 41443-2025")</f>
        <v/>
      </c>
      <c r="Y111">
        <f>HYPERLINK("https://klasma.github.io/Logging_2582/kartor_geotiff/A 41443-2025 georefererad karta.tif", "A 41443-2025")</f>
        <v/>
      </c>
      <c r="AA111">
        <f>HYPERLINK("https://klasma.github.io/Logging_2582/klagomål/A 41443-2025 FSC-klagomål.docx", "A 41443-2025")</f>
        <v/>
      </c>
      <c r="AB111">
        <f>HYPERLINK("https://klasma.github.io/Logging_2582/klagomålsmail/A 41443-2025 FSC-klagomål mail.docx", "A 41443-2025")</f>
        <v/>
      </c>
      <c r="AC111">
        <f>HYPERLINK("https://klasma.github.io/Logging_2582/tillsyn/A 41443-2025 tillsynsbegäran.docx", "A 41443-2025")</f>
        <v/>
      </c>
      <c r="AD111">
        <f>HYPERLINK("https://klasma.github.io/Logging_2582/tillsynsmail/A 41443-2025 tillsynsbegäran mail.docx", "A 41443-2025")</f>
        <v/>
      </c>
    </row>
    <row r="112" ht="15" customHeight="1">
      <c r="A112" t="inlineStr">
        <is>
          <t>A 41436-2025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46225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21.5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HYPERLINK("https://klasma.github.io/Logging_2582/artfynd/A 41436-2025 artfynd.xlsx", "A 41436-2025")</f>
        <v/>
      </c>
      <c r="X112">
        <f>HYPERLINK("https://klasma.github.io/Logging_2582/kartor/A 41436-2025 karta.png", "A 41436-2025")</f>
        <v/>
      </c>
      <c r="Y112">
        <f>HYPERLINK("https://klasma.github.io/Logging_2582/kartor_geotiff/A 41436-2025 georefererad karta.tif", "A 41436-2025")</f>
        <v/>
      </c>
      <c r="AA112">
        <f>HYPERLINK("https://klasma.github.io/Logging_2582/klagomål/A 41436-2025 FSC-klagomål.docx", "A 41436-2025")</f>
        <v/>
      </c>
      <c r="AB112">
        <f>HYPERLINK("https://klasma.github.io/Logging_2582/klagomålsmail/A 41436-2025 FSC-klagomål mail.docx", "A 41436-2025")</f>
        <v/>
      </c>
      <c r="AC112">
        <f>HYPERLINK("https://klasma.github.io/Logging_2582/tillsyn/A 41436-2025 tillsynsbegäran.docx", "A 41436-2025")</f>
        <v/>
      </c>
      <c r="AD112">
        <f>HYPERLINK("https://klasma.github.io/Logging_2582/tillsynsmail/A 41436-2025 tillsynsbegäran mail.docx", "A 41436-2025")</f>
        <v/>
      </c>
    </row>
    <row r="113" ht="15" customHeight="1">
      <c r="A113" t="inlineStr">
        <is>
          <t>A 26359-2022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46225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11.4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Tallticka</t>
        </is>
      </c>
      <c r="W113">
        <f>HYPERLINK("https://klasma.github.io/Logging_2582/artfynd/A 26359-2022 artfynd.xlsx", "A 26359-2022")</f>
        <v/>
      </c>
      <c r="X113">
        <f>HYPERLINK("https://klasma.github.io/Logging_2582/kartor/A 26359-2022 karta.png", "A 26359-2022")</f>
        <v/>
      </c>
      <c r="Y113">
        <f>HYPERLINK("https://klasma.github.io/Logging_2582/kartor_geotiff/A 26359-2022 georefererad karta.tif", "A 26359-2022")</f>
        <v/>
      </c>
      <c r="AA113">
        <f>HYPERLINK("https://klasma.github.io/Logging_2582/klagomål/A 26359-2022 FSC-klagomål.docx", "A 26359-2022")</f>
        <v/>
      </c>
      <c r="AB113">
        <f>HYPERLINK("https://klasma.github.io/Logging_2582/klagomålsmail/A 26359-2022 FSC-klagomål mail.docx", "A 26359-2022")</f>
        <v/>
      </c>
      <c r="AC113">
        <f>HYPERLINK("https://klasma.github.io/Logging_2582/tillsyn/A 26359-2022 tillsynsbegäran.docx", "A 26359-2022")</f>
        <v/>
      </c>
      <c r="AD113">
        <f>HYPERLINK("https://klasma.github.io/Logging_2582/tillsynsmail/A 26359-2022 tillsynsbegäran mail.docx", "A 26359-2022")</f>
        <v/>
      </c>
    </row>
    <row r="114" ht="15" customHeight="1">
      <c r="A114" t="inlineStr">
        <is>
          <t>A 14329-2026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46225</v>
      </c>
      <c r="F114" t="inlineStr">
        <is>
          <t>NORRBOTTENS LÄN</t>
        </is>
      </c>
      <c r="G114" t="inlineStr">
        <is>
          <t>BODEN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HYPERLINK("https://klasma.github.io/Logging_2582/artfynd/A 14329-2026 artfynd.xlsx", "A 14329-2026")</f>
        <v/>
      </c>
      <c r="X114">
        <f>HYPERLINK("https://klasma.github.io/Logging_2582/kartor/A 14329-2026 karta.png", "A 14329-2026")</f>
        <v/>
      </c>
      <c r="Y114">
        <f>HYPERLINK("https://klasma.github.io/Logging_2582/kartor_geotiff/A 14329-2026 georefererad karta.tif", "A 14329-2026")</f>
        <v/>
      </c>
      <c r="AA114">
        <f>HYPERLINK("https://klasma.github.io/Logging_2582/klagomål/A 14329-2026 FSC-klagomål.docx", "A 14329-2026")</f>
        <v/>
      </c>
      <c r="AB114">
        <f>HYPERLINK("https://klasma.github.io/Logging_2582/klagomålsmail/A 14329-2026 FSC-klagomål mail.docx", "A 14329-2026")</f>
        <v/>
      </c>
      <c r="AC114">
        <f>HYPERLINK("https://klasma.github.io/Logging_2582/tillsyn/A 14329-2026 tillsynsbegäran.docx", "A 14329-2026")</f>
        <v/>
      </c>
      <c r="AD114">
        <f>HYPERLINK("https://klasma.github.io/Logging_2582/tillsynsmail/A 14329-2026 tillsynsbegäran mail.docx", "A 14329-2026")</f>
        <v/>
      </c>
      <c r="AE114">
        <f>HYPERLINK("https://klasma.github.io/Logging_2582/fåglar/A 14329-2026 prioriterade fågelarter.docx", "A 14329-2026")</f>
        <v/>
      </c>
    </row>
    <row r="115" ht="15" customHeight="1">
      <c r="A115" t="inlineStr">
        <is>
          <t>A 50394-2025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45944</v>
      </c>
      <c r="E115" s="1" t="n">
        <v>46225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2.2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HYPERLINK("https://klasma.github.io/Logging_2582/artfynd/A 50394-2025 artfynd.xlsx", "A 50394-2025")</f>
        <v/>
      </c>
      <c r="X115">
        <f>HYPERLINK("https://klasma.github.io/Logging_2582/kartor/A 50394-2025 karta.png", "A 50394-2025")</f>
        <v/>
      </c>
      <c r="Y115">
        <f>HYPERLINK("https://klasma.github.io/Logging_2582/kartor_geotiff/A 50394-2025 georefererad karta.tif", "A 50394-2025")</f>
        <v/>
      </c>
      <c r="AA115">
        <f>HYPERLINK("https://klasma.github.io/Logging_2582/klagomål/A 50394-2025 FSC-klagomål.docx", "A 50394-2025")</f>
        <v/>
      </c>
      <c r="AB115">
        <f>HYPERLINK("https://klasma.github.io/Logging_2582/klagomålsmail/A 50394-2025 FSC-klagomål mail.docx", "A 50394-2025")</f>
        <v/>
      </c>
      <c r="AC115">
        <f>HYPERLINK("https://klasma.github.io/Logging_2582/tillsyn/A 50394-2025 tillsynsbegäran.docx", "A 50394-2025")</f>
        <v/>
      </c>
      <c r="AD115">
        <f>HYPERLINK("https://klasma.github.io/Logging_2582/tillsynsmail/A 50394-2025 tillsynsbegäran mail.docx", "A 50394-2025")</f>
        <v/>
      </c>
    </row>
    <row r="116" ht="15" customHeight="1">
      <c r="A116" t="inlineStr">
        <is>
          <t>A 51184-2025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46225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HYPERLINK("https://klasma.github.io/Logging_2582/artfynd/A 51184-2025 artfynd.xlsx", "A 51184-2025")</f>
        <v/>
      </c>
      <c r="X116">
        <f>HYPERLINK("https://klasma.github.io/Logging_2582/kartor/A 51184-2025 karta.png", "A 51184-2025")</f>
        <v/>
      </c>
      <c r="Y116">
        <f>HYPERLINK("https://klasma.github.io/Logging_2582/kartor_geotiff/A 51184-2025 georefererad karta.tif", "A 51184-2025")</f>
        <v/>
      </c>
      <c r="AA116">
        <f>HYPERLINK("https://klasma.github.io/Logging_2582/klagomål/A 51184-2025 FSC-klagomål.docx", "A 51184-2025")</f>
        <v/>
      </c>
      <c r="AB116">
        <f>HYPERLINK("https://klasma.github.io/Logging_2582/klagomålsmail/A 51184-2025 FSC-klagomål mail.docx", "A 51184-2025")</f>
        <v/>
      </c>
      <c r="AC116">
        <f>HYPERLINK("https://klasma.github.io/Logging_2582/tillsyn/A 51184-2025 tillsynsbegäran.docx", "A 51184-2025")</f>
        <v/>
      </c>
      <c r="AD116">
        <f>HYPERLINK("https://klasma.github.io/Logging_2582/tillsynsmail/A 51184-2025 tillsynsbegäran mail.docx", "A 51184-2025")</f>
        <v/>
      </c>
    </row>
    <row r="117" ht="15" customHeight="1">
      <c r="A117" t="inlineStr">
        <is>
          <t>A 51258-2025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45949</v>
      </c>
      <c r="E117" s="1" t="n">
        <v>46225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Sångsvan</t>
        </is>
      </c>
      <c r="W117">
        <f>HYPERLINK("https://klasma.github.io/Logging_2582/artfynd/A 51258-2025 artfynd.xlsx", "A 51258-2025")</f>
        <v/>
      </c>
      <c r="X117">
        <f>HYPERLINK("https://klasma.github.io/Logging_2582/kartor/A 51258-2025 karta.png", "A 51258-2025")</f>
        <v/>
      </c>
      <c r="Y117">
        <f>HYPERLINK("https://klasma.github.io/Logging_2582/kartor_geotiff/A 51258-2025 georefererad karta.tif", "A 51258-2025")</f>
        <v/>
      </c>
      <c r="AA117">
        <f>HYPERLINK("https://klasma.github.io/Logging_2582/klagomål/A 51258-2025 FSC-klagomål.docx", "A 51258-2025")</f>
        <v/>
      </c>
      <c r="AB117">
        <f>HYPERLINK("https://klasma.github.io/Logging_2582/klagomålsmail/A 51258-2025 FSC-klagomål mail.docx", "A 51258-2025")</f>
        <v/>
      </c>
      <c r="AC117">
        <f>HYPERLINK("https://klasma.github.io/Logging_2582/tillsyn/A 51258-2025 tillsynsbegäran.docx", "A 51258-2025")</f>
        <v/>
      </c>
      <c r="AD117">
        <f>HYPERLINK("https://klasma.github.io/Logging_2582/tillsynsmail/A 51258-2025 tillsynsbegäran mail.docx", "A 51258-2025")</f>
        <v/>
      </c>
      <c r="AE117">
        <f>HYPERLINK("https://klasma.github.io/Logging_2582/fåglar/A 51258-2025 prioriterade fågelarter.docx", "A 51258-2025")</f>
        <v/>
      </c>
    </row>
    <row r="118" ht="15" customHeight="1">
      <c r="A118" t="inlineStr">
        <is>
          <t>A 51304-2025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46225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1.3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Bollvitmossa</t>
        </is>
      </c>
      <c r="W118">
        <f>HYPERLINK("https://klasma.github.io/Logging_2582/artfynd/A 51304-2025 artfynd.xlsx", "A 51304-2025")</f>
        <v/>
      </c>
      <c r="X118">
        <f>HYPERLINK("https://klasma.github.io/Logging_2582/kartor/A 51304-2025 karta.png", "A 51304-2025")</f>
        <v/>
      </c>
      <c r="Y118">
        <f>HYPERLINK("https://klasma.github.io/Logging_2582/kartor_geotiff/A 51304-2025 georefererad karta.tif", "A 51304-2025")</f>
        <v/>
      </c>
      <c r="AA118">
        <f>HYPERLINK("https://klasma.github.io/Logging_2582/klagomål/A 51304-2025 FSC-klagomål.docx", "A 51304-2025")</f>
        <v/>
      </c>
      <c r="AB118">
        <f>HYPERLINK("https://klasma.github.io/Logging_2582/klagomålsmail/A 51304-2025 FSC-klagomål mail.docx", "A 51304-2025")</f>
        <v/>
      </c>
      <c r="AC118">
        <f>HYPERLINK("https://klasma.github.io/Logging_2582/tillsyn/A 51304-2025 tillsynsbegäran.docx", "A 51304-2025")</f>
        <v/>
      </c>
      <c r="AD118">
        <f>HYPERLINK("https://klasma.github.io/Logging_2582/tillsynsmail/A 51304-2025 tillsynsbegäran mail.docx", "A 51304-2025")</f>
        <v/>
      </c>
    </row>
    <row r="119" ht="15" customHeight="1">
      <c r="A119" t="inlineStr">
        <is>
          <t>A 22892-2024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46225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0.8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Bollvitmossa</t>
        </is>
      </c>
      <c r="W119">
        <f>HYPERLINK("https://klasma.github.io/Logging_2582/artfynd/A 22892-2024 artfynd.xlsx", "A 22892-2024")</f>
        <v/>
      </c>
      <c r="X119">
        <f>HYPERLINK("https://klasma.github.io/Logging_2582/kartor/A 22892-2024 karta.png", "A 22892-2024")</f>
        <v/>
      </c>
      <c r="Y119">
        <f>HYPERLINK("https://klasma.github.io/Logging_2582/kartor_geotiff/A 22892-2024 georefererad karta.tif", "A 22892-2024")</f>
        <v/>
      </c>
      <c r="AA119">
        <f>HYPERLINK("https://klasma.github.io/Logging_2582/klagomål/A 22892-2024 FSC-klagomål.docx", "A 22892-2024")</f>
        <v/>
      </c>
      <c r="AB119">
        <f>HYPERLINK("https://klasma.github.io/Logging_2582/klagomålsmail/A 22892-2024 FSC-klagomål mail.docx", "A 22892-2024")</f>
        <v/>
      </c>
      <c r="AC119">
        <f>HYPERLINK("https://klasma.github.io/Logging_2582/tillsyn/A 22892-2024 tillsynsbegäran.docx", "A 22892-2024")</f>
        <v/>
      </c>
      <c r="AD119">
        <f>HYPERLINK("https://klasma.github.io/Logging_2582/tillsynsmail/A 22892-2024 tillsynsbegäran mail.docx", "A 22892-2024")</f>
        <v/>
      </c>
    </row>
    <row r="120" ht="15" customHeight="1">
      <c r="A120" t="inlineStr">
        <is>
          <t>A 51874-2025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45952</v>
      </c>
      <c r="E120" s="1" t="n">
        <v>46225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Skinnlav</t>
        </is>
      </c>
      <c r="W120">
        <f>HYPERLINK("https://klasma.github.io/Logging_2582/artfynd/A 51874-2025 artfynd.xlsx", "A 51874-2025")</f>
        <v/>
      </c>
      <c r="X120">
        <f>HYPERLINK("https://klasma.github.io/Logging_2582/kartor/A 51874-2025 karta.png", "A 51874-2025")</f>
        <v/>
      </c>
      <c r="Y120">
        <f>HYPERLINK("https://klasma.github.io/Logging_2582/kartor_geotiff/A 51874-2025 georefererad karta.tif", "A 51874-2025")</f>
        <v/>
      </c>
      <c r="AA120">
        <f>HYPERLINK("https://klasma.github.io/Logging_2582/klagomål/A 51874-2025 FSC-klagomål.docx", "A 51874-2025")</f>
        <v/>
      </c>
      <c r="AB120">
        <f>HYPERLINK("https://klasma.github.io/Logging_2582/klagomålsmail/A 51874-2025 FSC-klagomål mail.docx", "A 51874-2025")</f>
        <v/>
      </c>
      <c r="AC120">
        <f>HYPERLINK("https://klasma.github.io/Logging_2582/tillsyn/A 51874-2025 tillsynsbegäran.docx", "A 51874-2025")</f>
        <v/>
      </c>
      <c r="AD120">
        <f>HYPERLINK("https://klasma.github.io/Logging_2582/tillsynsmail/A 51874-2025 tillsynsbegäran mail.docx", "A 51874-2025")</f>
        <v/>
      </c>
    </row>
    <row r="121" ht="15" customHeight="1">
      <c r="A121" t="inlineStr">
        <is>
          <t>A 53180-2025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46225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13.2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3</v>
      </c>
      <c r="U121" t="n">
        <v>3</v>
      </c>
      <c r="V121" s="2" t="inlineStr">
        <is>
          <t>Lunglav</t>
        </is>
      </c>
      <c r="W121">
        <f>HYPERLINK("https://klasma.github.io/Logging_2582/artfynd/A 53180-2025 artfynd.xlsx", "A 53180-2025")</f>
        <v/>
      </c>
      <c r="X121">
        <f>HYPERLINK("https://klasma.github.io/Logging_2582/kartor/A 53180-2025 karta.png", "A 53180-2025")</f>
        <v/>
      </c>
      <c r="Y121">
        <f>HYPERLINK("https://klasma.github.io/Logging_2582/kartor_geotiff/A 53180-2025 georefererad karta.tif", "A 53180-2025")</f>
        <v/>
      </c>
      <c r="AA121">
        <f>HYPERLINK("https://klasma.github.io/Logging_2582/klagomål/A 53180-2025 FSC-klagomål.docx", "A 53180-2025")</f>
        <v/>
      </c>
      <c r="AB121">
        <f>HYPERLINK("https://klasma.github.io/Logging_2582/klagomålsmail/A 53180-2025 FSC-klagomål mail.docx", "A 53180-2025")</f>
        <v/>
      </c>
      <c r="AC121">
        <f>HYPERLINK("https://klasma.github.io/Logging_2582/tillsyn/A 53180-2025 tillsynsbegäran.docx", "A 53180-2025")</f>
        <v/>
      </c>
      <c r="AD121">
        <f>HYPERLINK("https://klasma.github.io/Logging_2582/tillsynsmail/A 53180-2025 tillsynsbegäran mail.docx", "A 53180-2025")</f>
        <v/>
      </c>
    </row>
    <row r="122" ht="15" customHeight="1">
      <c r="A122" t="inlineStr">
        <is>
          <t>A 13568-2022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46225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Lavskrika</t>
        </is>
      </c>
      <c r="W122">
        <f>HYPERLINK("https://klasma.github.io/Logging_2582/artfynd/A 13568-2022 artfynd.xlsx", "A 13568-2022")</f>
        <v/>
      </c>
      <c r="X122">
        <f>HYPERLINK("https://klasma.github.io/Logging_2582/kartor/A 13568-2022 karta.png", "A 13568-2022")</f>
        <v/>
      </c>
      <c r="Y122">
        <f>HYPERLINK("https://klasma.github.io/Logging_2582/kartor_geotiff/A 13568-2022 georefererad karta.tif", "A 13568-2022")</f>
        <v/>
      </c>
      <c r="AA122">
        <f>HYPERLINK("https://klasma.github.io/Logging_2582/klagomål/A 13568-2022 FSC-klagomål.docx", "A 13568-2022")</f>
        <v/>
      </c>
      <c r="AB122">
        <f>HYPERLINK("https://klasma.github.io/Logging_2582/klagomålsmail/A 13568-2022 FSC-klagomål mail.docx", "A 13568-2022")</f>
        <v/>
      </c>
      <c r="AC122">
        <f>HYPERLINK("https://klasma.github.io/Logging_2582/tillsyn/A 13568-2022 tillsynsbegäran.docx", "A 13568-2022")</f>
        <v/>
      </c>
      <c r="AD122">
        <f>HYPERLINK("https://klasma.github.io/Logging_2582/tillsynsmail/A 13568-2022 tillsynsbegäran mail.docx", "A 13568-2022")</f>
        <v/>
      </c>
      <c r="AE122">
        <f>HYPERLINK("https://klasma.github.io/Logging_2582/fåglar/A 13568-2022 prioriterade fågelarter.docx", "A 13568-2022")</f>
        <v/>
      </c>
    </row>
    <row r="123" ht="15" customHeight="1">
      <c r="A123" t="inlineStr">
        <is>
          <t>A 53590-2025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46225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7.6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Gulskölding</t>
        </is>
      </c>
      <c r="W123">
        <f>HYPERLINK("https://klasma.github.io/Logging_2582/artfynd/A 53590-2025 artfynd.xlsx", "A 53590-2025")</f>
        <v/>
      </c>
      <c r="X123">
        <f>HYPERLINK("https://klasma.github.io/Logging_2582/kartor/A 53590-2025 karta.png", "A 53590-2025")</f>
        <v/>
      </c>
      <c r="Y123">
        <f>HYPERLINK("https://klasma.github.io/Logging_2582/kartor_geotiff/A 53590-2025 georefererad karta.tif", "A 53590-2025")</f>
        <v/>
      </c>
      <c r="AA123">
        <f>HYPERLINK("https://klasma.github.io/Logging_2582/klagomål/A 53590-2025 FSC-klagomål.docx", "A 53590-2025")</f>
        <v/>
      </c>
      <c r="AB123">
        <f>HYPERLINK("https://klasma.github.io/Logging_2582/klagomålsmail/A 53590-2025 FSC-klagomål mail.docx", "A 53590-2025")</f>
        <v/>
      </c>
      <c r="AC123">
        <f>HYPERLINK("https://klasma.github.io/Logging_2582/tillsyn/A 53590-2025 tillsynsbegäran.docx", "A 53590-2025")</f>
        <v/>
      </c>
      <c r="AD123">
        <f>HYPERLINK("https://klasma.github.io/Logging_2582/tillsynsmail/A 53590-2025 tillsynsbegäran mail.docx", "A 53590-2025")</f>
        <v/>
      </c>
    </row>
    <row r="124" ht="15" customHeight="1">
      <c r="A124" t="inlineStr">
        <is>
          <t>A 54563-2025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46225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10.3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Tallticka</t>
        </is>
      </c>
      <c r="W124">
        <f>HYPERLINK("https://klasma.github.io/Logging_2582/artfynd/A 54563-2025 artfynd.xlsx", "A 54563-2025")</f>
        <v/>
      </c>
      <c r="X124">
        <f>HYPERLINK("https://klasma.github.io/Logging_2582/kartor/A 54563-2025 karta.png", "A 54563-2025")</f>
        <v/>
      </c>
      <c r="Y124">
        <f>HYPERLINK("https://klasma.github.io/Logging_2582/kartor_geotiff/A 54563-2025 georefererad karta.tif", "A 54563-2025")</f>
        <v/>
      </c>
      <c r="AA124">
        <f>HYPERLINK("https://klasma.github.io/Logging_2582/klagomål/A 54563-2025 FSC-klagomål.docx", "A 54563-2025")</f>
        <v/>
      </c>
      <c r="AB124">
        <f>HYPERLINK("https://klasma.github.io/Logging_2582/klagomålsmail/A 54563-2025 FSC-klagomål mail.docx", "A 54563-2025")</f>
        <v/>
      </c>
      <c r="AC124">
        <f>HYPERLINK("https://klasma.github.io/Logging_2582/tillsyn/A 54563-2025 tillsynsbegäran.docx", "A 54563-2025")</f>
        <v/>
      </c>
      <c r="AD124">
        <f>HYPERLINK("https://klasma.github.io/Logging_2582/tillsynsmail/A 54563-2025 tillsynsbegäran mail.docx", "A 54563-2025")</f>
        <v/>
      </c>
    </row>
    <row r="125" ht="15" customHeight="1">
      <c r="A125" t="inlineStr">
        <is>
          <t>A 68560-2021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46225</v>
      </c>
      <c r="F125" t="inlineStr">
        <is>
          <t>NORRBOTTENS LÄN</t>
        </is>
      </c>
      <c r="G125" t="inlineStr">
        <is>
          <t>BODEN</t>
        </is>
      </c>
      <c r="I125" t="n">
        <v>3.5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Småflikig brosklav</t>
        </is>
      </c>
      <c r="W125">
        <f>HYPERLINK("https://klasma.github.io/Logging_2582/artfynd/A 68560-2021 artfynd.xlsx", "A 68560-2021")</f>
        <v/>
      </c>
      <c r="X125">
        <f>HYPERLINK("https://klasma.github.io/Logging_2582/kartor/A 68560-2021 karta.png", "A 68560-2021")</f>
        <v/>
      </c>
      <c r="Y125">
        <f>HYPERLINK("https://klasma.github.io/Logging_2582/kartor_geotiff/A 68560-2021 georefererad karta.tif", "A 68560-2021")</f>
        <v/>
      </c>
      <c r="AA125">
        <f>HYPERLINK("https://klasma.github.io/Logging_2582/klagomål/A 68560-2021 FSC-klagomål.docx", "A 68560-2021")</f>
        <v/>
      </c>
      <c r="AB125">
        <f>HYPERLINK("https://klasma.github.io/Logging_2582/klagomålsmail/A 68560-2021 FSC-klagomål mail.docx", "A 68560-2021")</f>
        <v/>
      </c>
      <c r="AC125">
        <f>HYPERLINK("https://klasma.github.io/Logging_2582/tillsyn/A 68560-2021 tillsynsbegäran.docx", "A 68560-2021")</f>
        <v/>
      </c>
      <c r="AD125">
        <f>HYPERLINK("https://klasma.github.io/Logging_2582/tillsynsmail/A 68560-2021 tillsynsbegäran mail.docx", "A 68560-2021")</f>
        <v/>
      </c>
    </row>
    <row r="126" ht="15" customHeight="1">
      <c r="A126" t="inlineStr">
        <is>
          <t>A 19580-2026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46225</v>
      </c>
      <c r="F126" t="inlineStr">
        <is>
          <t>NORRBOTTENS LÄN</t>
        </is>
      </c>
      <c r="G126" t="inlineStr">
        <is>
          <t>BODEN</t>
        </is>
      </c>
      <c r="I126" t="n">
        <v>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Dropptaggsvamp</t>
        </is>
      </c>
      <c r="W126">
        <f>HYPERLINK("https://klasma.github.io/Logging_2582/artfynd/A 19580-2026 artfynd.xlsx", "A 19580-2026")</f>
        <v/>
      </c>
      <c r="X126">
        <f>HYPERLINK("https://klasma.github.io/Logging_2582/kartor/A 19580-2026 karta.png", "A 19580-2026")</f>
        <v/>
      </c>
      <c r="Y126">
        <f>HYPERLINK("https://klasma.github.io/Logging_2582/kartor_geotiff/A 19580-2026 georefererad karta.tif", "A 19580-2026")</f>
        <v/>
      </c>
      <c r="AA126">
        <f>HYPERLINK("https://klasma.github.io/Logging_2582/klagomål/A 19580-2026 FSC-klagomål.docx", "A 19580-2026")</f>
        <v/>
      </c>
      <c r="AB126">
        <f>HYPERLINK("https://klasma.github.io/Logging_2582/klagomålsmail/A 19580-2026 FSC-klagomål mail.docx", "A 19580-2026")</f>
        <v/>
      </c>
      <c r="AC126">
        <f>HYPERLINK("https://klasma.github.io/Logging_2582/tillsyn/A 19580-2026 tillsynsbegäran.docx", "A 19580-2026")</f>
        <v/>
      </c>
      <c r="AD126">
        <f>HYPERLINK("https://klasma.github.io/Logging_2582/tillsynsmail/A 19580-2026 tillsynsbegäran mail.docx", "A 19580-2026")</f>
        <v/>
      </c>
    </row>
    <row r="127" ht="15" customHeight="1">
      <c r="A127" t="inlineStr">
        <is>
          <t>A 41087-2024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45559</v>
      </c>
      <c r="E127" s="1" t="n">
        <v>46225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HYPERLINK("https://klasma.github.io/Logging_2582/artfynd/A 41087-2024 artfynd.xlsx", "A 41087-2024")</f>
        <v/>
      </c>
      <c r="X127">
        <f>HYPERLINK("https://klasma.github.io/Logging_2582/kartor/A 41087-2024 karta.png", "A 41087-2024")</f>
        <v/>
      </c>
      <c r="Y127">
        <f>HYPERLINK("https://klasma.github.io/Logging_2582/kartor_geotiff/A 41087-2024 georefererad karta.tif", "A 41087-2024")</f>
        <v/>
      </c>
      <c r="AA127">
        <f>HYPERLINK("https://klasma.github.io/Logging_2582/klagomål/A 41087-2024 FSC-klagomål.docx", "A 41087-2024")</f>
        <v/>
      </c>
      <c r="AB127">
        <f>HYPERLINK("https://klasma.github.io/Logging_2582/klagomålsmail/A 41087-2024 FSC-klagomål mail.docx", "A 41087-2024")</f>
        <v/>
      </c>
      <c r="AC127">
        <f>HYPERLINK("https://klasma.github.io/Logging_2582/tillsyn/A 41087-2024 tillsynsbegäran.docx", "A 41087-2024")</f>
        <v/>
      </c>
      <c r="AD127">
        <f>HYPERLINK("https://klasma.github.io/Logging_2582/tillsynsmail/A 41087-2024 tillsynsbegäran mail.docx", "A 41087-2024")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46225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46225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46225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HYPERLINK("https://klasma.github.io/Logging_2582/artfynd/A 60196-2025 artfynd.xlsx", "A 60196-2025")</f>
        <v/>
      </c>
      <c r="X130">
        <f>HYPERLINK("https://klasma.github.io/Logging_2582/kartor/A 60196-2025 karta.png", "A 60196-2025")</f>
        <v/>
      </c>
      <c r="Y130">
        <f>HYPERLINK("https://klasma.github.io/Logging_2582/kartor_geotiff/A 60196-2025 georefererad karta.tif", "A 60196-2025")</f>
        <v/>
      </c>
      <c r="AA130">
        <f>HYPERLINK("https://klasma.github.io/Logging_2582/klagomål/A 60196-2025 FSC-klagomål.docx", "A 60196-2025")</f>
        <v/>
      </c>
      <c r="AB130">
        <f>HYPERLINK("https://klasma.github.io/Logging_2582/klagomålsmail/A 60196-2025 FSC-klagomål mail.docx", "A 60196-2025")</f>
        <v/>
      </c>
      <c r="AC130">
        <f>HYPERLINK("https://klasma.github.io/Logging_2582/tillsyn/A 60196-2025 tillsynsbegäran.docx", "A 60196-2025")</f>
        <v/>
      </c>
      <c r="AD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46225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46225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Vitgrynig nållav</t>
        </is>
      </c>
      <c r="W132">
        <f>HYPERLINK("https://klasma.github.io/Logging_2582/artfynd/A 62002-2025 artfynd.xlsx", "A 62002-2025")</f>
        <v/>
      </c>
      <c r="X132">
        <f>HYPERLINK("https://klasma.github.io/Logging_2582/kartor/A 62002-2025 karta.png", "A 62002-2025")</f>
        <v/>
      </c>
      <c r="Y132">
        <f>HYPERLINK("https://klasma.github.io/Logging_2582/kartor_geotiff/A 62002-2025 georefererad karta.tif", "A 62002-2025")</f>
        <v/>
      </c>
      <c r="AA132">
        <f>HYPERLINK("https://klasma.github.io/Logging_2582/klagomål/A 62002-2025 FSC-klagomål.docx", "A 62002-2025")</f>
        <v/>
      </c>
      <c r="AB132">
        <f>HYPERLINK("https://klasma.github.io/Logging_2582/klagomålsmail/A 62002-2025 FSC-klagomål mail.docx", "A 62002-2025")</f>
        <v/>
      </c>
      <c r="AC132">
        <f>HYPERLINK("https://klasma.github.io/Logging_2582/tillsyn/A 62002-2025 tillsynsbegäran.docx", "A 62002-2025")</f>
        <v/>
      </c>
      <c r="AD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26690-2026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46184</v>
      </c>
      <c r="E133" s="1" t="n">
        <v>46225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11.9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Knärot</t>
        </is>
      </c>
      <c r="W133">
        <f>HYPERLINK("https://klasma.github.io/Logging_2582/artfynd/A 26690-2026 artfynd.xlsx", "A 26690-2026")</f>
        <v/>
      </c>
      <c r="X133">
        <f>HYPERLINK("https://klasma.github.io/Logging_2582/kartor/A 26690-2026 karta.png", "A 26690-2026")</f>
        <v/>
      </c>
      <c r="Y133">
        <f>HYPERLINK("https://klasma.github.io/Logging_2582/kartor_geotiff/A 26690-2026 georefererad karta.tif", "A 26690-2026")</f>
        <v/>
      </c>
      <c r="Z133">
        <f>HYPERLINK("https://klasma.github.io/Logging_2582/knärot/A 26690-2026 karta knärot.png", "A 26690-2026")</f>
        <v/>
      </c>
      <c r="AA133">
        <f>HYPERLINK("https://klasma.github.io/Logging_2582/klagomål/A 26690-2026 FSC-klagomål.docx", "A 26690-2026")</f>
        <v/>
      </c>
      <c r="AB133">
        <f>HYPERLINK("https://klasma.github.io/Logging_2582/klagomålsmail/A 26690-2026 FSC-klagomål mail.docx", "A 26690-2026")</f>
        <v/>
      </c>
      <c r="AC133">
        <f>HYPERLINK("https://klasma.github.io/Logging_2582/tillsyn/A 26690-2026 tillsynsbegäran.docx", "A 26690-2026")</f>
        <v/>
      </c>
      <c r="AD133">
        <f>HYPERLINK("https://klasma.github.io/Logging_2582/tillsynsmail/A 26690-2026 tillsynsbegäran mail.docx", "A 26690-2026")</f>
        <v/>
      </c>
    </row>
    <row r="134" ht="15" customHeight="1">
      <c r="A134" t="inlineStr">
        <is>
          <t>A 26438-2026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46183</v>
      </c>
      <c r="E134" s="1" t="n">
        <v>46225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15.9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Kolflarnlav</t>
        </is>
      </c>
      <c r="W134">
        <f>HYPERLINK("https://klasma.github.io/Logging_2582/artfynd/A 26438-2026 artfynd.xlsx", "A 26438-2026")</f>
        <v/>
      </c>
      <c r="X134">
        <f>HYPERLINK("https://klasma.github.io/Logging_2582/kartor/A 26438-2026 karta.png", "A 26438-2026")</f>
        <v/>
      </c>
      <c r="Y134">
        <f>HYPERLINK("https://klasma.github.io/Logging_2582/kartor_geotiff/A 26438-2026 georefererad karta.tif", "A 26438-2026")</f>
        <v/>
      </c>
      <c r="AA134">
        <f>HYPERLINK("https://klasma.github.io/Logging_2582/klagomål/A 26438-2026 FSC-klagomål.docx", "A 26438-2026")</f>
        <v/>
      </c>
      <c r="AB134">
        <f>HYPERLINK("https://klasma.github.io/Logging_2582/klagomålsmail/A 26438-2026 FSC-klagomål mail.docx", "A 26438-2026")</f>
        <v/>
      </c>
      <c r="AC134">
        <f>HYPERLINK("https://klasma.github.io/Logging_2582/tillsyn/A 26438-2026 tillsynsbegäran.docx", "A 26438-2026")</f>
        <v/>
      </c>
      <c r="AD134">
        <f>HYPERLINK("https://klasma.github.io/Logging_2582/tillsynsmail/A 26438-2026 tillsynsbegäran mail.docx", "A 26438-2026")</f>
        <v/>
      </c>
    </row>
    <row r="135" ht="15" customHeight="1">
      <c r="A135" t="inlineStr">
        <is>
          <t>A 21310-2026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46225</v>
      </c>
      <c r="F135" t="inlineStr">
        <is>
          <t>NORRBOTTENS LÄN</t>
        </is>
      </c>
      <c r="G135" t="inlineStr">
        <is>
          <t>BODEN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HYPERLINK("https://klasma.github.io/Logging_2582/artfynd/A 21310-2026 artfynd.xlsx", "A 21310-2026")</f>
        <v/>
      </c>
      <c r="X135">
        <f>HYPERLINK("https://klasma.github.io/Logging_2582/kartor/A 21310-2026 karta.png", "A 21310-2026")</f>
        <v/>
      </c>
      <c r="Y135">
        <f>HYPERLINK("https://klasma.github.io/Logging_2582/kartor_geotiff/A 21310-2026 georefererad karta.tif", "A 21310-2026")</f>
        <v/>
      </c>
      <c r="AA135">
        <f>HYPERLINK("https://klasma.github.io/Logging_2582/klagomål/A 21310-2026 FSC-klagomål.docx", "A 21310-2026")</f>
        <v/>
      </c>
      <c r="AB135">
        <f>HYPERLINK("https://klasma.github.io/Logging_2582/klagomålsmail/A 21310-2026 FSC-klagomål mail.docx", "A 21310-2026")</f>
        <v/>
      </c>
      <c r="AC135">
        <f>HYPERLINK("https://klasma.github.io/Logging_2582/tillsyn/A 21310-2026 tillsynsbegäran.docx", "A 21310-2026")</f>
        <v/>
      </c>
      <c r="AD135">
        <f>HYPERLINK("https://klasma.github.io/Logging_2582/tillsynsmail/A 21310-2026 tillsynsbegäran mail.docx", "A 21310-2026")</f>
        <v/>
      </c>
    </row>
    <row r="136" ht="15" customHeight="1">
      <c r="A136" t="inlineStr">
        <is>
          <t>A 29875-2026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46225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Tallticka</t>
        </is>
      </c>
      <c r="W136">
        <f>HYPERLINK("https://klasma.github.io/Logging_2582/artfynd/A 29875-2026 artfynd.xlsx", "A 29875-2026")</f>
        <v/>
      </c>
      <c r="X136">
        <f>HYPERLINK("https://klasma.github.io/Logging_2582/kartor/A 29875-2026 karta.png", "A 29875-2026")</f>
        <v/>
      </c>
      <c r="Y136">
        <f>HYPERLINK("https://klasma.github.io/Logging_2582/kartor_geotiff/A 29875-2026 georefererad karta.tif", "A 29875-2026")</f>
        <v/>
      </c>
      <c r="AA136">
        <f>HYPERLINK("https://klasma.github.io/Logging_2582/klagomål/A 29875-2026 FSC-klagomål.docx", "A 29875-2026")</f>
        <v/>
      </c>
      <c r="AB136">
        <f>HYPERLINK("https://klasma.github.io/Logging_2582/klagomålsmail/A 29875-2026 FSC-klagomål mail.docx", "A 29875-2026")</f>
        <v/>
      </c>
      <c r="AC136">
        <f>HYPERLINK("https://klasma.github.io/Logging_2582/tillsyn/A 29875-2026 tillsynsbegäran.docx", "A 29875-2026")</f>
        <v/>
      </c>
      <c r="AD136">
        <f>HYPERLINK("https://klasma.github.io/Logging_2582/tillsynsmail/A 29875-2026 tillsynsbegäran mail.docx", "A 29875-2026")</f>
        <v/>
      </c>
    </row>
    <row r="137" ht="15" customHeight="1">
      <c r="A137" t="inlineStr">
        <is>
          <t>A 12832-2022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46225</v>
      </c>
      <c r="F137" t="inlineStr">
        <is>
          <t>NORRBOTTENS LÄN</t>
        </is>
      </c>
      <c r="G137" t="inlineStr">
        <is>
          <t>BODEN</t>
        </is>
      </c>
      <c r="I137" t="n">
        <v>6.6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Doftticka</t>
        </is>
      </c>
      <c r="W137">
        <f>HYPERLINK("https://klasma.github.io/Logging_2582/artfynd/A 12832-2022 artfynd.xlsx", "A 12832-2022")</f>
        <v/>
      </c>
      <c r="X137">
        <f>HYPERLINK("https://klasma.github.io/Logging_2582/kartor/A 12832-2022 karta.png", "A 12832-2022")</f>
        <v/>
      </c>
      <c r="Y137">
        <f>HYPERLINK("https://klasma.github.io/Logging_2582/kartor_geotiff/A 12832-2022 georefererad karta.tif", "A 12832-2022")</f>
        <v/>
      </c>
      <c r="AA137">
        <f>HYPERLINK("https://klasma.github.io/Logging_2582/klagomål/A 12832-2022 FSC-klagomål.docx", "A 12832-2022")</f>
        <v/>
      </c>
      <c r="AB137">
        <f>HYPERLINK("https://klasma.github.io/Logging_2582/klagomålsmail/A 12832-2022 FSC-klagomål mail.docx", "A 12832-2022")</f>
        <v/>
      </c>
      <c r="AC137">
        <f>HYPERLINK("https://klasma.github.io/Logging_2582/tillsyn/A 12832-2022 tillsynsbegäran.docx", "A 12832-2022")</f>
        <v/>
      </c>
      <c r="AD137">
        <f>HYPERLINK("https://klasma.github.io/Logging_2582/tillsynsmail/A 12832-2022 tillsynsbegäran mail.docx", "A 12832-2022")</f>
        <v/>
      </c>
    </row>
    <row r="138" ht="15" customHeight="1">
      <c r="A138" t="inlineStr">
        <is>
          <t>A 24429-2026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46225</v>
      </c>
      <c r="F138" t="inlineStr">
        <is>
          <t>NORRBOTTENS LÄN</t>
        </is>
      </c>
      <c r="G138" t="inlineStr">
        <is>
          <t>BODEN</t>
        </is>
      </c>
      <c r="I138" t="n">
        <v>0.5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Fläcknycklar</t>
        </is>
      </c>
      <c r="W138">
        <f>HYPERLINK("https://klasma.github.io/Logging_2582/artfynd/A 24429-2026 artfynd.xlsx", "A 24429-2026")</f>
        <v/>
      </c>
      <c r="X138">
        <f>HYPERLINK("https://klasma.github.io/Logging_2582/kartor/A 24429-2026 karta.png", "A 24429-2026")</f>
        <v/>
      </c>
      <c r="Y138">
        <f>HYPERLINK("https://klasma.github.io/Logging_2582/kartor_geotiff/A 24429-2026 georefererad karta.tif", "A 24429-2026")</f>
        <v/>
      </c>
      <c r="AA138">
        <f>HYPERLINK("https://klasma.github.io/Logging_2582/klagomål/A 24429-2026 FSC-klagomål.docx", "A 24429-2026")</f>
        <v/>
      </c>
      <c r="AB138">
        <f>HYPERLINK("https://klasma.github.io/Logging_2582/klagomålsmail/A 24429-2026 FSC-klagomål mail.docx", "A 24429-2026")</f>
        <v/>
      </c>
      <c r="AC138">
        <f>HYPERLINK("https://klasma.github.io/Logging_2582/tillsyn/A 24429-2026 tillsynsbegäran.docx", "A 24429-2026")</f>
        <v/>
      </c>
      <c r="AD138">
        <f>HYPERLINK("https://klasma.github.io/Logging_2582/tillsynsmail/A 24429-2026 tillsynsbegäran mail.docx", "A 24429-2026")</f>
        <v/>
      </c>
    </row>
    <row r="139" ht="15" customHeight="1">
      <c r="A139" t="inlineStr">
        <is>
          <t>A 25805-2026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46225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3.6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HYPERLINK("https://klasma.github.io/Logging_2582/artfynd/A 25805-2026 artfynd.xlsx", "A 25805-2026")</f>
        <v/>
      </c>
      <c r="X139">
        <f>HYPERLINK("https://klasma.github.io/Logging_2582/kartor/A 25805-2026 karta.png", "A 25805-2026")</f>
        <v/>
      </c>
      <c r="Y139">
        <f>HYPERLINK("https://klasma.github.io/Logging_2582/kartor_geotiff/A 25805-2026 georefererad karta.tif", "A 25805-2026")</f>
        <v/>
      </c>
      <c r="AA139">
        <f>HYPERLINK("https://klasma.github.io/Logging_2582/klagomål/A 25805-2026 FSC-klagomål.docx", "A 25805-2026")</f>
        <v/>
      </c>
      <c r="AB139">
        <f>HYPERLINK("https://klasma.github.io/Logging_2582/klagomålsmail/A 25805-2026 FSC-klagomål mail.docx", "A 25805-2026")</f>
        <v/>
      </c>
      <c r="AC139">
        <f>HYPERLINK("https://klasma.github.io/Logging_2582/tillsyn/A 25805-2026 tillsynsbegäran.docx", "A 25805-2026")</f>
        <v/>
      </c>
      <c r="AD139">
        <f>HYPERLINK("https://klasma.github.io/Logging_2582/tillsynsmail/A 25805-2026 tillsynsbegäran mail.docx", "A 25805-2026")</f>
        <v/>
      </c>
    </row>
    <row r="140" ht="15" customHeight="1">
      <c r="A140" t="inlineStr">
        <is>
          <t>A 25801-2026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46225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HYPERLINK("https://klasma.github.io/Logging_2582/artfynd/A 25801-2026 artfynd.xlsx", "A 25801-2026")</f>
        <v/>
      </c>
      <c r="X140">
        <f>HYPERLINK("https://klasma.github.io/Logging_2582/kartor/A 25801-2026 karta.png", "A 25801-2026")</f>
        <v/>
      </c>
      <c r="Y140">
        <f>HYPERLINK("https://klasma.github.io/Logging_2582/kartor_geotiff/A 25801-2026 georefererad karta.tif", "A 25801-2026")</f>
        <v/>
      </c>
      <c r="Z140">
        <f>HYPERLINK("https://klasma.github.io/Logging_2582/knärot/A 25801-2026 karta knärot.png", "A 25801-2026")</f>
        <v/>
      </c>
      <c r="AA140">
        <f>HYPERLINK("https://klasma.github.io/Logging_2582/klagomål/A 25801-2026 FSC-klagomål.docx", "A 25801-2026")</f>
        <v/>
      </c>
      <c r="AB140">
        <f>HYPERLINK("https://klasma.github.io/Logging_2582/klagomålsmail/A 25801-2026 FSC-klagomål mail.docx", "A 25801-2026")</f>
        <v/>
      </c>
      <c r="AC140">
        <f>HYPERLINK("https://klasma.github.io/Logging_2582/tillsyn/A 25801-2026 tillsynsbegäran.docx", "A 25801-2026")</f>
        <v/>
      </c>
      <c r="AD140">
        <f>HYPERLINK("https://klasma.github.io/Logging_2582/tillsynsmail/A 25801-2026 tillsynsbegäran mail.docx", "A 25801-2026")</f>
        <v/>
      </c>
    </row>
    <row r="141" ht="15" customHeight="1">
      <c r="A141" t="inlineStr">
        <is>
          <t>A 25803-2026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46225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9.9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Spindelblomster</t>
        </is>
      </c>
      <c r="W141">
        <f>HYPERLINK("https://klasma.github.io/Logging_2582/artfynd/A 25803-2026 artfynd.xlsx", "A 25803-2026")</f>
        <v/>
      </c>
      <c r="X141">
        <f>HYPERLINK("https://klasma.github.io/Logging_2582/kartor/A 25803-2026 karta.png", "A 25803-2026")</f>
        <v/>
      </c>
      <c r="Y141">
        <f>HYPERLINK("https://klasma.github.io/Logging_2582/kartor_geotiff/A 25803-2026 georefererad karta.tif", "A 25803-2026")</f>
        <v/>
      </c>
      <c r="AA141">
        <f>HYPERLINK("https://klasma.github.io/Logging_2582/klagomål/A 25803-2026 FSC-klagomål.docx", "A 25803-2026")</f>
        <v/>
      </c>
      <c r="AB141">
        <f>HYPERLINK("https://klasma.github.io/Logging_2582/klagomålsmail/A 25803-2026 FSC-klagomål mail.docx", "A 25803-2026")</f>
        <v/>
      </c>
      <c r="AC141">
        <f>HYPERLINK("https://klasma.github.io/Logging_2582/tillsyn/A 25803-2026 tillsynsbegäran.docx", "A 25803-2026")</f>
        <v/>
      </c>
      <c r="AD141">
        <f>HYPERLINK("https://klasma.github.io/Logging_2582/tillsynsmail/A 25803-2026 tillsynsbegäran mail.docx", "A 25803-2026")</f>
        <v/>
      </c>
    </row>
    <row r="142" ht="15" customHeight="1">
      <c r="A142" t="inlineStr">
        <is>
          <t>A 19396-2022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46225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13.1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HYPERLINK("https://klasma.github.io/Logging_2582/artfynd/A 19396-2022 artfynd.xlsx", "A 19396-2022")</f>
        <v/>
      </c>
      <c r="X142">
        <f>HYPERLINK("https://klasma.github.io/Logging_2582/kartor/A 19396-2022 karta.png", "A 19396-2022")</f>
        <v/>
      </c>
      <c r="Y142">
        <f>HYPERLINK("https://klasma.github.io/Logging_2582/kartor_geotiff/A 19396-2022 georefererad karta.tif", "A 19396-2022")</f>
        <v/>
      </c>
      <c r="AA142">
        <f>HYPERLINK("https://klasma.github.io/Logging_2582/klagomål/A 19396-2022 FSC-klagomål.docx", "A 19396-2022")</f>
        <v/>
      </c>
      <c r="AB142">
        <f>HYPERLINK("https://klasma.github.io/Logging_2582/klagomålsmail/A 19396-2022 FSC-klagomål mail.docx", "A 19396-2022")</f>
        <v/>
      </c>
      <c r="AC142">
        <f>HYPERLINK("https://klasma.github.io/Logging_2582/tillsyn/A 19396-2022 tillsynsbegäran.docx", "A 19396-2022")</f>
        <v/>
      </c>
      <c r="AD142">
        <f>HYPERLINK("https://klasma.github.io/Logging_2582/tillsynsmail/A 19396-2022 tillsynsbegäran mail.docx", "A 19396-2022")</f>
        <v/>
      </c>
    </row>
    <row r="143" ht="15" customHeight="1">
      <c r="A143" t="inlineStr">
        <is>
          <t>A 52078-2021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44463</v>
      </c>
      <c r="E143" s="1" t="n">
        <v>46225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4</v>
      </c>
      <c r="U143" t="n">
        <v>4</v>
      </c>
      <c r="V143" s="2" t="inlineStr">
        <is>
          <t>Knärot</t>
        </is>
      </c>
      <c r="W143">
        <f>HYPERLINK("https://klasma.github.io/Logging_2582/artfynd/A 52078-2021 artfynd.xlsx", "A 52078-2021")</f>
        <v/>
      </c>
      <c r="X143">
        <f>HYPERLINK("https://klasma.github.io/Logging_2582/kartor/A 52078-2021 karta.png", "A 52078-2021")</f>
        <v/>
      </c>
      <c r="Y143">
        <f>HYPERLINK("https://klasma.github.io/Logging_2582/kartor_geotiff/A 52078-2021 georefererad karta.tif", "A 52078-2021")</f>
        <v/>
      </c>
      <c r="Z143">
        <f>HYPERLINK("https://klasma.github.io/Logging_2582/knärot/A 52078-2021 karta knärot.png", "A 52078-2021")</f>
        <v/>
      </c>
      <c r="AA143">
        <f>HYPERLINK("https://klasma.github.io/Logging_2582/klagomål/A 52078-2021 FSC-klagomål.docx", "A 52078-2021")</f>
        <v/>
      </c>
      <c r="AB143">
        <f>HYPERLINK("https://klasma.github.io/Logging_2582/klagomålsmail/A 52078-2021 FSC-klagomål mail.docx", "A 52078-2021")</f>
        <v/>
      </c>
      <c r="AC143">
        <f>HYPERLINK("https://klasma.github.io/Logging_2582/tillsyn/A 52078-2021 tillsynsbegäran.docx", "A 52078-2021")</f>
        <v/>
      </c>
      <c r="AD143">
        <f>HYPERLINK("https://klasma.github.io/Logging_2582/tillsynsmail/A 52078-2021 tillsynsbegäran mail.docx", "A 52078-2021")</f>
        <v/>
      </c>
    </row>
    <row r="144" ht="15" customHeight="1">
      <c r="A144" t="inlineStr">
        <is>
          <t>A 665-2023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46225</v>
      </c>
      <c r="F144" t="inlineStr">
        <is>
          <t>NORRBOTTENS LÄN</t>
        </is>
      </c>
      <c r="G144" t="inlineStr">
        <is>
          <t>BODEN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Duvhök</t>
        </is>
      </c>
      <c r="W144">
        <f>HYPERLINK("https://klasma.github.io/Logging_2582/artfynd/A 665-2023 artfynd.xlsx", "A 665-2023")</f>
        <v/>
      </c>
      <c r="X144">
        <f>HYPERLINK("https://klasma.github.io/Logging_2582/kartor/A 665-2023 karta.png", "A 665-2023")</f>
        <v/>
      </c>
      <c r="Y144">
        <f>HYPERLINK("https://klasma.github.io/Logging_2582/kartor_geotiff/A 665-2023 georefererad karta.tif", "A 665-2023")</f>
        <v/>
      </c>
      <c r="AA144">
        <f>HYPERLINK("https://klasma.github.io/Logging_2582/klagomål/A 665-2023 FSC-klagomål.docx", "A 665-2023")</f>
        <v/>
      </c>
      <c r="AB144">
        <f>HYPERLINK("https://klasma.github.io/Logging_2582/klagomålsmail/A 665-2023 FSC-klagomål mail.docx", "A 665-2023")</f>
        <v/>
      </c>
      <c r="AC144">
        <f>HYPERLINK("https://klasma.github.io/Logging_2582/tillsyn/A 665-2023 tillsynsbegäran.docx", "A 665-2023")</f>
        <v/>
      </c>
      <c r="AD144">
        <f>HYPERLINK("https://klasma.github.io/Logging_2582/tillsynsmail/A 665-2023 tillsynsbegäran mail.docx", "A 665-2023")</f>
        <v/>
      </c>
      <c r="AE144">
        <f>HYPERLINK("https://klasma.github.io/Logging_2582/fåglar/A 665-2023 prioriterade fågelarter.docx", "A 665-2023")</f>
        <v/>
      </c>
    </row>
    <row r="145" ht="15" customHeight="1">
      <c r="A145" t="inlineStr">
        <is>
          <t>A 2568-2024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46225</v>
      </c>
      <c r="F145" t="inlineStr">
        <is>
          <t>NORRBOTTENS LÄN</t>
        </is>
      </c>
      <c r="G145" t="inlineStr">
        <is>
          <t>BODEN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HYPERLINK("https://klasma.github.io/Logging_2582/artfynd/A 2568-2024 artfynd.xlsx", "A 2568-2024")</f>
        <v/>
      </c>
      <c r="X145">
        <f>HYPERLINK("https://klasma.github.io/Logging_2582/kartor/A 2568-2024 karta.png", "A 2568-2024")</f>
        <v/>
      </c>
      <c r="Y145">
        <f>HYPERLINK("https://klasma.github.io/Logging_2582/kartor_geotiff/A 2568-2024 georefererad karta.tif", "A 2568-2024")</f>
        <v/>
      </c>
      <c r="AA145">
        <f>HYPERLINK("https://klasma.github.io/Logging_2582/klagomål/A 2568-2024 FSC-klagomål.docx", "A 2568-2024")</f>
        <v/>
      </c>
      <c r="AB145">
        <f>HYPERLINK("https://klasma.github.io/Logging_2582/klagomålsmail/A 2568-2024 FSC-klagomål mail.docx", "A 2568-2024")</f>
        <v/>
      </c>
      <c r="AC145">
        <f>HYPERLINK("https://klasma.github.io/Logging_2582/tillsyn/A 2568-2024 tillsynsbegäran.docx", "A 2568-2024")</f>
        <v/>
      </c>
      <c r="AD145">
        <f>HYPERLINK("https://klasma.github.io/Logging_2582/tillsynsmail/A 2568-2024 tillsynsbegäran mail.docx", "A 2568-2024")</f>
        <v/>
      </c>
    </row>
    <row r="146" ht="15" customHeight="1">
      <c r="A146" t="inlineStr">
        <is>
          <t>A 36743-2024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46225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HYPERLINK("https://klasma.github.io/Logging_2582/artfynd/A 36743-2024 artfynd.xlsx", "A 36743-2024")</f>
        <v/>
      </c>
      <c r="X146">
        <f>HYPERLINK("https://klasma.github.io/Logging_2582/kartor/A 36743-2024 karta.png", "A 36743-2024")</f>
        <v/>
      </c>
      <c r="Y146">
        <f>HYPERLINK("https://klasma.github.io/Logging_2582/kartor_geotiff/A 36743-2024 georefererad karta.tif", "A 36743-2024")</f>
        <v/>
      </c>
      <c r="AA146">
        <f>HYPERLINK("https://klasma.github.io/Logging_2582/klagomål/A 36743-2024 FSC-klagomål.docx", "A 36743-2024")</f>
        <v/>
      </c>
      <c r="AB146">
        <f>HYPERLINK("https://klasma.github.io/Logging_2582/klagomålsmail/A 36743-2024 FSC-klagomål mail.docx", "A 36743-2024")</f>
        <v/>
      </c>
      <c r="AC146">
        <f>HYPERLINK("https://klasma.github.io/Logging_2582/tillsyn/A 36743-2024 tillsynsbegäran.docx", "A 36743-2024")</f>
        <v/>
      </c>
      <c r="AD146">
        <f>HYPERLINK("https://klasma.github.io/Logging_2582/tillsynsmail/A 36743-2024 tillsynsbegäran mail.docx", "A 36743-2024")</f>
        <v/>
      </c>
    </row>
    <row r="147" ht="15" customHeight="1">
      <c r="A147" t="inlineStr">
        <is>
          <t>A 68514-2021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46225</v>
      </c>
      <c r="F147" t="inlineStr">
        <is>
          <t>NORRBOTTENS LÄN</t>
        </is>
      </c>
      <c r="G147" t="inlineStr">
        <is>
          <t>BODEN</t>
        </is>
      </c>
      <c r="I147" t="n">
        <v>6.2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Spillkråka</t>
        </is>
      </c>
      <c r="W147">
        <f>HYPERLINK("https://klasma.github.io/Logging_2582/artfynd/A 68514-2021 artfynd.xlsx", "A 68514-2021")</f>
        <v/>
      </c>
      <c r="X147">
        <f>HYPERLINK("https://klasma.github.io/Logging_2582/kartor/A 68514-2021 karta.png", "A 68514-2021")</f>
        <v/>
      </c>
      <c r="Y147">
        <f>HYPERLINK("https://klasma.github.io/Logging_2582/kartor_geotiff/A 68514-2021 georefererad karta.tif", "A 68514-2021")</f>
        <v/>
      </c>
      <c r="Z147">
        <f>HYPERLINK("https://klasma.github.io/Logging_2582/knärot/A 68514-2021 karta knärot.png", "A 68514-2021")</f>
        <v/>
      </c>
      <c r="AA147">
        <f>HYPERLINK("https://klasma.github.io/Logging_2582/klagomål/A 68514-2021 FSC-klagomål.docx", "A 68514-2021")</f>
        <v/>
      </c>
      <c r="AB147">
        <f>HYPERLINK("https://klasma.github.io/Logging_2582/klagomålsmail/A 68514-2021 FSC-klagomål mail.docx", "A 68514-2021")</f>
        <v/>
      </c>
      <c r="AC147">
        <f>HYPERLINK("https://klasma.github.io/Logging_2582/tillsyn/A 68514-2021 tillsynsbegäran.docx", "A 68514-2021")</f>
        <v/>
      </c>
      <c r="AD147">
        <f>HYPERLINK("https://klasma.github.io/Logging_2582/tillsynsmail/A 68514-2021 tillsynsbegäran mail.docx", "A 68514-2021")</f>
        <v/>
      </c>
      <c r="AE147">
        <f>HYPERLINK("https://klasma.github.io/Logging_2582/fåglar/A 68514-2021 prioriterade fågelarter.docx", "A 68514-2021")</f>
        <v/>
      </c>
    </row>
    <row r="148" ht="15" customHeight="1">
      <c r="A148" t="inlineStr">
        <is>
          <t>A 16217-2024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46225</v>
      </c>
      <c r="F148" t="inlineStr">
        <is>
          <t>NORRBOTTENS LÄN</t>
        </is>
      </c>
      <c r="G148" t="inlineStr">
        <is>
          <t>BODEN</t>
        </is>
      </c>
      <c r="I148" t="n">
        <v>7.2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Videsparv</t>
        </is>
      </c>
      <c r="W148">
        <f>HYPERLINK("https://klasma.github.io/Logging_2582/artfynd/A 16217-2024 artfynd.xlsx", "A 16217-2024")</f>
        <v/>
      </c>
      <c r="X148">
        <f>HYPERLINK("https://klasma.github.io/Logging_2582/kartor/A 16217-2024 karta.png", "A 16217-2024")</f>
        <v/>
      </c>
      <c r="Y148">
        <f>HYPERLINK("https://klasma.github.io/Logging_2582/kartor_geotiff/A 16217-2024 georefererad karta.tif", "A 16217-2024")</f>
        <v/>
      </c>
      <c r="AA148">
        <f>HYPERLINK("https://klasma.github.io/Logging_2582/klagomål/A 16217-2024 FSC-klagomål.docx", "A 16217-2024")</f>
        <v/>
      </c>
      <c r="AB148">
        <f>HYPERLINK("https://klasma.github.io/Logging_2582/klagomålsmail/A 16217-2024 FSC-klagomål mail.docx", "A 16217-2024")</f>
        <v/>
      </c>
      <c r="AC148">
        <f>HYPERLINK("https://klasma.github.io/Logging_2582/tillsyn/A 16217-2024 tillsynsbegäran.docx", "A 16217-2024")</f>
        <v/>
      </c>
      <c r="AD148">
        <f>HYPERLINK("https://klasma.github.io/Logging_2582/tillsynsmail/A 16217-2024 tillsynsbegäran mail.docx", "A 16217-2024")</f>
        <v/>
      </c>
      <c r="AE148">
        <f>HYPERLINK("https://klasma.github.io/Logging_2582/fåglar/A 16217-2024 prioriterade fågelarter.docx", "A 16217-2024")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46225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Duvhök</t>
        </is>
      </c>
      <c r="W149">
        <f>HYPERLINK("https://klasma.github.io/Logging_2582/artfynd/S 187-2023 artfynd.xlsx", "S 187-2023")</f>
        <v/>
      </c>
      <c r="X149">
        <f>HYPERLINK("https://klasma.github.io/Logging_2582/kartor/S 187-2023 karta.png", "S 187-2023")</f>
        <v/>
      </c>
      <c r="Y149">
        <f>HYPERLINK("https://klasma.github.io/Logging_2582/kartor_geotiff/S 187-2023 georefererad karta.tif", "S 187-2023")</f>
        <v/>
      </c>
      <c r="AA149">
        <f>HYPERLINK("https://klasma.github.io/Logging_2582/klagomål/S 187-2023 FSC-klagomål.docx", "S 187-2023")</f>
        <v/>
      </c>
      <c r="AB149">
        <f>HYPERLINK("https://klasma.github.io/Logging_2582/klagomålsmail/S 187-2023 FSC-klagomål mail.docx", "S 187-2023")</f>
        <v/>
      </c>
      <c r="AC149">
        <f>HYPERLINK("https://klasma.github.io/Logging_2582/tillsyn/S 187-2023 tillsynsbegäran.docx", "S 187-2023")</f>
        <v/>
      </c>
      <c r="AD149">
        <f>HYPERLINK("https://klasma.github.io/Logging_2582/tillsynsmail/S 187-2023 tillsynsbegäran mail.docx", "S 187-2023")</f>
        <v/>
      </c>
      <c r="AE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46225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HYPERLINK("https://klasma.github.io/Logging_2582/artfynd/S 1448-2024 artfynd.xlsx", "S 1448-2024")</f>
        <v/>
      </c>
      <c r="X150">
        <f>HYPERLINK("https://klasma.github.io/Logging_2582/kartor/S 1448-2024 karta.png", "S 1448-2024")</f>
        <v/>
      </c>
      <c r="Y150">
        <f>HYPERLINK("https://klasma.github.io/Logging_2582/kartor_geotiff/S 1448-2024 georefererad karta.tif", "S 1448-2024")</f>
        <v/>
      </c>
      <c r="AA150">
        <f>HYPERLINK("https://klasma.github.io/Logging_2582/klagomål/S 1448-2024 FSC-klagomål.docx", "S 1448-2024")</f>
        <v/>
      </c>
      <c r="AB150">
        <f>HYPERLINK("https://klasma.github.io/Logging_2582/klagomålsmail/S 1448-2024 FSC-klagomål mail.docx", "S 1448-2024")</f>
        <v/>
      </c>
      <c r="AC150">
        <f>HYPERLINK("https://klasma.github.io/Logging_2582/tillsyn/S 1448-2024 tillsynsbegäran.docx", "S 1448-2024")</f>
        <v/>
      </c>
      <c r="AD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46225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HYPERLINK("https://klasma.github.io/Logging_2582/artfynd/S 1234-2023 artfynd.xlsx", "S 1234-2023")</f>
        <v/>
      </c>
      <c r="X151">
        <f>HYPERLINK("https://klasma.github.io/Logging_2582/kartor/S 1234-2023 karta.png", "S 1234-2023")</f>
        <v/>
      </c>
      <c r="Y151">
        <f>HYPERLINK("https://klasma.github.io/Logging_2582/kartor_geotiff/S 1234-2023 georefererad karta.tif", "S 1234-2023")</f>
        <v/>
      </c>
      <c r="AA151">
        <f>HYPERLINK("https://klasma.github.io/Logging_2582/klagomål/S 1234-2023 FSC-klagomål.docx", "S 1234-2023")</f>
        <v/>
      </c>
      <c r="AB151">
        <f>HYPERLINK("https://klasma.github.io/Logging_2582/klagomålsmail/S 1234-2023 FSC-klagomål mail.docx", "S 1234-2023")</f>
        <v/>
      </c>
      <c r="AC151">
        <f>HYPERLINK("https://klasma.github.io/Logging_2582/tillsyn/S 1234-2023 tillsynsbegäran.docx", "S 1234-2023")</f>
        <v/>
      </c>
      <c r="AD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46225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HYPERLINK("https://klasma.github.io/Logging_2582/artfynd/S 5116-2024 artfynd.xlsx", "S 5116-2024")</f>
        <v/>
      </c>
      <c r="X152">
        <f>HYPERLINK("https://klasma.github.io/Logging_2582/kartor/S 5116-2024 karta.png", "S 5116-2024")</f>
        <v/>
      </c>
      <c r="Y152">
        <f>HYPERLINK("https://klasma.github.io/Logging_2582/kartor_geotiff/S 5116-2024 georefererad karta.tif", "S 5116-2024")</f>
        <v/>
      </c>
      <c r="AA152">
        <f>HYPERLINK("https://klasma.github.io/Logging_2582/klagomål/S 5116-2024 FSC-klagomål.docx", "S 5116-2024")</f>
        <v/>
      </c>
      <c r="AB152">
        <f>HYPERLINK("https://klasma.github.io/Logging_2582/klagomålsmail/S 5116-2024 FSC-klagomål mail.docx", "S 5116-2024")</f>
        <v/>
      </c>
      <c r="AC152">
        <f>HYPERLINK("https://klasma.github.io/Logging_2582/tillsyn/S 5116-2024 tillsynsbegäran.docx", "S 5116-2024")</f>
        <v/>
      </c>
      <c r="AD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46225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Knärot</t>
        </is>
      </c>
      <c r="W153">
        <f>HYPERLINK("https://klasma.github.io/Logging_2582/artfynd/S 1634-2025 artfynd.xlsx", "S 1634-2025")</f>
        <v/>
      </c>
      <c r="X153">
        <f>HYPERLINK("https://klasma.github.io/Logging_2582/kartor/S 1634-2025 karta.png", "S 1634-2025")</f>
        <v/>
      </c>
      <c r="Y153">
        <f>HYPERLINK("https://klasma.github.io/Logging_2582/kartor_geotiff/S 1634-2025 georefererad karta.tif", "S 1634-2025")</f>
        <v/>
      </c>
      <c r="Z153">
        <f>HYPERLINK("https://klasma.github.io/Logging_2582/knärot/S 1634-2025 karta knärot.png", "S 1634-2025")</f>
        <v/>
      </c>
      <c r="AA153">
        <f>HYPERLINK("https://klasma.github.io/Logging_2582/klagomål/S 1634-2025 FSC-klagomål.docx", "S 1634-2025")</f>
        <v/>
      </c>
      <c r="AB153">
        <f>HYPERLINK("https://klasma.github.io/Logging_2582/klagomålsmail/S 1634-2025 FSC-klagomål mail.docx", "S 1634-2025")</f>
        <v/>
      </c>
      <c r="AC153">
        <f>HYPERLINK("https://klasma.github.io/Logging_2582/tillsyn/S 1634-2025 tillsynsbegäran.docx", "S 1634-2025")</f>
        <v/>
      </c>
      <c r="AD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46225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HYPERLINK("https://klasma.github.io/Logging_2582/artfynd/S 2450-2025 artfynd.xlsx", "S 2450-2025")</f>
        <v/>
      </c>
      <c r="X154">
        <f>HYPERLINK("https://klasma.github.io/Logging_2582/kartor/S 2450-2025 karta.png", "S 2450-2025")</f>
        <v/>
      </c>
      <c r="Y154">
        <f>HYPERLINK("https://klasma.github.io/Logging_2582/kartor_geotiff/S 2450-2025 georefererad karta.tif", "S 2450-2025")</f>
        <v/>
      </c>
      <c r="AA154">
        <f>HYPERLINK("https://klasma.github.io/Logging_2582/klagomål/S 2450-2025 FSC-klagomål.docx", "S 2450-2025")</f>
        <v/>
      </c>
      <c r="AB154">
        <f>HYPERLINK("https://klasma.github.io/Logging_2582/klagomålsmail/S 2450-2025 FSC-klagomål mail.docx", "S 2450-2025")</f>
        <v/>
      </c>
      <c r="AC154">
        <f>HYPERLINK("https://klasma.github.io/Logging_2582/tillsyn/S 2450-2025 tillsynsbegäran.docx", "S 2450-2025")</f>
        <v/>
      </c>
      <c r="AD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46225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HYPERLINK("https://klasma.github.io/Logging_2582/artfynd/S 2940-2025 artfynd.xlsx", "S 2940-2025")</f>
        <v/>
      </c>
      <c r="X155">
        <f>HYPERLINK("https://klasma.github.io/Logging_2582/kartor/S 2940-2025 karta.png", "S 2940-2025")</f>
        <v/>
      </c>
      <c r="Y155">
        <f>HYPERLINK("https://klasma.github.io/Logging_2582/kartor_geotiff/S 2940-2025 georefererad karta.tif", "S 2940-2025")</f>
        <v/>
      </c>
      <c r="AA155">
        <f>HYPERLINK("https://klasma.github.io/Logging_2582/klagomål/S 2940-2025 FSC-klagomål.docx", "S 2940-2025")</f>
        <v/>
      </c>
      <c r="AB155">
        <f>HYPERLINK("https://klasma.github.io/Logging_2582/klagomålsmail/S 2940-2025 FSC-klagomål mail.docx", "S 2940-2025")</f>
        <v/>
      </c>
      <c r="AC155">
        <f>HYPERLINK("https://klasma.github.io/Logging_2582/tillsyn/S 2940-2025 tillsynsbegäran.docx", "S 2940-2025")</f>
        <v/>
      </c>
      <c r="AD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46225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46225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46225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46225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46225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46225</v>
      </c>
      <c r="F161" t="inlineStr">
        <is>
          <t>NORRBOTTENS LÄN</t>
        </is>
      </c>
      <c r="G161" t="inlineStr">
        <is>
          <t>BODEN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46225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47277-2022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46225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51963-2021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44463</v>
      </c>
      <c r="E164" s="1" t="n">
        <v>46225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46225</v>
      </c>
      <c r="F165" t="inlineStr">
        <is>
          <t>NORRBOTTENS LÄN</t>
        </is>
      </c>
      <c r="G165" t="inlineStr">
        <is>
          <t>BODEN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46225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46225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46225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46225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46225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46225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46225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46225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46225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46225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46225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46225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46225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46225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46225</v>
      </c>
      <c r="F180" t="inlineStr">
        <is>
          <t>NORRBOTTENS LÄN</t>
        </is>
      </c>
      <c r="G180" t="inlineStr">
        <is>
          <t>BODEN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46225</v>
      </c>
      <c r="F181" t="inlineStr">
        <is>
          <t>NORRBOTTENS LÄN</t>
        </is>
      </c>
      <c r="G181" t="inlineStr">
        <is>
          <t>BODEN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46225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46225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46225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68914-2021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46225</v>
      </c>
      <c r="F185" t="inlineStr">
        <is>
          <t>NORRBOTTENS LÄN</t>
        </is>
      </c>
      <c r="G185" t="inlineStr">
        <is>
          <t>BODEN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13552-2022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46225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46225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46225</v>
      </c>
      <c r="F188" t="inlineStr">
        <is>
          <t>NORRBOTTENS LÄN</t>
        </is>
      </c>
      <c r="G188" t="inlineStr">
        <is>
          <t>BODEN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46225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46225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46225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46225</v>
      </c>
      <c r="F192" t="inlineStr">
        <is>
          <t>NORRBOTTENS LÄN</t>
        </is>
      </c>
      <c r="G192" t="inlineStr">
        <is>
          <t>BODEN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46225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44438</v>
      </c>
      <c r="E194" s="1" t="n">
        <v>46225</v>
      </c>
      <c r="F194" t="inlineStr">
        <is>
          <t>NORRBOTTENS LÄN</t>
        </is>
      </c>
      <c r="G194" t="inlineStr">
        <is>
          <t>BODEN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44480</v>
      </c>
      <c r="E195" s="1" t="n">
        <v>46225</v>
      </c>
      <c r="F195" t="inlineStr">
        <is>
          <t>NORRBOTTENS LÄN</t>
        </is>
      </c>
      <c r="G195" t="inlineStr">
        <is>
          <t>BODEN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46225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44414</v>
      </c>
      <c r="E197" s="1" t="n">
        <v>46225</v>
      </c>
      <c r="F197" t="inlineStr">
        <is>
          <t>NORRBOTTENS LÄN</t>
        </is>
      </c>
      <c r="G197" t="inlineStr">
        <is>
          <t>BODEN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46225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46225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46225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46225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46225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46225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46225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46225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46225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46225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46225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46225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46225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46225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46225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46225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46225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46225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57583-2021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44484</v>
      </c>
      <c r="E216" s="1" t="n">
        <v>46225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46225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46225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46225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46225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46225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46225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46225</v>
      </c>
      <c r="F223" t="inlineStr">
        <is>
          <t>NORRBOTTENS LÄN</t>
        </is>
      </c>
      <c r="G223" t="inlineStr">
        <is>
          <t>BODEN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46225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44734</v>
      </c>
      <c r="E225" s="1" t="n">
        <v>46225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46225</v>
      </c>
      <c r="F226" t="inlineStr">
        <is>
          <t>NORRBOTTENS LÄN</t>
        </is>
      </c>
      <c r="G226" t="inlineStr">
        <is>
          <t>BODEN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46225</v>
      </c>
      <c r="F227" t="inlineStr">
        <is>
          <t>NORRBOTTENS LÄN</t>
        </is>
      </c>
      <c r="G227" t="inlineStr">
        <is>
          <t>BODEN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46225</v>
      </c>
      <c r="F228" t="inlineStr">
        <is>
          <t>NORRBOTTENS LÄN</t>
        </is>
      </c>
      <c r="G228" t="inlineStr">
        <is>
          <t>BODEN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46225</v>
      </c>
      <c r="F229" t="inlineStr">
        <is>
          <t>NORRBOTTENS LÄN</t>
        </is>
      </c>
      <c r="G229" t="inlineStr">
        <is>
          <t>BODEN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45301</v>
      </c>
      <c r="E230" s="1" t="n">
        <v>46225</v>
      </c>
      <c r="F230" t="inlineStr">
        <is>
          <t>NORRBOTTENS LÄN</t>
        </is>
      </c>
      <c r="G230" t="inlineStr">
        <is>
          <t>BODEN</t>
        </is>
      </c>
      <c r="H230" t="inlineStr">
        <is>
          <t>Övriga statliga verk och myndigheter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46225</v>
      </c>
      <c r="F231" t="inlineStr">
        <is>
          <t>NORRBOTTENS LÄN</t>
        </is>
      </c>
      <c r="G231" t="inlineStr">
        <is>
          <t>BODEN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45463</v>
      </c>
      <c r="E232" s="1" t="n">
        <v>46225</v>
      </c>
      <c r="F232" t="inlineStr">
        <is>
          <t>NORRBOTTENS LÄN</t>
        </is>
      </c>
      <c r="G232" t="inlineStr">
        <is>
          <t>BODEN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46225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46225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46225</v>
      </c>
      <c r="F235" t="inlineStr">
        <is>
          <t>NORRBOTTENS LÄN</t>
        </is>
      </c>
      <c r="G235" t="inlineStr">
        <is>
          <t>BODEN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45429</v>
      </c>
      <c r="E236" s="1" t="n">
        <v>46225</v>
      </c>
      <c r="F236" t="inlineStr">
        <is>
          <t>NORRBOTTENS LÄN</t>
        </is>
      </c>
      <c r="G236" t="inlineStr">
        <is>
          <t>BODEN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74264-2021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46225</v>
      </c>
      <c r="F237" t="inlineStr">
        <is>
          <t>NORRBOTTENS LÄN</t>
        </is>
      </c>
      <c r="G237" t="inlineStr">
        <is>
          <t>BODEN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54590-2022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44883</v>
      </c>
      <c r="E238" s="1" t="n">
        <v>46225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46225</v>
      </c>
      <c r="F239" t="inlineStr">
        <is>
          <t>NORRBOTTENS LÄN</t>
        </is>
      </c>
      <c r="G239" t="inlineStr">
        <is>
          <t>BODEN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46183-2021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44441</v>
      </c>
      <c r="E240" s="1" t="n">
        <v>46225</v>
      </c>
      <c r="F240" t="inlineStr">
        <is>
          <t>NORRBOTTENS LÄN</t>
        </is>
      </c>
      <c r="G240" t="inlineStr">
        <is>
          <t>BODEN</t>
        </is>
      </c>
      <c r="I240" t="n">
        <v>13.6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46225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45516</v>
      </c>
      <c r="E242" s="1" t="n">
        <v>46225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46225</v>
      </c>
      <c r="F243" t="inlineStr">
        <is>
          <t>NORRBOTTENS LÄN</t>
        </is>
      </c>
      <c r="G243" t="inlineStr">
        <is>
          <t>BODEN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46225</v>
      </c>
      <c r="F244" t="inlineStr">
        <is>
          <t>NORRBOTTENS LÄN</t>
        </is>
      </c>
      <c r="G244" t="inlineStr">
        <is>
          <t>BODEN</t>
        </is>
      </c>
      <c r="I244" t="n">
        <v>9.6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45799</v>
      </c>
      <c r="E245" s="1" t="n">
        <v>46225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46225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46225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46225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46225</v>
      </c>
      <c r="F249" t="inlineStr">
        <is>
          <t>NORRBOTTENS LÄN</t>
        </is>
      </c>
      <c r="G249" t="inlineStr">
        <is>
          <t>BODEN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46225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46225</v>
      </c>
      <c r="F251" t="inlineStr">
        <is>
          <t>NORRBOTTENS LÄN</t>
        </is>
      </c>
      <c r="G251" t="inlineStr">
        <is>
          <t>BODEN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46225</v>
      </c>
      <c r="F252" t="inlineStr">
        <is>
          <t>NORRBOTTENS LÄN</t>
        </is>
      </c>
      <c r="G252" t="inlineStr">
        <is>
          <t>BODEN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46020</v>
      </c>
      <c r="E253" s="1" t="n">
        <v>46225</v>
      </c>
      <c r="F253" t="inlineStr">
        <is>
          <t>NORRBOTTENS LÄN</t>
        </is>
      </c>
      <c r="G253" t="inlineStr">
        <is>
          <t>BODEN</t>
        </is>
      </c>
      <c r="I253" t="n">
        <v>10.9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45608</v>
      </c>
      <c r="E254" s="1" t="n">
        <v>46225</v>
      </c>
      <c r="F254" t="inlineStr">
        <is>
          <t>NORRBOTTENS LÄN</t>
        </is>
      </c>
      <c r="G254" t="inlineStr">
        <is>
          <t>BODEN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45608</v>
      </c>
      <c r="E255" s="1" t="n">
        <v>46225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45527</v>
      </c>
      <c r="E256" s="1" t="n">
        <v>46225</v>
      </c>
      <c r="F256" t="inlineStr">
        <is>
          <t>NORRBOTTENS LÄN</t>
        </is>
      </c>
      <c r="G256" t="inlineStr">
        <is>
          <t>BODEN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45763</v>
      </c>
      <c r="E257" s="1" t="n">
        <v>46225</v>
      </c>
      <c r="F257" t="inlineStr">
        <is>
          <t>NORRBOTTENS LÄN</t>
        </is>
      </c>
      <c r="G257" t="inlineStr">
        <is>
          <t>BODEN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45546</v>
      </c>
      <c r="E258" s="1" t="n">
        <v>46225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45464</v>
      </c>
      <c r="E259" s="1" t="n">
        <v>46225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46225</v>
      </c>
      <c r="F260" t="inlineStr">
        <is>
          <t>NORRBOTTENS LÄN</t>
        </is>
      </c>
      <c r="G260" t="inlineStr">
        <is>
          <t>BODEN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46036</v>
      </c>
      <c r="E261" s="1" t="n">
        <v>46225</v>
      </c>
      <c r="F261" t="inlineStr">
        <is>
          <t>NORRBOTTENS LÄN</t>
        </is>
      </c>
      <c r="G261" t="inlineStr">
        <is>
          <t>BODEN</t>
        </is>
      </c>
      <c r="H261" t="inlineStr">
        <is>
          <t>Kommuner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46225</v>
      </c>
      <c r="F262" t="inlineStr">
        <is>
          <t>NORRBOTTENS LÄN</t>
        </is>
      </c>
      <c r="G262" t="inlineStr">
        <is>
          <t>BODEN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19564-2024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45429</v>
      </c>
      <c r="E263" s="1" t="n">
        <v>46225</v>
      </c>
      <c r="F263" t="inlineStr">
        <is>
          <t>NORRBOTTENS LÄN</t>
        </is>
      </c>
      <c r="G263" t="inlineStr">
        <is>
          <t>BODEN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46225</v>
      </c>
      <c r="F264" t="inlineStr">
        <is>
          <t>NORRBOTTENS LÄN</t>
        </is>
      </c>
      <c r="G264" t="inlineStr">
        <is>
          <t>BODEN</t>
        </is>
      </c>
      <c r="H264" t="inlineStr">
        <is>
          <t>Naturvårdsverket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46225</v>
      </c>
      <c r="F265" t="inlineStr">
        <is>
          <t>NORRBOTTENS LÄN</t>
        </is>
      </c>
      <c r="G265" t="inlineStr">
        <is>
          <t>BODEN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46225</v>
      </c>
      <c r="F266" t="inlineStr">
        <is>
          <t>NORRBOTTENS LÄN</t>
        </is>
      </c>
      <c r="G266" t="inlineStr">
        <is>
          <t>BODEN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46225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46225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46225</v>
      </c>
      <c r="F269" t="inlineStr">
        <is>
          <t>NORRBOTTENS LÄN</t>
        </is>
      </c>
      <c r="G269" t="inlineStr">
        <is>
          <t>BODEN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61771-2024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45649</v>
      </c>
      <c r="E270" s="1" t="n">
        <v>46225</v>
      </c>
      <c r="F270" t="inlineStr">
        <is>
          <t>NORRBOTTENS LÄN</t>
        </is>
      </c>
      <c r="G270" t="inlineStr">
        <is>
          <t>BODEN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45766</v>
      </c>
      <c r="E271" s="1" t="n">
        <v>46225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45818</v>
      </c>
      <c r="E272" s="1" t="n">
        <v>46225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46225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46225</v>
      </c>
      <c r="F274" t="inlineStr">
        <is>
          <t>NORRBOTTENS LÄN</t>
        </is>
      </c>
      <c r="G274" t="inlineStr">
        <is>
          <t>BODEN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45427</v>
      </c>
      <c r="E275" s="1" t="n">
        <v>46225</v>
      </c>
      <c r="F275" t="inlineStr">
        <is>
          <t>NORRBOTTENS LÄN</t>
        </is>
      </c>
      <c r="G275" t="inlineStr">
        <is>
          <t>BODEN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45574</v>
      </c>
      <c r="E276" s="1" t="n">
        <v>46225</v>
      </c>
      <c r="F276" t="inlineStr">
        <is>
          <t>NORRBOTTENS LÄN</t>
        </is>
      </c>
      <c r="G276" t="inlineStr">
        <is>
          <t>BODEN</t>
        </is>
      </c>
      <c r="H276" t="inlineStr">
        <is>
          <t>Sveaskog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45649</v>
      </c>
      <c r="E277" s="1" t="n">
        <v>46225</v>
      </c>
      <c r="F277" t="inlineStr">
        <is>
          <t>NORRBOTTENS LÄN</t>
        </is>
      </c>
      <c r="G277" t="inlineStr">
        <is>
          <t>BODEN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29109-2024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45481</v>
      </c>
      <c r="E278" s="1" t="n">
        <v>46225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46225</v>
      </c>
      <c r="F279" t="inlineStr">
        <is>
          <t>NORRBOTTENS LÄN</t>
        </is>
      </c>
      <c r="G279" t="inlineStr">
        <is>
          <t>BODEN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28270-2025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45818</v>
      </c>
      <c r="E280" s="1" t="n">
        <v>46225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60466-2024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45643</v>
      </c>
      <c r="E281" s="1" t="n">
        <v>46225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45764</v>
      </c>
      <c r="E282" s="1" t="n">
        <v>46225</v>
      </c>
      <c r="F282" t="inlineStr">
        <is>
          <t>NORRBOTTENS LÄN</t>
        </is>
      </c>
      <c r="G282" t="inlineStr">
        <is>
          <t>BODEN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45764</v>
      </c>
      <c r="E283" s="1" t="n">
        <v>46225</v>
      </c>
      <c r="F283" t="inlineStr">
        <is>
          <t>NORRBOTTENS LÄN</t>
        </is>
      </c>
      <c r="G283" t="inlineStr">
        <is>
          <t>BODEN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46225</v>
      </c>
      <c r="F284" t="inlineStr">
        <is>
          <t>NORRBOTTENS LÄN</t>
        </is>
      </c>
      <c r="G284" t="inlineStr">
        <is>
          <t>BODEN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46225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46225</v>
      </c>
      <c r="F286" t="inlineStr">
        <is>
          <t>NORRBOTTENS LÄN</t>
        </is>
      </c>
      <c r="G286" t="inlineStr">
        <is>
          <t>BODEN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45891</v>
      </c>
      <c r="E287" s="1" t="n">
        <v>46225</v>
      </c>
      <c r="F287" t="inlineStr">
        <is>
          <t>NORRBOTTENS LÄN</t>
        </is>
      </c>
      <c r="G287" t="inlineStr">
        <is>
          <t>BODEN</t>
        </is>
      </c>
      <c r="I287" t="n">
        <v>13.9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46225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46225</v>
      </c>
      <c r="F289" t="inlineStr">
        <is>
          <t>NORRBOTTENS LÄN</t>
        </is>
      </c>
      <c r="G289" t="inlineStr">
        <is>
          <t>BODEN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46052</v>
      </c>
      <c r="E290" s="1" t="n">
        <v>46225</v>
      </c>
      <c r="F290" t="inlineStr">
        <is>
          <t>NORRBOTTENS LÄN</t>
        </is>
      </c>
      <c r="G290" t="inlineStr">
        <is>
          <t>BODEN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46225</v>
      </c>
      <c r="F291" t="inlineStr">
        <is>
          <t>NORRBOTTENS LÄN</t>
        </is>
      </c>
      <c r="G291" t="inlineStr">
        <is>
          <t>BODEN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46225</v>
      </c>
      <c r="F292" t="inlineStr">
        <is>
          <t>NORRBOTTENS LÄN</t>
        </is>
      </c>
      <c r="G292" t="inlineStr">
        <is>
          <t>BODEN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46225</v>
      </c>
      <c r="F293" t="inlineStr">
        <is>
          <t>NORRBOTTENS LÄN</t>
        </is>
      </c>
      <c r="G293" t="inlineStr">
        <is>
          <t>BODEN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46225</v>
      </c>
      <c r="F294" t="inlineStr">
        <is>
          <t>NORRBOTTENS LÄN</t>
        </is>
      </c>
      <c r="G294" t="inlineStr">
        <is>
          <t>BODEN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46225</v>
      </c>
      <c r="F295" t="inlineStr">
        <is>
          <t>NORRBOTTENS LÄN</t>
        </is>
      </c>
      <c r="G295" t="inlineStr">
        <is>
          <t>BODEN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46225</v>
      </c>
      <c r="F296" t="inlineStr">
        <is>
          <t>NORRBOTTENS LÄN</t>
        </is>
      </c>
      <c r="G296" t="inlineStr">
        <is>
          <t>BODEN</t>
        </is>
      </c>
      <c r="H296" t="inlineStr">
        <is>
          <t>Naturvårdsverket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41691-2025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45902</v>
      </c>
      <c r="E297" s="1" t="n">
        <v>46225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46225</v>
      </c>
      <c r="F298" t="inlineStr">
        <is>
          <t>NORRBOTTENS LÄN</t>
        </is>
      </c>
      <c r="G298" t="inlineStr">
        <is>
          <t>BODEN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46225</v>
      </c>
      <c r="F299" t="inlineStr">
        <is>
          <t>NORRBOTTENS LÄN</t>
        </is>
      </c>
      <c r="G299" t="inlineStr">
        <is>
          <t>BODEN</t>
        </is>
      </c>
      <c r="H299" t="inlineStr">
        <is>
          <t>Övriga Aktiebolag</t>
        </is>
      </c>
      <c r="I299" t="n">
        <v>9.800000000000001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46225</v>
      </c>
      <c r="F300" t="inlineStr">
        <is>
          <t>NORRBOTTENS LÄN</t>
        </is>
      </c>
      <c r="G300" t="inlineStr">
        <is>
          <t>BODEN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46225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46225</v>
      </c>
      <c r="F302" t="inlineStr">
        <is>
          <t>NORRBOTTENS LÄN</t>
        </is>
      </c>
      <c r="G302" t="inlineStr">
        <is>
          <t>BODEN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46225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31531-2025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46225</v>
      </c>
      <c r="F304" t="inlineStr">
        <is>
          <t>NORRBOTTENS LÄN</t>
        </is>
      </c>
      <c r="G304" t="inlineStr">
        <is>
          <t>BODEN</t>
        </is>
      </c>
      <c r="H304" t="inlineStr">
        <is>
          <t>Övriga Aktiebolag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7669-2026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46225</v>
      </c>
      <c r="F305" t="inlineStr">
        <is>
          <t>NORRBOTTENS LÄN</t>
        </is>
      </c>
      <c r="G305" t="inlineStr">
        <is>
          <t>BODEN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46225</v>
      </c>
      <c r="F306" t="inlineStr">
        <is>
          <t>NORRBOTTENS LÄN</t>
        </is>
      </c>
      <c r="G306" t="inlineStr">
        <is>
          <t>BODEN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46225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46225</v>
      </c>
      <c r="F308" t="inlineStr">
        <is>
          <t>NORRBOTTENS LÄN</t>
        </is>
      </c>
      <c r="G308" t="inlineStr">
        <is>
          <t>BODEN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46225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45907</v>
      </c>
      <c r="E310" s="1" t="n">
        <v>46225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9.6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46225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7923-2026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46225</v>
      </c>
      <c r="F312" t="inlineStr">
        <is>
          <t>NORRBOTTENS LÄN</t>
        </is>
      </c>
      <c r="G312" t="inlineStr">
        <is>
          <t>BODEN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46225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46225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46225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45910</v>
      </c>
      <c r="E316" s="1" t="n">
        <v>46225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45747</v>
      </c>
      <c r="E317" s="1" t="n">
        <v>46225</v>
      </c>
      <c r="F317" t="inlineStr">
        <is>
          <t>NORRBOTTENS LÄN</t>
        </is>
      </c>
      <c r="G317" t="inlineStr">
        <is>
          <t>BODEN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33130-2025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45840</v>
      </c>
      <c r="E318" s="1" t="n">
        <v>46225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46225</v>
      </c>
      <c r="F319" t="inlineStr">
        <is>
          <t>NORRBOTTENS LÄN</t>
        </is>
      </c>
      <c r="G319" t="inlineStr">
        <is>
          <t>BODEN</t>
        </is>
      </c>
      <c r="I319" t="n">
        <v>9.699999999999999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45912</v>
      </c>
      <c r="E320" s="1" t="n">
        <v>46225</v>
      </c>
      <c r="F320" t="inlineStr">
        <is>
          <t>NORRBOTTENS LÄN</t>
        </is>
      </c>
      <c r="G320" t="inlineStr">
        <is>
          <t>BODEN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45912</v>
      </c>
      <c r="E321" s="1" t="n">
        <v>46225</v>
      </c>
      <c r="F321" t="inlineStr">
        <is>
          <t>NORRBOTTENS LÄN</t>
        </is>
      </c>
      <c r="G321" t="inlineStr">
        <is>
          <t>BODEN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45912</v>
      </c>
      <c r="E322" s="1" t="n">
        <v>46225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46225</v>
      </c>
      <c r="F323" t="inlineStr">
        <is>
          <t>NORRBOTTENS LÄN</t>
        </is>
      </c>
      <c r="G323" t="inlineStr">
        <is>
          <t>BODEN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45843</v>
      </c>
      <c r="E324" s="1" t="n">
        <v>46225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46225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46225</v>
      </c>
      <c r="F326" t="inlineStr">
        <is>
          <t>NORRBOTTENS LÄN</t>
        </is>
      </c>
      <c r="G326" t="inlineStr">
        <is>
          <t>BODEN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46225</v>
      </c>
      <c r="F327" t="inlineStr">
        <is>
          <t>NORRBOTTENS LÄN</t>
        </is>
      </c>
      <c r="G327" t="inlineStr">
        <is>
          <t>BODEN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46225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46225</v>
      </c>
      <c r="F329" t="inlineStr">
        <is>
          <t>NORRBOTTENS LÄN</t>
        </is>
      </c>
      <c r="G329" t="inlineStr">
        <is>
          <t>BODEN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46225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45211-2025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45919</v>
      </c>
      <c r="E331" s="1" t="n">
        <v>46225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46225</v>
      </c>
      <c r="F332" t="inlineStr">
        <is>
          <t>NORRBOTTENS LÄN</t>
        </is>
      </c>
      <c r="G332" t="inlineStr">
        <is>
          <t>BODEN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45617-2025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45922</v>
      </c>
      <c r="E333" s="1" t="n">
        <v>46225</v>
      </c>
      <c r="F333" t="inlineStr">
        <is>
          <t>NORRBOTTENS LÄN</t>
        </is>
      </c>
      <c r="G333" t="inlineStr">
        <is>
          <t>BODEN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46078</v>
      </c>
      <c r="E334" s="1" t="n">
        <v>46225</v>
      </c>
      <c r="F334" t="inlineStr">
        <is>
          <t>NORRBOTTENS LÄN</t>
        </is>
      </c>
      <c r="G334" t="inlineStr">
        <is>
          <t>BODEN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46225</v>
      </c>
      <c r="F335" t="inlineStr">
        <is>
          <t>NORRBOTTENS LÄN</t>
        </is>
      </c>
      <c r="G335" t="inlineStr">
        <is>
          <t>BODEN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45603</v>
      </c>
      <c r="E336" s="1" t="n">
        <v>46225</v>
      </c>
      <c r="F336" t="inlineStr">
        <is>
          <t>NORRBOTTENS LÄN</t>
        </is>
      </c>
      <c r="G336" t="inlineStr">
        <is>
          <t>BODEN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46225</v>
      </c>
      <c r="F337" t="inlineStr">
        <is>
          <t>NORRBOTTENS LÄN</t>
        </is>
      </c>
      <c r="G337" t="inlineStr">
        <is>
          <t>BODEN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46053-2025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46225</v>
      </c>
      <c r="F338" t="inlineStr">
        <is>
          <t>NORRBOTTENS LÄN</t>
        </is>
      </c>
      <c r="G338" t="inlineStr">
        <is>
          <t>BODEN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45969-2025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45924</v>
      </c>
      <c r="E339" s="1" t="n">
        <v>46225</v>
      </c>
      <c r="F339" t="inlineStr">
        <is>
          <t>NORRBOTTENS LÄN</t>
        </is>
      </c>
      <c r="G339" t="inlineStr">
        <is>
          <t>BODEN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45856</v>
      </c>
      <c r="E340" s="1" t="n">
        <v>46225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10.8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11636-2026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46084</v>
      </c>
      <c r="E341" s="1" t="n">
        <v>46225</v>
      </c>
      <c r="F341" t="inlineStr">
        <is>
          <t>NORRBOTTENS LÄN</t>
        </is>
      </c>
      <c r="G341" t="inlineStr">
        <is>
          <t>BODEN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46225</v>
      </c>
      <c r="F342" t="inlineStr">
        <is>
          <t>NORRBOTTENS LÄN</t>
        </is>
      </c>
      <c r="G342" t="inlineStr">
        <is>
          <t>BODEN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46225</v>
      </c>
      <c r="F343" t="inlineStr">
        <is>
          <t>NORRBOTTENS LÄN</t>
        </is>
      </c>
      <c r="G343" t="inlineStr">
        <is>
          <t>BODEN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46225</v>
      </c>
      <c r="F344" t="inlineStr">
        <is>
          <t>NORRBOTTENS LÄN</t>
        </is>
      </c>
      <c r="G344" t="inlineStr">
        <is>
          <t>BODEN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46225</v>
      </c>
      <c r="F345" t="inlineStr">
        <is>
          <t>NORRBOTTENS LÄN</t>
        </is>
      </c>
      <c r="G345" t="inlineStr">
        <is>
          <t>BODEN</t>
        </is>
      </c>
      <c r="H345" t="inlineStr">
        <is>
          <t>Övriga Aktiebolag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46225</v>
      </c>
      <c r="F346" t="inlineStr">
        <is>
          <t>NORRBOTTENS LÄN</t>
        </is>
      </c>
      <c r="G346" t="inlineStr">
        <is>
          <t>BODEN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46225</v>
      </c>
      <c r="F347" t="inlineStr">
        <is>
          <t>NORRBOTTENS LÄN</t>
        </is>
      </c>
      <c r="G347" t="inlineStr">
        <is>
          <t>BODEN</t>
        </is>
      </c>
      <c r="I347" t="n">
        <v>9.199999999999999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46225</v>
      </c>
      <c r="F348" t="inlineStr">
        <is>
          <t>NORRBOTTENS LÄN</t>
        </is>
      </c>
      <c r="G348" t="inlineStr">
        <is>
          <t>BODEN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46454-2025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46225</v>
      </c>
      <c r="F349" t="inlineStr">
        <is>
          <t>NORRBOTTENS LÄN</t>
        </is>
      </c>
      <c r="G349" t="inlineStr">
        <is>
          <t>BODEN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46225</v>
      </c>
      <c r="F350" t="inlineStr">
        <is>
          <t>NORRBOTTENS LÄN</t>
        </is>
      </c>
      <c r="G350" t="inlineStr">
        <is>
          <t>BODEN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46086</v>
      </c>
      <c r="E351" s="1" t="n">
        <v>46225</v>
      </c>
      <c r="F351" t="inlineStr">
        <is>
          <t>NORRBOTTENS LÄN</t>
        </is>
      </c>
      <c r="G351" t="inlineStr">
        <is>
          <t>BODEN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2601-2025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45674</v>
      </c>
      <c r="E352" s="1" t="n">
        <v>46225</v>
      </c>
      <c r="F352" t="inlineStr">
        <is>
          <t>NORRBOTTENS LÄN</t>
        </is>
      </c>
      <c r="G352" t="inlineStr">
        <is>
          <t>BODEN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49728-2024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46225</v>
      </c>
      <c r="F353" t="inlineStr">
        <is>
          <t>NORRBOTTENS LÄN</t>
        </is>
      </c>
      <c r="G353" t="inlineStr">
        <is>
          <t>BODEN</t>
        </is>
      </c>
      <c r="I353" t="n">
        <v>22.7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46225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46225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12338-2026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46087</v>
      </c>
      <c r="E356" s="1" t="n">
        <v>46225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45863</v>
      </c>
      <c r="E357" s="1" t="n">
        <v>46225</v>
      </c>
      <c r="F357" t="inlineStr">
        <is>
          <t>NORRBOTTENS LÄN</t>
        </is>
      </c>
      <c r="G357" t="inlineStr">
        <is>
          <t>BODEN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46225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46225</v>
      </c>
      <c r="F359" t="inlineStr">
        <is>
          <t>NORRBOTTENS LÄN</t>
        </is>
      </c>
      <c r="G359" t="inlineStr">
        <is>
          <t>BODEN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45456</v>
      </c>
      <c r="E360" s="1" t="n">
        <v>46225</v>
      </c>
      <c r="F360" t="inlineStr">
        <is>
          <t>NORRBOTTENS LÄN</t>
        </is>
      </c>
      <c r="G360" t="inlineStr">
        <is>
          <t>BODEN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46225</v>
      </c>
      <c r="F361" t="inlineStr">
        <is>
          <t>NORRBOTTENS LÄN</t>
        </is>
      </c>
      <c r="G361" t="inlineStr">
        <is>
          <t>BODEN</t>
        </is>
      </c>
      <c r="H361" t="inlineStr">
        <is>
          <t>Övriga Aktiebolag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46225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46225</v>
      </c>
      <c r="F363" t="inlineStr">
        <is>
          <t>NORRBOTTENS LÄN</t>
        </is>
      </c>
      <c r="G363" t="inlineStr">
        <is>
          <t>BODEN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46225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45906</v>
      </c>
      <c r="E365" s="1" t="n">
        <v>46225</v>
      </c>
      <c r="F365" t="inlineStr">
        <is>
          <t>NORRBOTTENS LÄN</t>
        </is>
      </c>
      <c r="G365" t="inlineStr">
        <is>
          <t>BODEN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46225</v>
      </c>
      <c r="F366" t="inlineStr">
        <is>
          <t>NORRBOTTENS LÄN</t>
        </is>
      </c>
      <c r="G366" t="inlineStr">
        <is>
          <t>BODEN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48173-2025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45933</v>
      </c>
      <c r="E367" s="1" t="n">
        <v>46225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46097</v>
      </c>
      <c r="E368" s="1" t="n">
        <v>46225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48091-2025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45933</v>
      </c>
      <c r="E369" s="1" t="n">
        <v>46225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45369</v>
      </c>
      <c r="E370" s="1" t="n">
        <v>46225</v>
      </c>
      <c r="F370" t="inlineStr">
        <is>
          <t>NORRBOTTENS LÄN</t>
        </is>
      </c>
      <c r="G370" t="inlineStr">
        <is>
          <t>BODEN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46225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8.4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14245-2026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46099</v>
      </c>
      <c r="E372" s="1" t="n">
        <v>46225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46225</v>
      </c>
      <c r="F373" t="inlineStr">
        <is>
          <t>NORRBOTTENS LÄN</t>
        </is>
      </c>
      <c r="G373" t="inlineStr">
        <is>
          <t>BODEN</t>
        </is>
      </c>
      <c r="I373" t="n">
        <v>10.2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46225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36310-2025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45868</v>
      </c>
      <c r="E375" s="1" t="n">
        <v>46225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46225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46225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statliga verk och myndigheter</t>
        </is>
      </c>
      <c r="I377" t="n">
        <v>11.5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46225</v>
      </c>
      <c r="F378" t="inlineStr">
        <is>
          <t>NORRBOTTENS LÄN</t>
        </is>
      </c>
      <c r="G378" t="inlineStr">
        <is>
          <t>BODEN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45877</v>
      </c>
      <c r="E379" s="1" t="n">
        <v>46225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46225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46225</v>
      </c>
      <c r="F381" t="inlineStr">
        <is>
          <t>NORRBOTTENS LÄN</t>
        </is>
      </c>
      <c r="G381" t="inlineStr">
        <is>
          <t>BODEN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45881</v>
      </c>
      <c r="E382" s="1" t="n">
        <v>46225</v>
      </c>
      <c r="F382" t="inlineStr">
        <is>
          <t>NORRBOTTENS LÄN</t>
        </is>
      </c>
      <c r="G382" t="inlineStr">
        <is>
          <t>BODEN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46225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50410-2025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46225</v>
      </c>
      <c r="F384" t="inlineStr">
        <is>
          <t>NORRBOTTENS LÄN</t>
        </is>
      </c>
      <c r="G384" t="inlineStr">
        <is>
          <t>BODEN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46225</v>
      </c>
      <c r="F385" t="inlineStr">
        <is>
          <t>NORRBOTTENS LÄN</t>
        </is>
      </c>
      <c r="G385" t="inlineStr">
        <is>
          <t>BODEN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45882</v>
      </c>
      <c r="E386" s="1" t="n">
        <v>46225</v>
      </c>
      <c r="F386" t="inlineStr">
        <is>
          <t>NORRBOTTENS LÄN</t>
        </is>
      </c>
      <c r="G386" t="inlineStr">
        <is>
          <t>BODEN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45882</v>
      </c>
      <c r="E387" s="1" t="n">
        <v>46225</v>
      </c>
      <c r="F387" t="inlineStr">
        <is>
          <t>NORRBOTTENS LÄN</t>
        </is>
      </c>
      <c r="G387" t="inlineStr">
        <is>
          <t>BODEN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46225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44908</v>
      </c>
      <c r="E389" s="1" t="n">
        <v>46225</v>
      </c>
      <c r="F389" t="inlineStr">
        <is>
          <t>NORRBOTTENS LÄN</t>
        </is>
      </c>
      <c r="G389" t="inlineStr">
        <is>
          <t>BODEN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46225</v>
      </c>
      <c r="F390" t="inlineStr">
        <is>
          <t>NORRBOTTENS LÄN</t>
        </is>
      </c>
      <c r="G390" t="inlineStr">
        <is>
          <t>BODEN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46225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46225</v>
      </c>
      <c r="F392" t="inlineStr">
        <is>
          <t>NORRBOTTENS LÄN</t>
        </is>
      </c>
      <c r="G392" t="inlineStr">
        <is>
          <t>BODEN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46225</v>
      </c>
      <c r="F393" t="inlineStr">
        <is>
          <t>NORRBOTTENS LÄN</t>
        </is>
      </c>
      <c r="G393" t="inlineStr">
        <is>
          <t>BODEN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46225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46225</v>
      </c>
      <c r="F395" t="inlineStr">
        <is>
          <t>NORRBOTTENS LÄN</t>
        </is>
      </c>
      <c r="G395" t="inlineStr">
        <is>
          <t>BODEN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45429</v>
      </c>
      <c r="E396" s="1" t="n">
        <v>46225</v>
      </c>
      <c r="F396" t="inlineStr">
        <is>
          <t>NORRBOTTENS LÄN</t>
        </is>
      </c>
      <c r="G396" t="inlineStr">
        <is>
          <t>BODEN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45429</v>
      </c>
      <c r="E397" s="1" t="n">
        <v>46225</v>
      </c>
      <c r="F397" t="inlineStr">
        <is>
          <t>NORRBOTTENS LÄN</t>
        </is>
      </c>
      <c r="G397" t="inlineStr">
        <is>
          <t>BODEN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46225</v>
      </c>
      <c r="F398" t="inlineStr">
        <is>
          <t>NORRBOTTENS LÄN</t>
        </is>
      </c>
      <c r="G398" t="inlineStr">
        <is>
          <t>BODEN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38584-2025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46225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45446</v>
      </c>
      <c r="E400" s="1" t="n">
        <v>46225</v>
      </c>
      <c r="F400" t="inlineStr">
        <is>
          <t>NORRBOTTENS LÄN</t>
        </is>
      </c>
      <c r="G400" t="inlineStr">
        <is>
          <t>BODEN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46225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46225</v>
      </c>
      <c r="F402" t="inlineStr">
        <is>
          <t>NORRBOTTENS LÄN</t>
        </is>
      </c>
      <c r="G402" t="inlineStr">
        <is>
          <t>BODEN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46225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46225</v>
      </c>
      <c r="F404" t="inlineStr">
        <is>
          <t>NORRBOTTENS LÄN</t>
        </is>
      </c>
      <c r="G404" t="inlineStr">
        <is>
          <t>BODEN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59331-2021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44490</v>
      </c>
      <c r="E405" s="1" t="n">
        <v>46225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11651-2023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44994</v>
      </c>
      <c r="E406" s="1" t="n">
        <v>46225</v>
      </c>
      <c r="F406" t="inlineStr">
        <is>
          <t>NORRBOTTENS LÄN</t>
        </is>
      </c>
      <c r="G406" t="inlineStr">
        <is>
          <t>BODEN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45590</v>
      </c>
      <c r="E407" s="1" t="n">
        <v>46225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45953</v>
      </c>
      <c r="E408" s="1" t="n">
        <v>46225</v>
      </c>
      <c r="F408" t="inlineStr">
        <is>
          <t>NORRBOTTENS LÄN</t>
        </is>
      </c>
      <c r="G408" t="inlineStr">
        <is>
          <t>BODEN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46225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46225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51525-2025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45950</v>
      </c>
      <c r="E411" s="1" t="n">
        <v>46225</v>
      </c>
      <c r="F411" t="inlineStr">
        <is>
          <t>NORRBOTTENS LÄN</t>
        </is>
      </c>
      <c r="G411" t="inlineStr">
        <is>
          <t>BODEN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46225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52645-2025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45955</v>
      </c>
      <c r="E413" s="1" t="n">
        <v>46225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45955</v>
      </c>
      <c r="E414" s="1" t="n">
        <v>46225</v>
      </c>
      <c r="F414" t="inlineStr">
        <is>
          <t>NORRBOTTENS LÄN</t>
        </is>
      </c>
      <c r="G414" t="inlineStr">
        <is>
          <t>BODEN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46225</v>
      </c>
      <c r="F415" t="inlineStr">
        <is>
          <t>NORRBOTTENS LÄN</t>
        </is>
      </c>
      <c r="G415" t="inlineStr">
        <is>
          <t>BODEN</t>
        </is>
      </c>
      <c r="I415" t="n">
        <v>19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53623-2025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45960</v>
      </c>
      <c r="E416" s="1" t="n">
        <v>46225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11.7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46225</v>
      </c>
      <c r="F417" t="inlineStr">
        <is>
          <t>NORRBOTTENS LÄN</t>
        </is>
      </c>
      <c r="G417" t="inlineStr">
        <is>
          <t>BODEN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46225</v>
      </c>
      <c r="F418" t="inlineStr">
        <is>
          <t>NORRBOTTENS LÄN</t>
        </is>
      </c>
      <c r="G418" t="inlineStr">
        <is>
          <t>BODEN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46225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45964</v>
      </c>
      <c r="E420" s="1" t="n">
        <v>46225</v>
      </c>
      <c r="F420" t="inlineStr">
        <is>
          <t>NORRBOTTENS LÄN</t>
        </is>
      </c>
      <c r="G420" t="inlineStr">
        <is>
          <t>BODEN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46225</v>
      </c>
      <c r="F421" t="inlineStr">
        <is>
          <t>NORRBOTTENS LÄN</t>
        </is>
      </c>
      <c r="G421" t="inlineStr">
        <is>
          <t>BODEN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56163-2022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46225</v>
      </c>
      <c r="F422" t="inlineStr">
        <is>
          <t>NORRBOTTENS LÄN</t>
        </is>
      </c>
      <c r="G422" t="inlineStr">
        <is>
          <t>BODEN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44901</v>
      </c>
      <c r="E423" s="1" t="n">
        <v>46225</v>
      </c>
      <c r="F423" t="inlineStr">
        <is>
          <t>NORRBOTTENS LÄN</t>
        </is>
      </c>
      <c r="G423" t="inlineStr">
        <is>
          <t>BODEN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46225</v>
      </c>
      <c r="F424" t="inlineStr">
        <is>
          <t>NORRBOTTENS LÄN</t>
        </is>
      </c>
      <c r="G424" t="inlineStr">
        <is>
          <t>BODEN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46225</v>
      </c>
      <c r="F425" t="inlineStr">
        <is>
          <t>NORRBOTTENS LÄN</t>
        </is>
      </c>
      <c r="G425" t="inlineStr">
        <is>
          <t>BODEN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46225</v>
      </c>
      <c r="F426" t="inlineStr">
        <is>
          <t>NORRBOTTENS LÄN</t>
        </is>
      </c>
      <c r="G426" t="inlineStr">
        <is>
          <t>BODEN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54578-2025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45965</v>
      </c>
      <c r="E427" s="1" t="n">
        <v>46225</v>
      </c>
      <c r="F427" t="inlineStr">
        <is>
          <t>NORRBOTTENS LÄN</t>
        </is>
      </c>
      <c r="G427" t="inlineStr">
        <is>
          <t>BODEN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45966</v>
      </c>
      <c r="E428" s="1" t="n">
        <v>46225</v>
      </c>
      <c r="F428" t="inlineStr">
        <is>
          <t>NORRBOTTENS LÄN</t>
        </is>
      </c>
      <c r="G428" t="inlineStr">
        <is>
          <t>BODEN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46225</v>
      </c>
      <c r="F429" t="inlineStr">
        <is>
          <t>NORRBOTTENS LÄN</t>
        </is>
      </c>
      <c r="G429" t="inlineStr">
        <is>
          <t>BODEN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46225</v>
      </c>
      <c r="F430" t="inlineStr">
        <is>
          <t>NORRBOTTENS LÄN</t>
        </is>
      </c>
      <c r="G430" t="inlineStr">
        <is>
          <t>BODEN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46225</v>
      </c>
      <c r="F431" t="inlineStr">
        <is>
          <t>NORRBOTTENS LÄN</t>
        </is>
      </c>
      <c r="G431" t="inlineStr">
        <is>
          <t>BODEN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46126</v>
      </c>
      <c r="E432" s="1" t="n">
        <v>46225</v>
      </c>
      <c r="F432" t="inlineStr">
        <is>
          <t>NORRBOTTENS LÄN</t>
        </is>
      </c>
      <c r="G432" t="inlineStr">
        <is>
          <t>BODEN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46225</v>
      </c>
      <c r="F433" t="inlineStr">
        <is>
          <t>NORRBOTTENS LÄN</t>
        </is>
      </c>
      <c r="G433" t="inlineStr">
        <is>
          <t>BODEN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46225</v>
      </c>
      <c r="F434" t="inlineStr">
        <is>
          <t>NORRBOTTENS LÄN</t>
        </is>
      </c>
      <c r="G434" t="inlineStr">
        <is>
          <t>BODEN</t>
        </is>
      </c>
      <c r="I434" t="n">
        <v>11.7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59028-2022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46225</v>
      </c>
      <c r="F435" t="inlineStr">
        <is>
          <t>NORRBOTTENS LÄN</t>
        </is>
      </c>
      <c r="G435" t="inlineStr">
        <is>
          <t>BODEN</t>
        </is>
      </c>
      <c r="I435" t="n">
        <v>16.1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68565-2021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44529</v>
      </c>
      <c r="E436" s="1" t="n">
        <v>46225</v>
      </c>
      <c r="F436" t="inlineStr">
        <is>
          <t>NORRBOTTENS LÄN</t>
        </is>
      </c>
      <c r="G436" t="inlineStr">
        <is>
          <t>BODEN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19049-2026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46225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46225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46225</v>
      </c>
      <c r="F439" t="inlineStr">
        <is>
          <t>NORRBOTTENS LÄN</t>
        </is>
      </c>
      <c r="G439" t="inlineStr">
        <is>
          <t>BODEN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46225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46225</v>
      </c>
      <c r="F441" t="inlineStr">
        <is>
          <t>NORRBOTTENS LÄN</t>
        </is>
      </c>
      <c r="G441" t="inlineStr">
        <is>
          <t>BODEN</t>
        </is>
      </c>
      <c r="H441" t="inlineStr">
        <is>
          <t>SCA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45972</v>
      </c>
      <c r="E442" s="1" t="n">
        <v>46225</v>
      </c>
      <c r="F442" t="inlineStr">
        <is>
          <t>NORRBOTTENS LÄN</t>
        </is>
      </c>
      <c r="G442" t="inlineStr">
        <is>
          <t>BODEN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46225</v>
      </c>
      <c r="F443" t="inlineStr">
        <is>
          <t>NORRBOTTENS LÄN</t>
        </is>
      </c>
      <c r="G443" t="inlineStr">
        <is>
          <t>BODEN</t>
        </is>
      </c>
      <c r="H443" t="inlineStr">
        <is>
          <t>Naturvårdsverket</t>
        </is>
      </c>
      <c r="I443" t="n">
        <v>9.800000000000001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56947-2025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46225</v>
      </c>
      <c r="F444" t="inlineStr">
        <is>
          <t>NORRBOTTENS LÄN</t>
        </is>
      </c>
      <c r="G444" t="inlineStr">
        <is>
          <t>BODEN</t>
        </is>
      </c>
      <c r="H444" t="inlineStr">
        <is>
          <t>Naturvårdsverket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54240-2022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46225</v>
      </c>
      <c r="F445" t="inlineStr">
        <is>
          <t>NORRBOTTENS LÄN</t>
        </is>
      </c>
      <c r="G445" t="inlineStr">
        <is>
          <t>BODEN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6776-2023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46225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45975</v>
      </c>
      <c r="E447" s="1" t="n">
        <v>46225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56439-2025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46225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46225</v>
      </c>
      <c r="F449" t="inlineStr">
        <is>
          <t>NORRBOTTENS LÄN</t>
        </is>
      </c>
      <c r="G449" t="inlineStr">
        <is>
          <t>BODEN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45722</v>
      </c>
      <c r="E450" s="1" t="n">
        <v>46225</v>
      </c>
      <c r="F450" t="inlineStr">
        <is>
          <t>NORRBOTTENS LÄN</t>
        </is>
      </c>
      <c r="G450" t="inlineStr">
        <is>
          <t>BODEN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16180-2025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45750</v>
      </c>
      <c r="E451" s="1" t="n">
        <v>46225</v>
      </c>
      <c r="F451" t="inlineStr">
        <is>
          <t>NORRBOTTENS LÄN</t>
        </is>
      </c>
      <c r="G451" t="inlineStr">
        <is>
          <t>BODEN</t>
        </is>
      </c>
      <c r="H451" t="inlineStr">
        <is>
          <t>Övriga Aktiebolag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45132</v>
      </c>
      <c r="E452" s="1" t="n">
        <v>46225</v>
      </c>
      <c r="F452" t="inlineStr">
        <is>
          <t>NORRBOTTENS LÄN</t>
        </is>
      </c>
      <c r="G452" t="inlineStr">
        <is>
          <t>BODEN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62589-2025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46007</v>
      </c>
      <c r="E453" s="1" t="n">
        <v>46225</v>
      </c>
      <c r="F453" t="inlineStr">
        <is>
          <t>NORRBOTTENS LÄN</t>
        </is>
      </c>
      <c r="G453" t="inlineStr">
        <is>
          <t>BODEN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14743-2023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46225</v>
      </c>
      <c r="F454" t="inlineStr">
        <is>
          <t>NORRBOTTENS LÄN</t>
        </is>
      </c>
      <c r="G454" t="inlineStr">
        <is>
          <t>BODEN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46225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46225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46225</v>
      </c>
      <c r="F457" t="inlineStr">
        <is>
          <t>NORRBOTTENS LÄN</t>
        </is>
      </c>
      <c r="G457" t="inlineStr">
        <is>
          <t>BODEN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46225</v>
      </c>
      <c r="F458" t="inlineStr">
        <is>
          <t>NORRBOTTENS LÄN</t>
        </is>
      </c>
      <c r="G458" t="inlineStr">
        <is>
          <t>BODEN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57600-2021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44484</v>
      </c>
      <c r="E459" s="1" t="n">
        <v>46225</v>
      </c>
      <c r="F459" t="inlineStr">
        <is>
          <t>NORRBOTTENS LÄN</t>
        </is>
      </c>
      <c r="G459" t="inlineStr">
        <is>
          <t>BODEN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46225</v>
      </c>
      <c r="F460" t="inlineStr">
        <is>
          <t>NORRBOTTENS LÄN</t>
        </is>
      </c>
      <c r="G460" t="inlineStr">
        <is>
          <t>BODEN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46225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45984</v>
      </c>
      <c r="E462" s="1" t="n">
        <v>46225</v>
      </c>
      <c r="F462" t="inlineStr">
        <is>
          <t>NORRBOTTENS LÄN</t>
        </is>
      </c>
      <c r="G462" t="inlineStr">
        <is>
          <t>BODEN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46225</v>
      </c>
      <c r="F463" t="inlineStr">
        <is>
          <t>NORRBOTTENS LÄN</t>
        </is>
      </c>
      <c r="G463" t="inlineStr">
        <is>
          <t>BODEN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46225</v>
      </c>
      <c r="F464" t="inlineStr">
        <is>
          <t>NORRBOTTENS LÄN</t>
        </is>
      </c>
      <c r="G464" t="inlineStr">
        <is>
          <t>BODEN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46225</v>
      </c>
      <c r="F465" t="inlineStr">
        <is>
          <t>NORRBOTTENS LÄN</t>
        </is>
      </c>
      <c r="G465" t="inlineStr">
        <is>
          <t>BODEN</t>
        </is>
      </c>
      <c r="I465" t="n">
        <v>6.7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10240-2026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46225</v>
      </c>
      <c r="F466" t="inlineStr">
        <is>
          <t>NORRBOTTENS LÄN</t>
        </is>
      </c>
      <c r="G466" t="inlineStr">
        <is>
          <t>BODEN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45935</v>
      </c>
      <c r="E467" s="1" t="n">
        <v>46225</v>
      </c>
      <c r="F467" t="inlineStr">
        <is>
          <t>NORRBOTTENS LÄN</t>
        </is>
      </c>
      <c r="G467" t="inlineStr">
        <is>
          <t>BODEN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45708</v>
      </c>
      <c r="E468" s="1" t="n">
        <v>46225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Aktiebolag</t>
        </is>
      </c>
      <c r="I468" t="n">
        <v>15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46225</v>
      </c>
      <c r="F469" t="inlineStr">
        <is>
          <t>NORRBOTTENS LÄN</t>
        </is>
      </c>
      <c r="G469" t="inlineStr">
        <is>
          <t>BODEN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46225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12.8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45653</v>
      </c>
      <c r="E471" s="1" t="n">
        <v>46225</v>
      </c>
      <c r="F471" t="inlineStr">
        <is>
          <t>NORRBOTTENS LÄN</t>
        </is>
      </c>
      <c r="G471" t="inlineStr">
        <is>
          <t>BODEN</t>
        </is>
      </c>
      <c r="I471" t="n">
        <v>47.3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46225</v>
      </c>
      <c r="F472" t="inlineStr">
        <is>
          <t>NORRBOTTENS LÄN</t>
        </is>
      </c>
      <c r="G472" t="inlineStr">
        <is>
          <t>BODEN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45994</v>
      </c>
      <c r="E473" s="1" t="n">
        <v>46225</v>
      </c>
      <c r="F473" t="inlineStr">
        <is>
          <t>NORRBOTTENS LÄN</t>
        </is>
      </c>
      <c r="G473" t="inlineStr">
        <is>
          <t>BODEN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45994</v>
      </c>
      <c r="E474" s="1" t="n">
        <v>46225</v>
      </c>
      <c r="F474" t="inlineStr">
        <is>
          <t>NORRBOTTENS LÄN</t>
        </is>
      </c>
      <c r="G474" t="inlineStr">
        <is>
          <t>BODEN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45994</v>
      </c>
      <c r="E475" s="1" t="n">
        <v>46225</v>
      </c>
      <c r="F475" t="inlineStr">
        <is>
          <t>NORRBOTTENS LÄN</t>
        </is>
      </c>
      <c r="G475" t="inlineStr">
        <is>
          <t>BODEN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46225</v>
      </c>
      <c r="F476" t="inlineStr">
        <is>
          <t>NORRBOTTENS LÄN</t>
        </is>
      </c>
      <c r="G476" t="inlineStr">
        <is>
          <t>BODEN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46225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45944</v>
      </c>
      <c r="E478" s="1" t="n">
        <v>46225</v>
      </c>
      <c r="F478" t="inlineStr">
        <is>
          <t>NORRBOTTENS LÄN</t>
        </is>
      </c>
      <c r="G478" t="inlineStr">
        <is>
          <t>BODEN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46225</v>
      </c>
      <c r="F479" t="inlineStr">
        <is>
          <t>NORRBOTTENS LÄN</t>
        </is>
      </c>
      <c r="G479" t="inlineStr">
        <is>
          <t>BODEN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46003</v>
      </c>
      <c r="E480" s="1" t="n">
        <v>46225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46225</v>
      </c>
      <c r="F481" t="inlineStr">
        <is>
          <t>NORRBOTTENS LÄN</t>
        </is>
      </c>
      <c r="G481" t="inlineStr">
        <is>
          <t>BODEN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46225</v>
      </c>
      <c r="F482" t="inlineStr">
        <is>
          <t>NORRBOTTENS LÄN</t>
        </is>
      </c>
      <c r="G482" t="inlineStr">
        <is>
          <t>BODEN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46225</v>
      </c>
      <c r="F483" t="inlineStr">
        <is>
          <t>NORRBOTTENS LÄN</t>
        </is>
      </c>
      <c r="G483" t="inlineStr">
        <is>
          <t>BODEN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46225</v>
      </c>
      <c r="F484" t="inlineStr">
        <is>
          <t>NORRBOTTENS LÄN</t>
        </is>
      </c>
      <c r="G484" t="inlineStr">
        <is>
          <t>BODEN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60613-2025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45996</v>
      </c>
      <c r="E485" s="1" t="n">
        <v>46225</v>
      </c>
      <c r="F485" t="inlineStr">
        <is>
          <t>NORRBOTTENS LÄN</t>
        </is>
      </c>
      <c r="G485" t="inlineStr">
        <is>
          <t>BODEN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60429-2025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46225</v>
      </c>
      <c r="F486" t="inlineStr">
        <is>
          <t>NORRBOTTENS LÄN</t>
        </is>
      </c>
      <c r="G486" t="inlineStr">
        <is>
          <t>BODEN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45906</v>
      </c>
      <c r="E487" s="1" t="n">
        <v>46225</v>
      </c>
      <c r="F487" t="inlineStr">
        <is>
          <t>NORRBOTTENS LÄN</t>
        </is>
      </c>
      <c r="G487" t="inlineStr">
        <is>
          <t>BODEN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33915-2024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45523</v>
      </c>
      <c r="E488" s="1" t="n">
        <v>46225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46225</v>
      </c>
      <c r="F489" t="inlineStr">
        <is>
          <t>NORRBOTTENS LÄN</t>
        </is>
      </c>
      <c r="G489" t="inlineStr">
        <is>
          <t>BODEN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46541-2021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44445</v>
      </c>
      <c r="E490" s="1" t="n">
        <v>46225</v>
      </c>
      <c r="F490" t="inlineStr">
        <is>
          <t>NORRBOTTENS LÄN</t>
        </is>
      </c>
      <c r="G490" t="inlineStr">
        <is>
          <t>BODEN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46225</v>
      </c>
      <c r="F491" t="inlineStr">
        <is>
          <t>NORRBOTTENS LÄN</t>
        </is>
      </c>
      <c r="G491" t="inlineStr">
        <is>
          <t>BODEN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46225</v>
      </c>
      <c r="F492" t="inlineStr">
        <is>
          <t>NORRBOTTENS LÄN</t>
        </is>
      </c>
      <c r="G492" t="inlineStr">
        <is>
          <t>BODEN</t>
        </is>
      </c>
      <c r="I492" t="n">
        <v>17.1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32775-2025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45839</v>
      </c>
      <c r="E493" s="1" t="n">
        <v>46225</v>
      </c>
      <c r="F493" t="inlineStr">
        <is>
          <t>NORRBOTTENS LÄN</t>
        </is>
      </c>
      <c r="G493" t="inlineStr">
        <is>
          <t>BODEN</t>
        </is>
      </c>
      <c r="I493" t="n">
        <v>13.6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46001</v>
      </c>
      <c r="E494" s="1" t="n">
        <v>46225</v>
      </c>
      <c r="F494" t="inlineStr">
        <is>
          <t>NORRBOTTENS LÄN</t>
        </is>
      </c>
      <c r="G494" t="inlineStr">
        <is>
          <t>BODEN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45587</v>
      </c>
      <c r="E495" s="1" t="n">
        <v>46225</v>
      </c>
      <c r="F495" t="inlineStr">
        <is>
          <t>NORRBOTTENS LÄN</t>
        </is>
      </c>
      <c r="G495" t="inlineStr">
        <is>
          <t>BODEN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45860</v>
      </c>
      <c r="E496" s="1" t="n">
        <v>46225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45583</v>
      </c>
      <c r="E497" s="1" t="n">
        <v>46225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28248-2025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45818</v>
      </c>
      <c r="E498" s="1" t="n">
        <v>46225</v>
      </c>
      <c r="F498" t="inlineStr">
        <is>
          <t>NORRBOTTENS LÄN</t>
        </is>
      </c>
      <c r="G498" t="inlineStr">
        <is>
          <t>BODEN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45999</v>
      </c>
      <c r="E499" s="1" t="n">
        <v>46225</v>
      </c>
      <c r="F499" t="inlineStr">
        <is>
          <t>NORRBOTTENS LÄN</t>
        </is>
      </c>
      <c r="G499" t="inlineStr">
        <is>
          <t>BODEN</t>
        </is>
      </c>
      <c r="I499" t="n">
        <v>9.6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46001</v>
      </c>
      <c r="E500" s="1" t="n">
        <v>46225</v>
      </c>
      <c r="F500" t="inlineStr">
        <is>
          <t>NORRBOTTENS LÄN</t>
        </is>
      </c>
      <c r="G500" t="inlineStr">
        <is>
          <t>BODEN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46225</v>
      </c>
      <c r="F501" t="inlineStr">
        <is>
          <t>NORRBOTTENS LÄN</t>
        </is>
      </c>
      <c r="G501" t="inlineStr">
        <is>
          <t>BODEN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46225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61959-2025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46225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46225</v>
      </c>
      <c r="F504" t="inlineStr">
        <is>
          <t>NORRBOTTENS LÄN</t>
        </is>
      </c>
      <c r="G504" t="inlineStr">
        <is>
          <t>BODEN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61949-2025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46003</v>
      </c>
      <c r="E505" s="1" t="n">
        <v>46225</v>
      </c>
      <c r="F505" t="inlineStr">
        <is>
          <t>NORRBOTTENS LÄN</t>
        </is>
      </c>
      <c r="G505" t="inlineStr">
        <is>
          <t>BODEN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61748-2024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45649</v>
      </c>
      <c r="E506" s="1" t="n">
        <v>46225</v>
      </c>
      <c r="F506" t="inlineStr">
        <is>
          <t>NORRBOTTENS LÄN</t>
        </is>
      </c>
      <c r="G506" t="inlineStr">
        <is>
          <t>BODEN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46225</v>
      </c>
      <c r="F507" t="inlineStr">
        <is>
          <t>NORRBOTTENS LÄN</t>
        </is>
      </c>
      <c r="G507" t="inlineStr">
        <is>
          <t>BODEN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61757-2024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45649</v>
      </c>
      <c r="E508" s="1" t="n">
        <v>46225</v>
      </c>
      <c r="F508" t="inlineStr">
        <is>
          <t>NORRBOTTENS LÄN</t>
        </is>
      </c>
      <c r="G508" t="inlineStr">
        <is>
          <t>BODEN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46225</v>
      </c>
      <c r="F509" t="inlineStr">
        <is>
          <t>NORRBOTTENS LÄN</t>
        </is>
      </c>
      <c r="G509" t="inlineStr">
        <is>
          <t>BODEN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46225</v>
      </c>
      <c r="F510" t="inlineStr">
        <is>
          <t>NORRBOTTENS LÄN</t>
        </is>
      </c>
      <c r="G510" t="inlineStr">
        <is>
          <t>BODEN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46225</v>
      </c>
      <c r="F511" t="inlineStr">
        <is>
          <t>NORRBOTTENS LÄN</t>
        </is>
      </c>
      <c r="G511" t="inlineStr">
        <is>
          <t>BODEN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62673-2025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46008</v>
      </c>
      <c r="E512" s="1" t="n">
        <v>46225</v>
      </c>
      <c r="F512" t="inlineStr">
        <is>
          <t>NORRBOTTENS LÄN</t>
        </is>
      </c>
      <c r="G512" t="inlineStr">
        <is>
          <t>BODEN</t>
        </is>
      </c>
      <c r="I512" t="n">
        <v>18.6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45707</v>
      </c>
      <c r="E513" s="1" t="n">
        <v>46225</v>
      </c>
      <c r="F513" t="inlineStr">
        <is>
          <t>NORRBOTTENS LÄN</t>
        </is>
      </c>
      <c r="G513" t="inlineStr">
        <is>
          <t>BODEN</t>
        </is>
      </c>
      <c r="I513" t="n">
        <v>11.3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46225</v>
      </c>
      <c r="F514" t="inlineStr">
        <is>
          <t>NORRBOTTENS LÄN</t>
        </is>
      </c>
      <c r="G514" t="inlineStr">
        <is>
          <t>BODEN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63333-2025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46225</v>
      </c>
      <c r="F515" t="inlineStr">
        <is>
          <t>NORRBOTTENS LÄN</t>
        </is>
      </c>
      <c r="G515" t="inlineStr">
        <is>
          <t>BODEN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62994-2025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46009</v>
      </c>
      <c r="E516" s="1" t="n">
        <v>46225</v>
      </c>
      <c r="F516" t="inlineStr">
        <is>
          <t>NORRBOTTENS LÄN</t>
        </is>
      </c>
      <c r="G516" t="inlineStr">
        <is>
          <t>BODEN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46225</v>
      </c>
      <c r="F517" t="inlineStr">
        <is>
          <t>NORRBOTTENS LÄN</t>
        </is>
      </c>
      <c r="G517" t="inlineStr">
        <is>
          <t>BODEN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46225</v>
      </c>
      <c r="F518" t="inlineStr">
        <is>
          <t>NORRBOTTENS LÄN</t>
        </is>
      </c>
      <c r="G518" t="inlineStr">
        <is>
          <t>BODEN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44726</v>
      </c>
      <c r="E519" s="1" t="n">
        <v>46225</v>
      </c>
      <c r="F519" t="inlineStr">
        <is>
          <t>NORRBOTTENS LÄN</t>
        </is>
      </c>
      <c r="G519" t="inlineStr">
        <is>
          <t>BODEN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46225</v>
      </c>
      <c r="F520" t="inlineStr">
        <is>
          <t>NORRBOTTENS LÄN</t>
        </is>
      </c>
      <c r="G520" t="inlineStr">
        <is>
          <t>BODEN</t>
        </is>
      </c>
      <c r="I520" t="n">
        <v>18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26776-2026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46225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  <c r="Z521">
        <f>HYPERLINK("https://klasma.github.io/Logging_2582/knärot/A 26776-2026 karta knärot.png", "A 26776-2026")</f>
        <v/>
      </c>
      <c r="AA521">
        <f>HYPERLINK("https://klasma.github.io/Logging_2582/klagomål/A 26776-2026 FSC-klagomål.docx", "A 26776-2026")</f>
        <v/>
      </c>
      <c r="AB521">
        <f>HYPERLINK("https://klasma.github.io/Logging_2582/klagomålsmail/A 26776-2026 FSC-klagomål mail.docx", "A 26776-2026")</f>
        <v/>
      </c>
      <c r="AC521">
        <f>HYPERLINK("https://klasma.github.io/Logging_2582/tillsyn/A 26776-2026 tillsynsbegäran.docx", "A 26776-2026")</f>
        <v/>
      </c>
      <c r="AD521">
        <f>HYPERLINK("https://klasma.github.io/Logging_2582/tillsynsmail/A 26776-2026 tillsynsbegäran mail.docx", "A 26776-2026")</f>
        <v/>
      </c>
    </row>
    <row r="522" ht="15" customHeight="1">
      <c r="A522" t="inlineStr">
        <is>
          <t>A 63398-2025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46012</v>
      </c>
      <c r="E522" s="1" t="n">
        <v>46225</v>
      </c>
      <c r="F522" t="inlineStr">
        <is>
          <t>NORRBOTTENS LÄN</t>
        </is>
      </c>
      <c r="G522" t="inlineStr">
        <is>
          <t>BODEN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26448-2026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46225</v>
      </c>
      <c r="F523" t="inlineStr">
        <is>
          <t>NORRBOTTENS LÄN</t>
        </is>
      </c>
      <c r="G523" t="inlineStr">
        <is>
          <t>BODEN</t>
        </is>
      </c>
      <c r="I523" t="n">
        <v>7.7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46012</v>
      </c>
      <c r="E524" s="1" t="n">
        <v>46225</v>
      </c>
      <c r="F524" t="inlineStr">
        <is>
          <t>NORRBOTTENS LÄN</t>
        </is>
      </c>
      <c r="G524" t="inlineStr">
        <is>
          <t>BODEN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46225</v>
      </c>
      <c r="F525" t="inlineStr">
        <is>
          <t>NORRBOTTENS LÄN</t>
        </is>
      </c>
      <c r="G525" t="inlineStr">
        <is>
          <t>BODEN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42173-2025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45902</v>
      </c>
      <c r="E526" s="1" t="n">
        <v>46225</v>
      </c>
      <c r="F526" t="inlineStr">
        <is>
          <t>NORRBOTTENS LÄN</t>
        </is>
      </c>
      <c r="G526" t="inlineStr">
        <is>
          <t>BODEN</t>
        </is>
      </c>
      <c r="H526" t="inlineStr">
        <is>
          <t>Övriga statliga verk och myndigheter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46225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63891-2025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46020</v>
      </c>
      <c r="E528" s="1" t="n">
        <v>46225</v>
      </c>
      <c r="F528" t="inlineStr">
        <is>
          <t>NORRBOTTENS LÄN</t>
        </is>
      </c>
      <c r="G528" t="inlineStr">
        <is>
          <t>BODEN</t>
        </is>
      </c>
      <c r="I528" t="n">
        <v>12.5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46225</v>
      </c>
      <c r="F529" t="inlineStr">
        <is>
          <t>NORRBOTTENS LÄN</t>
        </is>
      </c>
      <c r="G529" t="inlineStr">
        <is>
          <t>BODEN</t>
        </is>
      </c>
      <c r="H529" t="inlineStr">
        <is>
          <t>Sveaskog</t>
        </is>
      </c>
      <c r="I529" t="n">
        <v>42.2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12893-2022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44642</v>
      </c>
      <c r="E530" s="1" t="n">
        <v>46225</v>
      </c>
      <c r="F530" t="inlineStr">
        <is>
          <t>NORRBOTTENS LÄN</t>
        </is>
      </c>
      <c r="G530" t="inlineStr">
        <is>
          <t>BODEN</t>
        </is>
      </c>
      <c r="H530" t="inlineStr">
        <is>
          <t>Övriga statliga verk och myndigheter</t>
        </is>
      </c>
      <c r="I530" t="n">
        <v>15.8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45548</v>
      </c>
      <c r="E531" s="1" t="n">
        <v>46225</v>
      </c>
      <c r="F531" t="inlineStr">
        <is>
          <t>NORRBOTTENS LÄN</t>
        </is>
      </c>
      <c r="G531" t="inlineStr">
        <is>
          <t>BODEN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45054</v>
      </c>
      <c r="E532" s="1" t="n">
        <v>46225</v>
      </c>
      <c r="F532" t="inlineStr">
        <is>
          <t>NORRBOTTENS LÄN</t>
        </is>
      </c>
      <c r="G532" t="inlineStr">
        <is>
          <t>BODEN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11634-2026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46225</v>
      </c>
      <c r="F533" t="inlineStr">
        <is>
          <t>NORRBOTTENS LÄN</t>
        </is>
      </c>
      <c r="G533" t="inlineStr">
        <is>
          <t>BODEN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6693-2023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44963</v>
      </c>
      <c r="E534" s="1" t="n">
        <v>46225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55628-2023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45238</v>
      </c>
      <c r="E535" s="1" t="n">
        <v>46225</v>
      </c>
      <c r="F535" t="inlineStr">
        <is>
          <t>NORRBOTTENS LÄN</t>
        </is>
      </c>
      <c r="G535" t="inlineStr">
        <is>
          <t>BODEN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26714-2026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46225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45764</v>
      </c>
      <c r="E537" s="1" t="n">
        <v>46225</v>
      </c>
      <c r="F537" t="inlineStr">
        <is>
          <t>NORRBOTTENS LÄN</t>
        </is>
      </c>
      <c r="G537" t="inlineStr">
        <is>
          <t>BODEN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40115-2025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45893</v>
      </c>
      <c r="E538" s="1" t="n">
        <v>46225</v>
      </c>
      <c r="F538" t="inlineStr">
        <is>
          <t>NORRBOTTENS LÄN</t>
        </is>
      </c>
      <c r="G538" t="inlineStr">
        <is>
          <t>BODEN</t>
        </is>
      </c>
      <c r="H538" t="inlineStr">
        <is>
          <t>Övriga statliga verk och myndigheter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18866-2025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45764</v>
      </c>
      <c r="E539" s="1" t="n">
        <v>46225</v>
      </c>
      <c r="F539" t="inlineStr">
        <is>
          <t>NORRBOTTENS LÄN</t>
        </is>
      </c>
      <c r="G539" t="inlineStr">
        <is>
          <t>BODEN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19584-2025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45770</v>
      </c>
      <c r="E540" s="1" t="n">
        <v>46225</v>
      </c>
      <c r="F540" t="inlineStr">
        <is>
          <t>NORRBOTTENS LÄN</t>
        </is>
      </c>
      <c r="G540" t="inlineStr">
        <is>
          <t>BODEN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14995-2022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44657</v>
      </c>
      <c r="E541" s="1" t="n">
        <v>46225</v>
      </c>
      <c r="F541" t="inlineStr">
        <is>
          <t>NORRBOTTENS LÄN</t>
        </is>
      </c>
      <c r="G541" t="inlineStr">
        <is>
          <t>BODEN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15000-2022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44657</v>
      </c>
      <c r="E542" s="1" t="n">
        <v>46225</v>
      </c>
      <c r="F542" t="inlineStr">
        <is>
          <t>NORRBOTTENS LÄN</t>
        </is>
      </c>
      <c r="G542" t="inlineStr">
        <is>
          <t>BODEN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11647-2023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44994</v>
      </c>
      <c r="E543" s="1" t="n">
        <v>46225</v>
      </c>
      <c r="F543" t="inlineStr">
        <is>
          <t>NORRBOTTENS LÄN</t>
        </is>
      </c>
      <c r="G543" t="inlineStr">
        <is>
          <t>BODEN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44673</v>
      </c>
      <c r="E544" s="1" t="n">
        <v>46225</v>
      </c>
      <c r="F544" t="inlineStr">
        <is>
          <t>NORRBOTTENS LÄN</t>
        </is>
      </c>
      <c r="G544" t="inlineStr">
        <is>
          <t>BODEN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46185</v>
      </c>
      <c r="E545" s="1" t="n">
        <v>46225</v>
      </c>
      <c r="F545" t="inlineStr">
        <is>
          <t>NORRBOTTENS LÄN</t>
        </is>
      </c>
      <c r="G545" t="inlineStr">
        <is>
          <t>BODEN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33511-2025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45841</v>
      </c>
      <c r="E546" s="1" t="n">
        <v>46225</v>
      </c>
      <c r="F546" t="inlineStr">
        <is>
          <t>NORRBOTTENS LÄN</t>
        </is>
      </c>
      <c r="G546" t="inlineStr">
        <is>
          <t>BODEN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42196-2024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45562</v>
      </c>
      <c r="E547" s="1" t="n">
        <v>46225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47922-2024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45589</v>
      </c>
      <c r="E548" s="1" t="n">
        <v>46225</v>
      </c>
      <c r="F548" t="inlineStr">
        <is>
          <t>NORRBOTTENS LÄN</t>
        </is>
      </c>
      <c r="G548" t="inlineStr">
        <is>
          <t>BODEN</t>
        </is>
      </c>
      <c r="H548" t="inlineStr">
        <is>
          <t>Naturvårdsverket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45589</v>
      </c>
      <c r="E549" s="1" t="n">
        <v>46225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46225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46225</v>
      </c>
      <c r="F551" t="inlineStr">
        <is>
          <t>NORRBOTTENS LÄN</t>
        </is>
      </c>
      <c r="G551" t="inlineStr">
        <is>
          <t>BODEN</t>
        </is>
      </c>
      <c r="I551" t="n">
        <v>22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21279-2026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46225</v>
      </c>
      <c r="F552" t="inlineStr">
        <is>
          <t>NORRBOTTENS LÄN</t>
        </is>
      </c>
      <c r="G552" t="inlineStr">
        <is>
          <t>BODEN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21784-2026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46150</v>
      </c>
      <c r="E553" s="1" t="n">
        <v>46225</v>
      </c>
      <c r="F553" t="inlineStr">
        <is>
          <t>NORRBOTTENS LÄN</t>
        </is>
      </c>
      <c r="G553" t="inlineStr">
        <is>
          <t>BODEN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46150</v>
      </c>
      <c r="E554" s="1" t="n">
        <v>46225</v>
      </c>
      <c r="F554" t="inlineStr">
        <is>
          <t>NORRBOTTENS LÄN</t>
        </is>
      </c>
      <c r="G554" t="inlineStr">
        <is>
          <t>BODEN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22259-2026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46150</v>
      </c>
      <c r="E555" s="1" t="n">
        <v>46225</v>
      </c>
      <c r="F555" t="inlineStr">
        <is>
          <t>NORRBOTTENS LÄN</t>
        </is>
      </c>
      <c r="G555" t="inlineStr">
        <is>
          <t>BODEN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46149</v>
      </c>
      <c r="E556" s="1" t="n">
        <v>46225</v>
      </c>
      <c r="F556" t="inlineStr">
        <is>
          <t>NORRBOTTENS LÄN</t>
        </is>
      </c>
      <c r="G556" t="inlineStr">
        <is>
          <t>BODEN</t>
        </is>
      </c>
      <c r="I556" t="n">
        <v>11.6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21610-2026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46225</v>
      </c>
      <c r="F557" t="inlineStr">
        <is>
          <t>NORRBOTTENS LÄN</t>
        </is>
      </c>
      <c r="G557" t="inlineStr">
        <is>
          <t>BODEN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46191</v>
      </c>
      <c r="E558" s="1" t="n">
        <v>46225</v>
      </c>
      <c r="F558" t="inlineStr">
        <is>
          <t>NORRBOTTENS LÄN</t>
        </is>
      </c>
      <c r="G558" t="inlineStr">
        <is>
          <t>BODEN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46191</v>
      </c>
      <c r="E559" s="1" t="n">
        <v>46225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46149</v>
      </c>
      <c r="E560" s="1" t="n">
        <v>46225</v>
      </c>
      <c r="F560" t="inlineStr">
        <is>
          <t>NORRBOTTENS LÄN</t>
        </is>
      </c>
      <c r="G560" t="inlineStr">
        <is>
          <t>BODEN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45625</v>
      </c>
      <c r="E561" s="1" t="n">
        <v>46225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59029-2022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44903</v>
      </c>
      <c r="E562" s="1" t="n">
        <v>46225</v>
      </c>
      <c r="F562" t="inlineStr">
        <is>
          <t>NORRBOTTENS LÄN</t>
        </is>
      </c>
      <c r="G562" t="inlineStr">
        <is>
          <t>BODEN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22239-2026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46154</v>
      </c>
      <c r="E563" s="1" t="n">
        <v>46225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46225</v>
      </c>
      <c r="F564" t="inlineStr">
        <is>
          <t>NORRBOTTENS LÄN</t>
        </is>
      </c>
      <c r="G564" t="inlineStr">
        <is>
          <t>BODEN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46225</v>
      </c>
      <c r="F565" t="inlineStr">
        <is>
          <t>NORRBOTTENS LÄN</t>
        </is>
      </c>
      <c r="G565" t="inlineStr">
        <is>
          <t>BODEN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51193-2023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45212</v>
      </c>
      <c r="E566" s="1" t="n">
        <v>46225</v>
      </c>
      <c r="F566" t="inlineStr">
        <is>
          <t>NORRBOTTENS LÄN</t>
        </is>
      </c>
      <c r="G566" t="inlineStr">
        <is>
          <t>BODEN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16699-2024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45408</v>
      </c>
      <c r="E567" s="1" t="n">
        <v>46225</v>
      </c>
      <c r="F567" t="inlineStr">
        <is>
          <t>NORRBOTTENS LÄN</t>
        </is>
      </c>
      <c r="G567" t="inlineStr">
        <is>
          <t>BODEN</t>
        </is>
      </c>
      <c r="I567" t="n">
        <v>14.9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19068-2024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45427</v>
      </c>
      <c r="E568" s="1" t="n">
        <v>46225</v>
      </c>
      <c r="F568" t="inlineStr">
        <is>
          <t>NORRBOTTENS LÄN</t>
        </is>
      </c>
      <c r="G568" t="inlineStr">
        <is>
          <t>BODEN</t>
        </is>
      </c>
      <c r="I568" t="n">
        <v>22.1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38370-2023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45161</v>
      </c>
      <c r="E569" s="1" t="n">
        <v>46225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46225</v>
      </c>
      <c r="F570" t="inlineStr">
        <is>
          <t>NORRBOTTENS LÄN</t>
        </is>
      </c>
      <c r="G570" t="inlineStr">
        <is>
          <t>BODEN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46225</v>
      </c>
      <c r="F571" t="inlineStr">
        <is>
          <t>NORRBOTTENS LÄN</t>
        </is>
      </c>
      <c r="G571" t="inlineStr">
        <is>
          <t>BODEN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46225</v>
      </c>
      <c r="F572" t="inlineStr">
        <is>
          <t>NORRBOTTENS LÄN</t>
        </is>
      </c>
      <c r="G572" t="inlineStr">
        <is>
          <t>BODEN</t>
        </is>
      </c>
      <c r="I572" t="n">
        <v>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46225</v>
      </c>
      <c r="F573" t="inlineStr">
        <is>
          <t>NORRBOTTENS LÄN</t>
        </is>
      </c>
      <c r="G573" t="inlineStr">
        <is>
          <t>BODEN</t>
        </is>
      </c>
      <c r="I573" t="n">
        <v>10.8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45929-2023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45195</v>
      </c>
      <c r="E574" s="1" t="n">
        <v>46225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28490-2026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46197</v>
      </c>
      <c r="E575" s="1" t="n">
        <v>46225</v>
      </c>
      <c r="F575" t="inlineStr">
        <is>
          <t>NORRBOTTENS LÄN</t>
        </is>
      </c>
      <c r="G575" t="inlineStr">
        <is>
          <t>BODEN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46225</v>
      </c>
      <c r="F576" t="inlineStr">
        <is>
          <t>NORRBOTTENS LÄN</t>
        </is>
      </c>
      <c r="G576" t="inlineStr">
        <is>
          <t>BODEN</t>
        </is>
      </c>
      <c r="I576" t="n">
        <v>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45988</v>
      </c>
      <c r="E577" s="1" t="n">
        <v>46225</v>
      </c>
      <c r="F577" t="inlineStr">
        <is>
          <t>NORRBOTTENS LÄN</t>
        </is>
      </c>
      <c r="G577" t="inlineStr">
        <is>
          <t>BODEN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45646</v>
      </c>
      <c r="E578" s="1" t="n">
        <v>46225</v>
      </c>
      <c r="F578" t="inlineStr">
        <is>
          <t>NORRBOTTENS LÄN</t>
        </is>
      </c>
      <c r="G578" t="inlineStr">
        <is>
          <t>BODEN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28566-2026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46225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35040-2022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44796</v>
      </c>
      <c r="E580" s="1" t="n">
        <v>46225</v>
      </c>
      <c r="F580" t="inlineStr">
        <is>
          <t>NORRBOTTENS LÄN</t>
        </is>
      </c>
      <c r="G580" t="inlineStr">
        <is>
          <t>BODEN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46225</v>
      </c>
      <c r="F581" t="inlineStr">
        <is>
          <t>NORRBOTTENS LÄN</t>
        </is>
      </c>
      <c r="G581" t="inlineStr">
        <is>
          <t>BODEN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21329-2024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45440</v>
      </c>
      <c r="E582" s="1" t="n">
        <v>46225</v>
      </c>
      <c r="F582" t="inlineStr">
        <is>
          <t>NORRBOTTENS LÄN</t>
        </is>
      </c>
      <c r="G582" t="inlineStr">
        <is>
          <t>BODEN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46197</v>
      </c>
      <c r="E583" s="1" t="n">
        <v>46225</v>
      </c>
      <c r="F583" t="inlineStr">
        <is>
          <t>NORRBOTTENS LÄN</t>
        </is>
      </c>
      <c r="G583" t="inlineStr">
        <is>
          <t>BODEN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46225</v>
      </c>
      <c r="F584" t="inlineStr">
        <is>
          <t>NORRBOTTENS LÄN</t>
        </is>
      </c>
      <c r="G584" t="inlineStr">
        <is>
          <t>BODEN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46202</v>
      </c>
      <c r="E585" s="1" t="n">
        <v>46225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45085</v>
      </c>
      <c r="E586" s="1" t="n">
        <v>46225</v>
      </c>
      <c r="F586" t="inlineStr">
        <is>
          <t>NORRBOTTENS LÄN</t>
        </is>
      </c>
      <c r="G586" t="inlineStr">
        <is>
          <t>BODEN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45153</v>
      </c>
      <c r="E587" s="1" t="n">
        <v>46225</v>
      </c>
      <c r="F587" t="inlineStr">
        <is>
          <t>NORRBOTTENS LÄN</t>
        </is>
      </c>
      <c r="G587" t="inlineStr">
        <is>
          <t>BODEN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46225</v>
      </c>
      <c r="F588" t="inlineStr">
        <is>
          <t>NORRBOTTENS LÄN</t>
        </is>
      </c>
      <c r="G588" t="inlineStr">
        <is>
          <t>BODEN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61750-2024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45649</v>
      </c>
      <c r="E589" s="1" t="n">
        <v>46225</v>
      </c>
      <c r="F589" t="inlineStr">
        <is>
          <t>NORRBOTTENS LÄN</t>
        </is>
      </c>
      <c r="G589" t="inlineStr">
        <is>
          <t>BODEN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46225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46225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36112-2023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45149</v>
      </c>
      <c r="E592" s="1" t="n">
        <v>46225</v>
      </c>
      <c r="F592" t="inlineStr">
        <is>
          <t>NORRBOTTENS LÄN</t>
        </is>
      </c>
      <c r="G592" t="inlineStr">
        <is>
          <t>BODEN</t>
        </is>
      </c>
      <c r="I592" t="n">
        <v>16.1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46225</v>
      </c>
      <c r="F593" t="inlineStr">
        <is>
          <t>NORRBOTTENS LÄN</t>
        </is>
      </c>
      <c r="G593" t="inlineStr">
        <is>
          <t>BODEN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46225</v>
      </c>
      <c r="F594" t="inlineStr">
        <is>
          <t>NORRBOTTENS LÄN</t>
        </is>
      </c>
      <c r="G594" t="inlineStr">
        <is>
          <t>BODEN</t>
        </is>
      </c>
      <c r="I594" t="n">
        <v>38.7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48107-2022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44856</v>
      </c>
      <c r="E595" s="1" t="n">
        <v>46225</v>
      </c>
      <c r="F595" t="inlineStr">
        <is>
          <t>NORRBOTTENS LÄN</t>
        </is>
      </c>
      <c r="G595" t="inlineStr">
        <is>
          <t>BODEN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29555-2026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46225</v>
      </c>
      <c r="F596" t="inlineStr">
        <is>
          <t>NORRBOTTENS LÄN</t>
        </is>
      </c>
      <c r="G596" t="inlineStr">
        <is>
          <t>BODEN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45103</v>
      </c>
      <c r="E597" s="1" t="n">
        <v>46225</v>
      </c>
      <c r="F597" t="inlineStr">
        <is>
          <t>NORRBOTTENS LÄN</t>
        </is>
      </c>
      <c r="G597" t="inlineStr">
        <is>
          <t>BODEN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40624-2022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44823</v>
      </c>
      <c r="E598" s="1" t="n">
        <v>46225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46225</v>
      </c>
      <c r="F599" t="inlineStr">
        <is>
          <t>NORRBOTTENS LÄN</t>
        </is>
      </c>
      <c r="G599" t="inlineStr">
        <is>
          <t>BODEN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45818</v>
      </c>
      <c r="E600" s="1" t="n">
        <v>46225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11.3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46225</v>
      </c>
      <c r="F601" t="inlineStr">
        <is>
          <t>NORRBOTTENS LÄN</t>
        </is>
      </c>
      <c r="G601" t="inlineStr">
        <is>
          <t>BODEN</t>
        </is>
      </c>
      <c r="I601" t="n">
        <v>12.2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718-2022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44568</v>
      </c>
      <c r="E602" s="1" t="n">
        <v>46225</v>
      </c>
      <c r="F602" t="inlineStr">
        <is>
          <t>NORRBOTTENS LÄN</t>
        </is>
      </c>
      <c r="G602" t="inlineStr">
        <is>
          <t>BODEN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46225</v>
      </c>
      <c r="F603" t="inlineStr">
        <is>
          <t>NORRBOTTENS LÄN</t>
        </is>
      </c>
      <c r="G603" t="inlineStr">
        <is>
          <t>BODEN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37212-2025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45875</v>
      </c>
      <c r="E604" s="1" t="n">
        <v>46225</v>
      </c>
      <c r="F604" t="inlineStr">
        <is>
          <t>NORRBOTTENS LÄN</t>
        </is>
      </c>
      <c r="G604" t="inlineStr">
        <is>
          <t>BODEN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45667</v>
      </c>
      <c r="E605" s="1" t="n">
        <v>46225</v>
      </c>
      <c r="F605" t="inlineStr">
        <is>
          <t>NORRBOTTENS LÄN</t>
        </is>
      </c>
      <c r="G605" t="inlineStr">
        <is>
          <t>BODEN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13714-2022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44648</v>
      </c>
      <c r="E606" s="1" t="n">
        <v>46225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45744</v>
      </c>
      <c r="E607" s="1" t="n">
        <v>46225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45691</v>
      </c>
      <c r="E608" s="1" t="n">
        <v>46225</v>
      </c>
      <c r="F608" t="inlineStr">
        <is>
          <t>NORRBOTTENS LÄN</t>
        </is>
      </c>
      <c r="G608" t="inlineStr">
        <is>
          <t>BODEN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31007-2024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45499</v>
      </c>
      <c r="E609" s="1" t="n">
        <v>46225</v>
      </c>
      <c r="F609" t="inlineStr">
        <is>
          <t>NORRBOTTENS LÄN</t>
        </is>
      </c>
      <c r="G609" t="inlineStr">
        <is>
          <t>BODEN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45446-2023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45194</v>
      </c>
      <c r="E610" s="1" t="n">
        <v>46225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61743-2024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45649</v>
      </c>
      <c r="E611" s="1" t="n">
        <v>46225</v>
      </c>
      <c r="F611" t="inlineStr">
        <is>
          <t>NORRBOTTENS LÄN</t>
        </is>
      </c>
      <c r="G611" t="inlineStr">
        <is>
          <t>BODEN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8571-2025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45709</v>
      </c>
      <c r="E612" s="1" t="n">
        <v>46225</v>
      </c>
      <c r="F612" t="inlineStr">
        <is>
          <t>NORRBOTTENS LÄN</t>
        </is>
      </c>
      <c r="G612" t="inlineStr">
        <is>
          <t>BODEN</t>
        </is>
      </c>
      <c r="H612" t="inlineStr">
        <is>
          <t>Övriga Aktiebolag</t>
        </is>
      </c>
      <c r="I612" t="n">
        <v>14.3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18871-2025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46225</v>
      </c>
      <c r="F613" t="inlineStr">
        <is>
          <t>NORRBOTTENS LÄN</t>
        </is>
      </c>
      <c r="G613" t="inlineStr">
        <is>
          <t>BODEN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46225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15.2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20260-2025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45773</v>
      </c>
      <c r="E615" s="1" t="n">
        <v>46225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23790-2026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46164</v>
      </c>
      <c r="E616" s="1" t="n">
        <v>46225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23792-2026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46164</v>
      </c>
      <c r="E617" s="1" t="n">
        <v>46225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30077-2026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46206</v>
      </c>
      <c r="E618" s="1" t="n">
        <v>46225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23788-2026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46164</v>
      </c>
      <c r="E619" s="1" t="n">
        <v>46225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46225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46512-2021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44445</v>
      </c>
      <c r="E621" s="1" t="n">
        <v>46225</v>
      </c>
      <c r="F621" t="inlineStr">
        <is>
          <t>NORRBOTTENS LÄN</t>
        </is>
      </c>
      <c r="G621" t="inlineStr">
        <is>
          <t>BODEN</t>
        </is>
      </c>
      <c r="I621" t="n">
        <v>7.2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1962-2025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45672</v>
      </c>
      <c r="E622" s="1" t="n">
        <v>46225</v>
      </c>
      <c r="F622" t="inlineStr">
        <is>
          <t>NORRBOTTENS LÄN</t>
        </is>
      </c>
      <c r="G622" t="inlineStr">
        <is>
          <t>BODEN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46225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45674</v>
      </c>
      <c r="E624" s="1" t="n">
        <v>46225</v>
      </c>
      <c r="F624" t="inlineStr">
        <is>
          <t>NORRBOTTENS LÄN</t>
        </is>
      </c>
      <c r="G624" t="inlineStr">
        <is>
          <t>BODEN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55080-2021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44474</v>
      </c>
      <c r="E625" s="1" t="n">
        <v>46225</v>
      </c>
      <c r="F625" t="inlineStr">
        <is>
          <t>NORRBOTTENS LÄN</t>
        </is>
      </c>
      <c r="G625" t="inlineStr">
        <is>
          <t>BODEN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16336-2026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46111</v>
      </c>
      <c r="E626" s="1" t="n">
        <v>46225</v>
      </c>
      <c r="F626" t="inlineStr">
        <is>
          <t>NORRBOTTENS LÄN</t>
        </is>
      </c>
      <c r="G626" t="inlineStr">
        <is>
          <t>BODEN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46225</v>
      </c>
      <c r="F627" t="inlineStr">
        <is>
          <t>NORRBOTTENS LÄN</t>
        </is>
      </c>
      <c r="G627" t="inlineStr">
        <is>
          <t>BODEN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45748</v>
      </c>
      <c r="E628" s="1" t="n">
        <v>46225</v>
      </c>
      <c r="F628" t="inlineStr">
        <is>
          <t>NORRBOTTENS LÄN</t>
        </is>
      </c>
      <c r="G628" t="inlineStr">
        <is>
          <t>BODEN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46225</v>
      </c>
      <c r="F629" t="inlineStr">
        <is>
          <t>NORRBOTTENS LÄN</t>
        </is>
      </c>
      <c r="G629" t="inlineStr">
        <is>
          <t>BODEN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46225</v>
      </c>
      <c r="F630" t="inlineStr">
        <is>
          <t>NORRBOTTENS LÄN</t>
        </is>
      </c>
      <c r="G630" t="inlineStr">
        <is>
          <t>BODEN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67438-2021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44524</v>
      </c>
      <c r="E631" s="1" t="n">
        <v>46225</v>
      </c>
      <c r="F631" t="inlineStr">
        <is>
          <t>NORRBOTTENS LÄN</t>
        </is>
      </c>
      <c r="G631" t="inlineStr">
        <is>
          <t>BODEN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18173-2025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45761</v>
      </c>
      <c r="E632" s="1" t="n">
        <v>46225</v>
      </c>
      <c r="F632" t="inlineStr">
        <is>
          <t>NORRBOTTENS LÄN</t>
        </is>
      </c>
      <c r="G632" t="inlineStr">
        <is>
          <t>BODEN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54104-2022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44881</v>
      </c>
      <c r="E633" s="1" t="n">
        <v>46225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40157-2025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45894</v>
      </c>
      <c r="E634" s="1" t="n">
        <v>46225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statliga verk och myndigheter</t>
        </is>
      </c>
      <c r="I634" t="n">
        <v>17.6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46225</v>
      </c>
      <c r="F635" t="inlineStr">
        <is>
          <t>NORRBOTTENS LÄN</t>
        </is>
      </c>
      <c r="G635" t="inlineStr">
        <is>
          <t>BODEN</t>
        </is>
      </c>
      <c r="H635" t="inlineStr">
        <is>
          <t>Kommuner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46225</v>
      </c>
      <c r="F636" t="inlineStr">
        <is>
          <t>NORRBOTTENS LÄN</t>
        </is>
      </c>
      <c r="G636" t="inlineStr">
        <is>
          <t>BODEN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46225</v>
      </c>
      <c r="F637" t="inlineStr">
        <is>
          <t>NORRBOTTENS LÄN</t>
        </is>
      </c>
      <c r="G637" t="inlineStr">
        <is>
          <t>BODEN</t>
        </is>
      </c>
      <c r="H637" t="inlineStr">
        <is>
          <t>Kommuner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46225</v>
      </c>
      <c r="F638" t="inlineStr">
        <is>
          <t>NORRBOTTENS LÄN</t>
        </is>
      </c>
      <c r="G638" t="inlineStr">
        <is>
          <t>BODEN</t>
        </is>
      </c>
      <c r="H638" t="inlineStr">
        <is>
          <t>Kommuner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45248</v>
      </c>
      <c r="E639" s="1" t="n">
        <v>46225</v>
      </c>
      <c r="F639" t="inlineStr">
        <is>
          <t>NORRBOTTENS LÄN</t>
        </is>
      </c>
      <c r="G639" t="inlineStr">
        <is>
          <t>BODEN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46225</v>
      </c>
      <c r="F640" t="inlineStr">
        <is>
          <t>NORRBOTTENS LÄN</t>
        </is>
      </c>
      <c r="G640" t="inlineStr">
        <is>
          <t>BODEN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30332-2026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46208</v>
      </c>
      <c r="E641" s="1" t="n">
        <v>46225</v>
      </c>
      <c r="F641" t="inlineStr">
        <is>
          <t>NORRBOTTENS LÄN</t>
        </is>
      </c>
      <c r="G641" t="inlineStr">
        <is>
          <t>BODEN</t>
        </is>
      </c>
      <c r="I641" t="n">
        <v>9.800000000000001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46225</v>
      </c>
      <c r="F642" t="inlineStr">
        <is>
          <t>NORRBOTTENS LÄN</t>
        </is>
      </c>
      <c r="G642" t="inlineStr">
        <is>
          <t>BODEN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46225</v>
      </c>
      <c r="F643" t="inlineStr">
        <is>
          <t>NORRBOTTENS LÄN</t>
        </is>
      </c>
      <c r="G643" t="inlineStr">
        <is>
          <t>BODEN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46225</v>
      </c>
      <c r="F644" t="inlineStr">
        <is>
          <t>NORRBOTTENS LÄN</t>
        </is>
      </c>
      <c r="G644" t="inlineStr">
        <is>
          <t>BODEN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24227-2026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46225</v>
      </c>
      <c r="F645" t="inlineStr">
        <is>
          <t>NORRBOTTENS LÄN</t>
        </is>
      </c>
      <c r="G645" t="inlineStr">
        <is>
          <t>BODEN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49127-2023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45210</v>
      </c>
      <c r="E646" s="1" t="n">
        <v>46225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30745-2026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46211</v>
      </c>
      <c r="E647" s="1" t="n">
        <v>46225</v>
      </c>
      <c r="F647" t="inlineStr">
        <is>
          <t>NORRBOTTENS LÄN</t>
        </is>
      </c>
      <c r="G647" t="inlineStr">
        <is>
          <t>BODEN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55540-2022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44887</v>
      </c>
      <c r="E648" s="1" t="n">
        <v>46225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467-2022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44565</v>
      </c>
      <c r="E649" s="1" t="n">
        <v>46225</v>
      </c>
      <c r="F649" t="inlineStr">
        <is>
          <t>NORRBOTTENS LÄN</t>
        </is>
      </c>
      <c r="G649" t="inlineStr">
        <is>
          <t>BODEN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54616-2023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45233</v>
      </c>
      <c r="E650" s="1" t="n">
        <v>46225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22460-2023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45070</v>
      </c>
      <c r="E651" s="1" t="n">
        <v>46225</v>
      </c>
      <c r="F651" t="inlineStr">
        <is>
          <t>NORRBOTTENS LÄN</t>
        </is>
      </c>
      <c r="G651" t="inlineStr">
        <is>
          <t>BODEN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25920-2023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45085</v>
      </c>
      <c r="E652" s="1" t="n">
        <v>46225</v>
      </c>
      <c r="F652" t="inlineStr">
        <is>
          <t>NORRBOTTENS LÄN</t>
        </is>
      </c>
      <c r="G652" t="inlineStr">
        <is>
          <t>BODEN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45115-2021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44438</v>
      </c>
      <c r="E653" s="1" t="n">
        <v>46225</v>
      </c>
      <c r="F653" t="inlineStr">
        <is>
          <t>NORRBOTTENS LÄN</t>
        </is>
      </c>
      <c r="G653" t="inlineStr">
        <is>
          <t>BODEN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45677-2021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44441</v>
      </c>
      <c r="E654" s="1" t="n">
        <v>46225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68591-2021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44529</v>
      </c>
      <c r="E655" s="1" t="n">
        <v>46225</v>
      </c>
      <c r="F655" t="inlineStr">
        <is>
          <t>NORRBOTTENS LÄN</t>
        </is>
      </c>
      <c r="G655" t="inlineStr">
        <is>
          <t>BODEN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46225</v>
      </c>
      <c r="F656" t="inlineStr">
        <is>
          <t>NORRBOTTENS LÄN</t>
        </is>
      </c>
      <c r="G656" t="inlineStr">
        <is>
          <t>BODEN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46225</v>
      </c>
      <c r="F657" t="inlineStr">
        <is>
          <t>NORRBOTTENS LÄN</t>
        </is>
      </c>
      <c r="G657" t="inlineStr">
        <is>
          <t>BODEN</t>
        </is>
      </c>
      <c r="I657" t="n">
        <v>14.5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46171</v>
      </c>
      <c r="E658" s="1" t="n">
        <v>46225</v>
      </c>
      <c r="F658" t="inlineStr">
        <is>
          <t>NORRBOTTENS LÄN</t>
        </is>
      </c>
      <c r="G658" t="inlineStr">
        <is>
          <t>BODEN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52075-2021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44463</v>
      </c>
      <c r="E659" s="1" t="n">
        <v>46225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24805-2026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46172</v>
      </c>
      <c r="E660" s="1" t="n">
        <v>46225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46217</v>
      </c>
      <c r="E661" s="1" t="n">
        <v>46225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8.800000000000001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38219-2022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44812</v>
      </c>
      <c r="E662" s="1" t="n">
        <v>46225</v>
      </c>
      <c r="F662" t="inlineStr">
        <is>
          <t>NORRBOTTENS LÄN</t>
        </is>
      </c>
      <c r="G662" t="inlineStr">
        <is>
          <t>BODEN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25387-2023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45079</v>
      </c>
      <c r="E663" s="1" t="n">
        <v>46225</v>
      </c>
      <c r="F663" t="inlineStr">
        <is>
          <t>NORRBOTTENS LÄN</t>
        </is>
      </c>
      <c r="G663" t="inlineStr">
        <is>
          <t>BODEN</t>
        </is>
      </c>
      <c r="I663" t="n">
        <v>6.7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25042-2026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46225</v>
      </c>
      <c r="F664" t="inlineStr">
        <is>
          <t>NORRBOTTENS LÄN</t>
        </is>
      </c>
      <c r="G664" t="inlineStr">
        <is>
          <t>BODEN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28444-2023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45102</v>
      </c>
      <c r="E665" s="1" t="n">
        <v>46225</v>
      </c>
      <c r="F665" t="inlineStr">
        <is>
          <t>NORRBOTTENS LÄN</t>
        </is>
      </c>
      <c r="G665" t="inlineStr">
        <is>
          <t>BODEN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25240-2026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46175</v>
      </c>
      <c r="E666" s="1" t="n">
        <v>46225</v>
      </c>
      <c r="F666" t="inlineStr">
        <is>
          <t>NORRBOTTENS LÄN</t>
        </is>
      </c>
      <c r="G666" t="inlineStr">
        <is>
          <t>BODEN</t>
        </is>
      </c>
      <c r="I666" t="n">
        <v>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48592-2024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45593</v>
      </c>
      <c r="E667" s="1" t="n">
        <v>46225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31217-2026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46217</v>
      </c>
      <c r="E668" s="1" t="n">
        <v>46225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46217</v>
      </c>
      <c r="E669" s="1" t="n">
        <v>46225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46225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18.5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46225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16222-2024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46225</v>
      </c>
      <c r="F672" t="inlineStr">
        <is>
          <t>NORRBOTTENS LÄN</t>
        </is>
      </c>
      <c r="G672" t="inlineStr">
        <is>
          <t>BODEN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25571-2026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46225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46225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58877-2021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44489</v>
      </c>
      <c r="E675" s="1" t="n">
        <v>46225</v>
      </c>
      <c r="F675" t="inlineStr">
        <is>
          <t>NORRBOTTENS LÄN</t>
        </is>
      </c>
      <c r="G675" t="inlineStr">
        <is>
          <t>BODEN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8869-2024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45356</v>
      </c>
      <c r="E676" s="1" t="n">
        <v>46225</v>
      </c>
      <c r="F676" t="inlineStr">
        <is>
          <t>NORRBOTTENS LÄN</t>
        </is>
      </c>
      <c r="G676" t="inlineStr">
        <is>
          <t>BODEN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61103-2022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44908</v>
      </c>
      <c r="E677" s="1" t="n">
        <v>46225</v>
      </c>
      <c r="F677" t="inlineStr">
        <is>
          <t>NORRBOTTENS LÄN</t>
        </is>
      </c>
      <c r="G677" t="inlineStr">
        <is>
          <t>BODEN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28359-2023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45099</v>
      </c>
      <c r="E678" s="1" t="n">
        <v>46225</v>
      </c>
      <c r="F678" t="inlineStr">
        <is>
          <t>NORRBOTTENS LÄN</t>
        </is>
      </c>
      <c r="G678" t="inlineStr">
        <is>
          <t>BODEN</t>
        </is>
      </c>
      <c r="I678" t="n">
        <v>7.6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46225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7.5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46181</v>
      </c>
      <c r="E680" s="1" t="n">
        <v>46225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26056-2026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46181</v>
      </c>
      <c r="E681" s="1" t="n">
        <v>46225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9319-2024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45358</v>
      </c>
      <c r="E682" s="1" t="n">
        <v>46225</v>
      </c>
      <c r="F682" t="inlineStr">
        <is>
          <t>NORRBOTTENS LÄN</t>
        </is>
      </c>
      <c r="G682" t="inlineStr">
        <is>
          <t>BODEN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46225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46225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45110</v>
      </c>
      <c r="E685" s="1" t="n">
        <v>46225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39272-2024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45551</v>
      </c>
      <c r="E686" s="1" t="n">
        <v>46225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37866-2024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46225</v>
      </c>
      <c r="F687" t="inlineStr">
        <is>
          <t>NORRBOTTENS LÄN</t>
        </is>
      </c>
      <c r="G687" t="inlineStr">
        <is>
          <t>BODEN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44553-2024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45574</v>
      </c>
      <c r="E688" s="1" t="n">
        <v>46225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44567-2024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45574</v>
      </c>
      <c r="E689" s="1" t="n">
        <v>46225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64649-2023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45281</v>
      </c>
      <c r="E690" s="1" t="n">
        <v>46225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68611-2021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44529</v>
      </c>
      <c r="E691" s="1" t="n">
        <v>46225</v>
      </c>
      <c r="F691" t="inlineStr">
        <is>
          <t>NORRBOTTENS LÄN</t>
        </is>
      </c>
      <c r="G691" t="inlineStr">
        <is>
          <t>BODEN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37384-2023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45156</v>
      </c>
      <c r="E692" s="1" t="n">
        <v>46225</v>
      </c>
      <c r="F692" t="inlineStr">
        <is>
          <t>NORRBOTTENS LÄN</t>
        </is>
      </c>
      <c r="G692" t="inlineStr">
        <is>
          <t>BODEN</t>
        </is>
      </c>
      <c r="I692" t="n">
        <v>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9596-2023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44983</v>
      </c>
      <c r="E693" s="1" t="n">
        <v>46225</v>
      </c>
      <c r="F693" t="inlineStr">
        <is>
          <t>NORRBOTTENS LÄN</t>
        </is>
      </c>
      <c r="G693" t="inlineStr">
        <is>
          <t>BODEN</t>
        </is>
      </c>
      <c r="I693" t="n">
        <v>37.1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54718-2024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45618</v>
      </c>
      <c r="E694" s="1" t="n">
        <v>46225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51614-2024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45604</v>
      </c>
      <c r="E695" s="1" t="n">
        <v>46225</v>
      </c>
      <c r="F695" t="inlineStr">
        <is>
          <t>NORRBOTTENS LÄN</t>
        </is>
      </c>
      <c r="G695" t="inlineStr">
        <is>
          <t>BODEN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20041-2025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45772</v>
      </c>
      <c r="E696" s="1" t="n">
        <v>46225</v>
      </c>
      <c r="F696" t="inlineStr">
        <is>
          <t>NORRBOTTENS LÄN</t>
        </is>
      </c>
      <c r="G696" t="inlineStr">
        <is>
          <t>BODEN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60337-2024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45643</v>
      </c>
      <c r="E697" s="1" t="n">
        <v>46225</v>
      </c>
      <c r="F697" t="inlineStr">
        <is>
          <t>NORRBOTTENS LÄN</t>
        </is>
      </c>
      <c r="G697" t="inlineStr">
        <is>
          <t>BODEN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67068-2021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44522</v>
      </c>
      <c r="E698" s="1" t="n">
        <v>46225</v>
      </c>
      <c r="F698" t="inlineStr">
        <is>
          <t>NORRBOTTENS LÄN</t>
        </is>
      </c>
      <c r="G698" t="inlineStr">
        <is>
          <t>BODEN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48472-2024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45591</v>
      </c>
      <c r="E699" s="1" t="n">
        <v>46225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7.7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8120-2022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44609</v>
      </c>
      <c r="E700" s="1" t="n">
        <v>46225</v>
      </c>
      <c r="F700" t="inlineStr">
        <is>
          <t>NORRBOTTENS LÄN</t>
        </is>
      </c>
      <c r="G700" t="inlineStr">
        <is>
          <t>BODEN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38371-2023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45161</v>
      </c>
      <c r="E701" s="1" t="n">
        <v>46225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38372-2023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45161</v>
      </c>
      <c r="E702" s="1" t="n">
        <v>46225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45758</v>
      </c>
      <c r="E703" s="1" t="n">
        <v>46225</v>
      </c>
      <c r="F703" t="inlineStr">
        <is>
          <t>NORRBOTTENS LÄN</t>
        </is>
      </c>
      <c r="G703" t="inlineStr">
        <is>
          <t>BODEN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34760-2022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44795</v>
      </c>
      <c r="E704" s="1" t="n">
        <v>46225</v>
      </c>
      <c r="F704" t="inlineStr">
        <is>
          <t>NORRBOTTENS LÄN</t>
        </is>
      </c>
      <c r="G704" t="inlineStr">
        <is>
          <t>BODEN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50327-2023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45216</v>
      </c>
      <c r="E705" s="1" t="n">
        <v>46225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49730-2024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45596</v>
      </c>
      <c r="E706" s="1" t="n">
        <v>46225</v>
      </c>
      <c r="F706" t="inlineStr">
        <is>
          <t>NORRBOTTENS LÄN</t>
        </is>
      </c>
      <c r="G706" t="inlineStr">
        <is>
          <t>BODEN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50103-2024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45600</v>
      </c>
      <c r="E707" s="1" t="n">
        <v>46225</v>
      </c>
      <c r="F707" t="inlineStr">
        <is>
          <t>NORRBOTTENS LÄN</t>
        </is>
      </c>
      <c r="G707" t="inlineStr">
        <is>
          <t>BODEN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50107-2024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45600</v>
      </c>
      <c r="E708" s="1" t="n">
        <v>46225</v>
      </c>
      <c r="F708" t="inlineStr">
        <is>
          <t>NORRBOTTENS LÄN</t>
        </is>
      </c>
      <c r="G708" t="inlineStr">
        <is>
          <t>BODEN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706-2022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44566</v>
      </c>
      <c r="E709" s="1" t="n">
        <v>46225</v>
      </c>
      <c r="F709" t="inlineStr">
        <is>
          <t>NORRBOTTENS LÄN</t>
        </is>
      </c>
      <c r="G709" t="inlineStr">
        <is>
          <t>BODEN</t>
        </is>
      </c>
      <c r="I709" t="n">
        <v>12.4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28758-2024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45478</v>
      </c>
      <c r="E710" s="1" t="n">
        <v>46225</v>
      </c>
      <c r="F710" t="inlineStr">
        <is>
          <t>NORRBOTTENS LÄN</t>
        </is>
      </c>
      <c r="G710" t="inlineStr">
        <is>
          <t>BODEN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16965-2024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45411</v>
      </c>
      <c r="E711" s="1" t="n">
        <v>46225</v>
      </c>
      <c r="F711" t="inlineStr">
        <is>
          <t>NORRBOTTENS LÄN</t>
        </is>
      </c>
      <c r="G711" t="inlineStr">
        <is>
          <t>BODEN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2426-2024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45310</v>
      </c>
      <c r="E712" s="1" t="n">
        <v>46225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11092-2022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44628</v>
      </c>
      <c r="E713" s="1" t="n">
        <v>46225</v>
      </c>
      <c r="F713" t="inlineStr">
        <is>
          <t>NORRBOTTENS LÄN</t>
        </is>
      </c>
      <c r="G713" t="inlineStr">
        <is>
          <t>BODEN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41957-2024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46225</v>
      </c>
      <c r="F714" t="inlineStr">
        <is>
          <t>NORRBOTTENS LÄN</t>
        </is>
      </c>
      <c r="G714" t="inlineStr">
        <is>
          <t>BODEN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32347-2024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45512</v>
      </c>
      <c r="E715" s="1" t="n">
        <v>46225</v>
      </c>
      <c r="F715" t="inlineStr">
        <is>
          <t>NORRBOTTENS LÄN</t>
        </is>
      </c>
      <c r="G715" t="inlineStr">
        <is>
          <t>BODEN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48950-2022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44859</v>
      </c>
      <c r="E716" s="1" t="n">
        <v>46225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49859-2023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45212</v>
      </c>
      <c r="E717" s="1" t="n">
        <v>46225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4630-2025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45687</v>
      </c>
      <c r="E718" s="1" t="n">
        <v>46225</v>
      </c>
      <c r="F718" t="inlineStr">
        <is>
          <t>NORRBOTTENS LÄN</t>
        </is>
      </c>
      <c r="G718" t="inlineStr">
        <is>
          <t>BODEN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41487-2024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45560</v>
      </c>
      <c r="E719" s="1" t="n">
        <v>46225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19590-2025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45770</v>
      </c>
      <c r="E720" s="1" t="n">
        <v>46225</v>
      </c>
      <c r="F720" t="inlineStr">
        <is>
          <t>NORRBOTTENS LÄN</t>
        </is>
      </c>
      <c r="G720" t="inlineStr">
        <is>
          <t>BODEN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31456-2024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45505</v>
      </c>
      <c r="E721" s="1" t="n">
        <v>46225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24744-2024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45460</v>
      </c>
      <c r="E722" s="1" t="n">
        <v>46225</v>
      </c>
      <c r="F722" t="inlineStr">
        <is>
          <t>NORRBOTTENS LÄN</t>
        </is>
      </c>
      <c r="G722" t="inlineStr">
        <is>
          <t>BODEN</t>
        </is>
      </c>
      <c r="H722" t="inlineStr">
        <is>
          <t>Övriga Aktiebolag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40781-2021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44421</v>
      </c>
      <c r="E723" s="1" t="n">
        <v>46225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55317-2023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45237</v>
      </c>
      <c r="E724" s="1" t="n">
        <v>46225</v>
      </c>
      <c r="F724" t="inlineStr">
        <is>
          <t>NORRBOTTENS LÄN</t>
        </is>
      </c>
      <c r="G724" t="inlineStr">
        <is>
          <t>BODEN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49162-2023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46225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45448-2023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45194</v>
      </c>
      <c r="E726" s="1" t="n">
        <v>46225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38874-2023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45161</v>
      </c>
      <c r="E727" s="1" t="n">
        <v>46225</v>
      </c>
      <c r="F727" t="inlineStr">
        <is>
          <t>NORRBOTTENS LÄN</t>
        </is>
      </c>
      <c r="G727" t="inlineStr">
        <is>
          <t>BODEN</t>
        </is>
      </c>
      <c r="I727" t="n">
        <v>15.5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32754-2022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44783</v>
      </c>
      <c r="E728" s="1" t="n">
        <v>46225</v>
      </c>
      <c r="F728" t="inlineStr">
        <is>
          <t>NORRBOTTENS LÄN</t>
        </is>
      </c>
      <c r="G728" t="inlineStr">
        <is>
          <t>BODEN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47097-2023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45201</v>
      </c>
      <c r="E729" s="1" t="n">
        <v>46225</v>
      </c>
      <c r="F729" t="inlineStr">
        <is>
          <t>NORRBOTTENS LÄN</t>
        </is>
      </c>
      <c r="G729" t="inlineStr">
        <is>
          <t>BODEN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11865-2025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45728</v>
      </c>
      <c r="E730" s="1" t="n">
        <v>46225</v>
      </c>
      <c r="F730" t="inlineStr">
        <is>
          <t>NORRBOTTENS LÄN</t>
        </is>
      </c>
      <c r="G730" t="inlineStr">
        <is>
          <t>BODEN</t>
        </is>
      </c>
      <c r="H730" t="inlineStr">
        <is>
          <t>Övriga Aktiebolag</t>
        </is>
      </c>
      <c r="I730" t="n">
        <v>10.6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57579-2023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45246</v>
      </c>
      <c r="E731" s="1" t="n">
        <v>46225</v>
      </c>
      <c r="F731" t="inlineStr">
        <is>
          <t>NORRBOTTENS LÄN</t>
        </is>
      </c>
      <c r="G731" t="inlineStr">
        <is>
          <t>BODEN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18428-2025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45762</v>
      </c>
      <c r="E732" s="1" t="n">
        <v>46225</v>
      </c>
      <c r="F732" t="inlineStr">
        <is>
          <t>NORRBOTTENS LÄN</t>
        </is>
      </c>
      <c r="G732" t="inlineStr">
        <is>
          <t>BODEN</t>
        </is>
      </c>
      <c r="I732" t="n">
        <v>5.8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39463-2023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45166</v>
      </c>
      <c r="E733" s="1" t="n">
        <v>46225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9940-2025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45718</v>
      </c>
      <c r="E734" s="1" t="n">
        <v>46225</v>
      </c>
      <c r="F734" t="inlineStr">
        <is>
          <t>NORRBOTTENS LÄN</t>
        </is>
      </c>
      <c r="G734" t="inlineStr">
        <is>
          <t>BODEN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57968-2023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46225</v>
      </c>
      <c r="F735" t="inlineStr">
        <is>
          <t>NORRBOTTENS LÄN</t>
        </is>
      </c>
      <c r="G735" t="inlineStr">
        <is>
          <t>BODEN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2682-2024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45314</v>
      </c>
      <c r="E736" s="1" t="n">
        <v>46225</v>
      </c>
      <c r="F736" t="inlineStr">
        <is>
          <t>NORRBOTTENS LÄN</t>
        </is>
      </c>
      <c r="G736" t="inlineStr">
        <is>
          <t>BODEN</t>
        </is>
      </c>
      <c r="I736" t="n">
        <v>17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59688-2023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45256</v>
      </c>
      <c r="E737" s="1" t="n">
        <v>46225</v>
      </c>
      <c r="F737" t="inlineStr">
        <is>
          <t>NORRBOTTENS LÄN</t>
        </is>
      </c>
      <c r="G737" t="inlineStr">
        <is>
          <t>BODEN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57604-2021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44484</v>
      </c>
      <c r="E738" s="1" t="n">
        <v>46225</v>
      </c>
      <c r="F738" t="inlineStr">
        <is>
          <t>NORRBOTTENS LÄN</t>
        </is>
      </c>
      <c r="G738" t="inlineStr">
        <is>
          <t>BODEN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3459-2025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45680</v>
      </c>
      <c r="E739" s="1" t="n">
        <v>46225</v>
      </c>
      <c r="F739" t="inlineStr">
        <is>
          <t>NORRBOTTENS LÄN</t>
        </is>
      </c>
      <c r="G739" t="inlineStr">
        <is>
          <t>BODEN</t>
        </is>
      </c>
      <c r="H739" t="inlineStr">
        <is>
          <t>Naturvårdsverket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59890-2023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45254</v>
      </c>
      <c r="E740" s="1" t="n">
        <v>46225</v>
      </c>
      <c r="F740" t="inlineStr">
        <is>
          <t>NORRBOTTENS LÄN</t>
        </is>
      </c>
      <c r="G740" t="inlineStr">
        <is>
          <t>BODEN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59983-2023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45257</v>
      </c>
      <c r="E741" s="1" t="n">
        <v>46225</v>
      </c>
      <c r="F741" t="inlineStr">
        <is>
          <t>NORRBOTTENS LÄN</t>
        </is>
      </c>
      <c r="G741" t="inlineStr">
        <is>
          <t>BODEN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13556-2022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44648</v>
      </c>
      <c r="E742" s="1" t="n">
        <v>46225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61488-2023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45264</v>
      </c>
      <c r="E743" s="1" t="n">
        <v>46225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8873-2024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45356</v>
      </c>
      <c r="E744" s="1" t="n">
        <v>46225</v>
      </c>
      <c r="F744" t="inlineStr">
        <is>
          <t>NORRBOTTENS LÄN</t>
        </is>
      </c>
      <c r="G744" t="inlineStr">
        <is>
          <t>BODEN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54935-2021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44474</v>
      </c>
      <c r="E745" s="1" t="n">
        <v>46225</v>
      </c>
      <c r="F745" t="inlineStr">
        <is>
          <t>NORRBOTTENS LÄN</t>
        </is>
      </c>
      <c r="G745" t="inlineStr">
        <is>
          <t>BODEN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5792-2025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45694</v>
      </c>
      <c r="E746" s="1" t="n">
        <v>46225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61241-2023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45260</v>
      </c>
      <c r="E747" s="1" t="n">
        <v>46225</v>
      </c>
      <c r="F747" t="inlineStr">
        <is>
          <t>NORRBOTTENS LÄN</t>
        </is>
      </c>
      <c r="G747" t="inlineStr">
        <is>
          <t>BODEN</t>
        </is>
      </c>
      <c r="I747" t="n">
        <v>33.9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15881-2023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45022</v>
      </c>
      <c r="E748" s="1" t="n">
        <v>46225</v>
      </c>
      <c r="F748" t="inlineStr">
        <is>
          <t>NORRBOTTENS LÄN</t>
        </is>
      </c>
      <c r="G748" t="inlineStr">
        <is>
          <t>BODEN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1497-2022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44573</v>
      </c>
      <c r="E749" s="1" t="n">
        <v>46225</v>
      </c>
      <c r="F749" t="inlineStr">
        <is>
          <t>NORRBOTTENS LÄN</t>
        </is>
      </c>
      <c r="G749" t="inlineStr">
        <is>
          <t>BODEN</t>
        </is>
      </c>
      <c r="H749" t="inlineStr">
        <is>
          <t>Övriga statliga verk och myndigheter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7442-2024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45345</v>
      </c>
      <c r="E750" s="1" t="n">
        <v>46225</v>
      </c>
      <c r="F750" t="inlineStr">
        <is>
          <t>NORRBOTTENS LÄN</t>
        </is>
      </c>
      <c r="G750" t="inlineStr">
        <is>
          <t>BODEN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29377-2024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45483</v>
      </c>
      <c r="E751" s="1" t="n">
        <v>46225</v>
      </c>
      <c r="F751" t="inlineStr">
        <is>
          <t>NORRBOTTENS LÄN</t>
        </is>
      </c>
      <c r="G751" t="inlineStr">
        <is>
          <t>BODEN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64975-2023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45285</v>
      </c>
      <c r="E752" s="1" t="n">
        <v>46225</v>
      </c>
      <c r="F752" t="inlineStr">
        <is>
          <t>NORRBOTTENS LÄN</t>
        </is>
      </c>
      <c r="G752" t="inlineStr">
        <is>
          <t>BODEN</t>
        </is>
      </c>
      <c r="I752" t="n">
        <v>9.4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35115-2024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45529</v>
      </c>
      <c r="E753" s="1" t="n">
        <v>46225</v>
      </c>
      <c r="F753" t="inlineStr">
        <is>
          <t>NORRBOTTENS LÄN</t>
        </is>
      </c>
      <c r="G753" t="inlineStr">
        <is>
          <t>BODEN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25627-2022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44732</v>
      </c>
      <c r="E754" s="1" t="n">
        <v>46225</v>
      </c>
      <c r="F754" t="inlineStr">
        <is>
          <t>NORRBOTTENS LÄN</t>
        </is>
      </c>
      <c r="G754" t="inlineStr">
        <is>
          <t>BODEN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45323</v>
      </c>
      <c r="E755" s="1" t="n">
        <v>46225</v>
      </c>
      <c r="F755" t="inlineStr">
        <is>
          <t>NORRBOTTENS LÄN</t>
        </is>
      </c>
      <c r="G755" t="inlineStr">
        <is>
          <t>BODEN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44970</v>
      </c>
      <c r="E756" s="1" t="n">
        <v>46225</v>
      </c>
      <c r="F756" t="inlineStr">
        <is>
          <t>NORRBOTTENS LÄN</t>
        </is>
      </c>
      <c r="G756" t="inlineStr">
        <is>
          <t>BODEN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49124-2023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45210</v>
      </c>
      <c r="E757" s="1" t="n">
        <v>46225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5452-2025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45692</v>
      </c>
      <c r="E758" s="1" t="n">
        <v>46225</v>
      </c>
      <c r="F758" t="inlineStr">
        <is>
          <t>NORRBOTTENS LÄN</t>
        </is>
      </c>
      <c r="G758" t="inlineStr">
        <is>
          <t>BODEN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45509</v>
      </c>
      <c r="E759" s="1" t="n">
        <v>46225</v>
      </c>
      <c r="F759" t="inlineStr">
        <is>
          <t>NORRBOTTENS LÄN</t>
        </is>
      </c>
      <c r="G759" t="inlineStr">
        <is>
          <t>BODEN</t>
        </is>
      </c>
      <c r="I759" t="n">
        <v>11.1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36438-2024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45537</v>
      </c>
      <c r="E760" s="1" t="n">
        <v>46225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6242-2023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44964</v>
      </c>
      <c r="E761" s="1" t="n">
        <v>46225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37114-2024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45539</v>
      </c>
      <c r="E762" s="1" t="n">
        <v>46225</v>
      </c>
      <c r="F762" t="inlineStr">
        <is>
          <t>NORRBOTTENS LÄN</t>
        </is>
      </c>
      <c r="G762" t="inlineStr">
        <is>
          <t>BODEN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19563-2024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45429</v>
      </c>
      <c r="E763" s="1" t="n">
        <v>46225</v>
      </c>
      <c r="F763" t="inlineStr">
        <is>
          <t>NORRBOTTENS LÄN</t>
        </is>
      </c>
      <c r="G763" t="inlineStr">
        <is>
          <t>BODEN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44747</v>
      </c>
      <c r="E764" s="1" t="n">
        <v>46225</v>
      </c>
      <c r="F764" t="inlineStr">
        <is>
          <t>NORRBOTTENS LÄN</t>
        </is>
      </c>
      <c r="G764" t="inlineStr">
        <is>
          <t>BODEN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21421-2022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44706</v>
      </c>
      <c r="E765" s="1" t="n">
        <v>46225</v>
      </c>
      <c r="F765" t="inlineStr">
        <is>
          <t>NORRBOTTENS LÄN</t>
        </is>
      </c>
      <c r="G765" t="inlineStr">
        <is>
          <t>BODEN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41180-2021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44423</v>
      </c>
      <c r="E766" s="1" t="n">
        <v>46225</v>
      </c>
      <c r="F766" t="inlineStr">
        <is>
          <t>NORRBOTTENS LÄN</t>
        </is>
      </c>
      <c r="G766" t="inlineStr">
        <is>
          <t>BODEN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53840-2022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44880</v>
      </c>
      <c r="E767" s="1" t="n">
        <v>46225</v>
      </c>
      <c r="F767" t="inlineStr">
        <is>
          <t>NORRBOTTENS LÄN</t>
        </is>
      </c>
      <c r="G767" t="inlineStr">
        <is>
          <t>BODEN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9969-2023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44979</v>
      </c>
      <c r="E768" s="1" t="n">
        <v>46225</v>
      </c>
      <c r="F768" t="inlineStr">
        <is>
          <t>NORRBOTTENS LÄN</t>
        </is>
      </c>
      <c r="G768" t="inlineStr">
        <is>
          <t>BODEN</t>
        </is>
      </c>
      <c r="H768" t="inlineStr">
        <is>
          <t>Övriga statliga verk och myndigheter</t>
        </is>
      </c>
      <c r="I768" t="n">
        <v>18.8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877-2023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44931</v>
      </c>
      <c r="E769" s="1" t="n">
        <v>46225</v>
      </c>
      <c r="F769" t="inlineStr">
        <is>
          <t>NORRBOTTENS LÄN</t>
        </is>
      </c>
      <c r="G769" t="inlineStr">
        <is>
          <t>BODEN</t>
        </is>
      </c>
      <c r="I769" t="n">
        <v>8.699999999999999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43648-2023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45187</v>
      </c>
      <c r="E770" s="1" t="n">
        <v>46225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7.1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48471-2024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45591</v>
      </c>
      <c r="E771" s="1" t="n">
        <v>46225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14757-2023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45014</v>
      </c>
      <c r="E772" s="1" t="n">
        <v>46225</v>
      </c>
      <c r="F772" t="inlineStr">
        <is>
          <t>NORRBOTTENS LÄN</t>
        </is>
      </c>
      <c r="G772" t="inlineStr">
        <is>
          <t>BODEN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37984-2024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45544</v>
      </c>
      <c r="E773" s="1" t="n">
        <v>46225</v>
      </c>
      <c r="F773" t="inlineStr">
        <is>
          <t>NORRBOTTENS LÄN</t>
        </is>
      </c>
      <c r="G773" t="inlineStr">
        <is>
          <t>BODEN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12801-2023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45001</v>
      </c>
      <c r="E774" s="1" t="n">
        <v>46225</v>
      </c>
      <c r="F774" t="inlineStr">
        <is>
          <t>NORRBOTTENS LÄN</t>
        </is>
      </c>
      <c r="G774" t="inlineStr">
        <is>
          <t>BODEN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6244-2023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44964</v>
      </c>
      <c r="E775" s="1" t="n">
        <v>46225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45105</v>
      </c>
      <c r="E776" s="1" t="n">
        <v>46225</v>
      </c>
      <c r="F776" t="inlineStr">
        <is>
          <t>NORRBOTTENS LÄN</t>
        </is>
      </c>
      <c r="G776" t="inlineStr">
        <is>
          <t>BODEN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3462-2022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44585</v>
      </c>
      <c r="E777" s="1" t="n">
        <v>46225</v>
      </c>
      <c r="F777" t="inlineStr">
        <is>
          <t>NORRBOTTENS LÄN</t>
        </is>
      </c>
      <c r="G777" t="inlineStr">
        <is>
          <t>BODEN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46564-2022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44847</v>
      </c>
      <c r="E778" s="1" t="n">
        <v>46225</v>
      </c>
      <c r="F778" t="inlineStr">
        <is>
          <t>NORRBOTTENS LÄN</t>
        </is>
      </c>
      <c r="G778" t="inlineStr">
        <is>
          <t>BODEN</t>
        </is>
      </c>
      <c r="I778" t="n">
        <v>28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3146-2024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45316</v>
      </c>
      <c r="E779" s="1" t="n">
        <v>46225</v>
      </c>
      <c r="F779" t="inlineStr">
        <is>
          <t>NORRBOTTENS LÄN</t>
        </is>
      </c>
      <c r="G779" t="inlineStr">
        <is>
          <t>BODEN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73910-2021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44552</v>
      </c>
      <c r="E780" s="1" t="n">
        <v>46225</v>
      </c>
      <c r="F780" t="inlineStr">
        <is>
          <t>NORRBOTTENS LÄN</t>
        </is>
      </c>
      <c r="G780" t="inlineStr">
        <is>
          <t>BODEN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8776-2022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44614</v>
      </c>
      <c r="E781" s="1" t="n">
        <v>46225</v>
      </c>
      <c r="F781" t="inlineStr">
        <is>
          <t>NORRBOTTENS LÄN</t>
        </is>
      </c>
      <c r="G781" t="inlineStr">
        <is>
          <t>BODEN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26806-2024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45470</v>
      </c>
      <c r="E782" s="1" t="n">
        <v>46225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Aktiebolag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47423-2024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45587</v>
      </c>
      <c r="E783" s="1" t="n">
        <v>46225</v>
      </c>
      <c r="F783" t="inlineStr">
        <is>
          <t>NORRBOTTENS LÄN</t>
        </is>
      </c>
      <c r="G783" t="inlineStr">
        <is>
          <t>BODEN</t>
        </is>
      </c>
      <c r="I783" t="n">
        <v>17.2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708-2022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44566</v>
      </c>
      <c r="E784" s="1" t="n">
        <v>46225</v>
      </c>
      <c r="F784" t="inlineStr">
        <is>
          <t>NORRBOTTENS LÄN</t>
        </is>
      </c>
      <c r="G784" t="inlineStr">
        <is>
          <t>BODEN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4254-2025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45685</v>
      </c>
      <c r="E785" s="1" t="n">
        <v>46225</v>
      </c>
      <c r="F785" t="inlineStr">
        <is>
          <t>NORRBOTTENS LÄN</t>
        </is>
      </c>
      <c r="G785" t="inlineStr">
        <is>
          <t>BODEN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37791-2024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45543</v>
      </c>
      <c r="E786" s="1" t="n">
        <v>46225</v>
      </c>
      <c r="F786" t="inlineStr">
        <is>
          <t>NORRBOTTENS LÄN</t>
        </is>
      </c>
      <c r="G786" t="inlineStr">
        <is>
          <t>BODEN</t>
        </is>
      </c>
      <c r="I786" t="n">
        <v>9.1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57563-2023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45246</v>
      </c>
      <c r="E787" s="1" t="n">
        <v>46225</v>
      </c>
      <c r="F787" t="inlineStr">
        <is>
          <t>NORRBOTTENS LÄN</t>
        </is>
      </c>
      <c r="G787" t="inlineStr">
        <is>
          <t>BODEN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45035-2022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44841</v>
      </c>
      <c r="E788" s="1" t="n">
        <v>46225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18436-2025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46225</v>
      </c>
      <c r="F789" t="inlineStr">
        <is>
          <t>NORRBOTTENS LÄN</t>
        </is>
      </c>
      <c r="G789" t="inlineStr">
        <is>
          <t>BODEN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28074-2024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45476</v>
      </c>
      <c r="E790" s="1" t="n">
        <v>46225</v>
      </c>
      <c r="F790" t="inlineStr">
        <is>
          <t>NORRBOTTENS LÄN</t>
        </is>
      </c>
      <c r="G790" t="inlineStr">
        <is>
          <t>BODEN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23232-2024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45453</v>
      </c>
      <c r="E791" s="1" t="n">
        <v>46225</v>
      </c>
      <c r="F791" t="inlineStr">
        <is>
          <t>NORRBOTTENS LÄN</t>
        </is>
      </c>
      <c r="G791" t="inlineStr">
        <is>
          <t>BODEN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30105-2023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46225</v>
      </c>
      <c r="F792" t="inlineStr">
        <is>
          <t>NORRBOTTENS LÄN</t>
        </is>
      </c>
      <c r="G792" t="inlineStr">
        <is>
          <t>BODEN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61588-2024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46225</v>
      </c>
      <c r="F793" t="inlineStr">
        <is>
          <t>NORRBOTTENS LÄN</t>
        </is>
      </c>
      <c r="G793" t="inlineStr">
        <is>
          <t>BODEN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19757-2025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45770</v>
      </c>
      <c r="E794" s="1" t="n">
        <v>46225</v>
      </c>
      <c r="F794" t="inlineStr">
        <is>
          <t>NORRBOTTENS LÄN</t>
        </is>
      </c>
      <c r="G794" t="inlineStr">
        <is>
          <t>BODEN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23706-2024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45454</v>
      </c>
      <c r="E795" s="1" t="n">
        <v>46225</v>
      </c>
      <c r="F795" t="inlineStr">
        <is>
          <t>NORRBOTTENS LÄN</t>
        </is>
      </c>
      <c r="G795" t="inlineStr">
        <is>
          <t>BODEN</t>
        </is>
      </c>
      <c r="I795" t="n">
        <v>10.9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19582-2025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45770</v>
      </c>
      <c r="E796" s="1" t="n">
        <v>46225</v>
      </c>
      <c r="F796" t="inlineStr">
        <is>
          <t>NORRBOTTENS LÄN</t>
        </is>
      </c>
      <c r="G796" t="inlineStr">
        <is>
          <t>BODEN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45677</v>
      </c>
      <c r="E797" s="1" t="n">
        <v>46225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18569-2024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45425</v>
      </c>
      <c r="E798" s="1" t="n">
        <v>46225</v>
      </c>
      <c r="F798" t="inlineStr">
        <is>
          <t>NORRBOTTENS LÄN</t>
        </is>
      </c>
      <c r="G798" t="inlineStr">
        <is>
          <t>BODEN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19968-2025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45771</v>
      </c>
      <c r="E799" s="1" t="n">
        <v>46225</v>
      </c>
      <c r="F799" t="inlineStr">
        <is>
          <t>NORRBOTTENS LÄN</t>
        </is>
      </c>
      <c r="G799" t="inlineStr">
        <is>
          <t>BODEN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33034-2023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45125</v>
      </c>
      <c r="E800" s="1" t="n">
        <v>46225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62140-2024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45646</v>
      </c>
      <c r="E801" s="1" t="n">
        <v>46225</v>
      </c>
      <c r="F801" t="inlineStr">
        <is>
          <t>NORRBOTTENS LÄN</t>
        </is>
      </c>
      <c r="G801" t="inlineStr">
        <is>
          <t>BODEN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19082-2025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45766</v>
      </c>
      <c r="E802" s="1" t="n">
        <v>46225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58504-2024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45635</v>
      </c>
      <c r="E803" s="1" t="n">
        <v>46225</v>
      </c>
      <c r="F803" t="inlineStr">
        <is>
          <t>NORRBOTTENS LÄN</t>
        </is>
      </c>
      <c r="G803" t="inlineStr">
        <is>
          <t>BODEN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28357-2023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45099</v>
      </c>
      <c r="E804" s="1" t="n">
        <v>46225</v>
      </c>
      <c r="F804" t="inlineStr">
        <is>
          <t>NORRBOTTENS LÄN</t>
        </is>
      </c>
      <c r="G804" t="inlineStr">
        <is>
          <t>BODEN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15017-2022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44657</v>
      </c>
      <c r="E805" s="1" t="n">
        <v>46225</v>
      </c>
      <c r="F805" t="inlineStr">
        <is>
          <t>NORRBOTTENS LÄN</t>
        </is>
      </c>
      <c r="G805" t="inlineStr">
        <is>
          <t>BODEN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61487-2023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45264</v>
      </c>
      <c r="E806" s="1" t="n">
        <v>46225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8028-2024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45350</v>
      </c>
      <c r="E807" s="1" t="n">
        <v>46225</v>
      </c>
      <c r="F807" t="inlineStr">
        <is>
          <t>NORRBOTTENS LÄN</t>
        </is>
      </c>
      <c r="G807" t="inlineStr">
        <is>
          <t>BODEN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46225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46225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46225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45205</v>
      </c>
      <c r="E811" s="1" t="n">
        <v>46225</v>
      </c>
      <c r="F811" t="inlineStr">
        <is>
          <t>NORRBOTTENS LÄN</t>
        </is>
      </c>
      <c r="G811" t="inlineStr">
        <is>
          <t>BODEN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17417-2023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45035</v>
      </c>
      <c r="E812" s="1" t="n">
        <v>46225</v>
      </c>
      <c r="F812" t="inlineStr">
        <is>
          <t>NORRBOTTENS LÄN</t>
        </is>
      </c>
      <c r="G812" t="inlineStr">
        <is>
          <t>BODEN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6638-2024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45341</v>
      </c>
      <c r="E813" s="1" t="n">
        <v>46225</v>
      </c>
      <c r="F813" t="inlineStr">
        <is>
          <t>NORRBOTTENS LÄN</t>
        </is>
      </c>
      <c r="G813" t="inlineStr">
        <is>
          <t>BODEN</t>
        </is>
      </c>
      <c r="H813" t="inlineStr">
        <is>
          <t>Övriga statliga verk och myndigheter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61932-2024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45653</v>
      </c>
      <c r="E814" s="1" t="n">
        <v>46225</v>
      </c>
      <c r="F814" t="inlineStr">
        <is>
          <t>NORRBOTTENS LÄN</t>
        </is>
      </c>
      <c r="G814" t="inlineStr">
        <is>
          <t>BODEN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41212-2023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45174</v>
      </c>
      <c r="E815" s="1" t="n">
        <v>46225</v>
      </c>
      <c r="F815" t="inlineStr">
        <is>
          <t>NORRBOTTENS LÄN</t>
        </is>
      </c>
      <c r="G815" t="inlineStr">
        <is>
          <t>BODEN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42995-2022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44833</v>
      </c>
      <c r="E816" s="1" t="n">
        <v>46225</v>
      </c>
      <c r="F816" t="inlineStr">
        <is>
          <t>NORRBOTTENS LÄN</t>
        </is>
      </c>
      <c r="G816" t="inlineStr">
        <is>
          <t>BODEN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59893-2023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45254</v>
      </c>
      <c r="E817" s="1" t="n">
        <v>46225</v>
      </c>
      <c r="F817" t="inlineStr">
        <is>
          <t>NORRBOTTENS LÄN</t>
        </is>
      </c>
      <c r="G817" t="inlineStr">
        <is>
          <t>BODEN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44935</v>
      </c>
      <c r="E818" s="1" t="n">
        <v>46225</v>
      </c>
      <c r="F818" t="inlineStr">
        <is>
          <t>NORRBOTTENS LÄN</t>
        </is>
      </c>
      <c r="G818" t="inlineStr">
        <is>
          <t>BODEN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56837-2023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45244</v>
      </c>
      <c r="E819" s="1" t="n">
        <v>46225</v>
      </c>
      <c r="F819" t="inlineStr">
        <is>
          <t>NORRBOTTENS LÄN</t>
        </is>
      </c>
      <c r="G819" t="inlineStr">
        <is>
          <t>BODEN</t>
        </is>
      </c>
      <c r="H819" t="inlineStr">
        <is>
          <t>Övriga statliga verk och myndigheter</t>
        </is>
      </c>
      <c r="I819" t="n">
        <v>5.4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61969-2024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45653</v>
      </c>
      <c r="E820" s="1" t="n">
        <v>46225</v>
      </c>
      <c r="F820" t="inlineStr">
        <is>
          <t>NORRBOTTENS LÄN</t>
        </is>
      </c>
      <c r="G820" t="inlineStr">
        <is>
          <t>BODEN</t>
        </is>
      </c>
      <c r="I820" t="n">
        <v>9.699999999999999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1961-2025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45672</v>
      </c>
      <c r="E821" s="1" t="n">
        <v>46225</v>
      </c>
      <c r="F821" t="inlineStr">
        <is>
          <t>NORRBOTTENS LÄN</t>
        </is>
      </c>
      <c r="G821" t="inlineStr">
        <is>
          <t>BODEN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19624-2025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45770</v>
      </c>
      <c r="E822" s="1" t="n">
        <v>46225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28079-2024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45476</v>
      </c>
      <c r="E823" s="1" t="n">
        <v>46225</v>
      </c>
      <c r="F823" t="inlineStr">
        <is>
          <t>NORRBOTTENS LÄN</t>
        </is>
      </c>
      <c r="G823" t="inlineStr">
        <is>
          <t>BODEN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19048-2025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45764</v>
      </c>
      <c r="E824" s="1" t="n">
        <v>46225</v>
      </c>
      <c r="F824" t="inlineStr">
        <is>
          <t>NORRBOTTENS LÄN</t>
        </is>
      </c>
      <c r="G824" t="inlineStr">
        <is>
          <t>BODEN</t>
        </is>
      </c>
      <c r="I824" t="n">
        <v>5.7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19050-2025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45764</v>
      </c>
      <c r="E825" s="1" t="n">
        <v>46225</v>
      </c>
      <c r="F825" t="inlineStr">
        <is>
          <t>NORRBOTTENS LÄN</t>
        </is>
      </c>
      <c r="G825" t="inlineStr">
        <is>
          <t>BODEN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54236-2022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44881</v>
      </c>
      <c r="E826" s="1" t="n">
        <v>46225</v>
      </c>
      <c r="F826" t="inlineStr">
        <is>
          <t>NORRBOTTENS LÄN</t>
        </is>
      </c>
      <c r="G826" t="inlineStr">
        <is>
          <t>BODEN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45397</v>
      </c>
      <c r="E827" s="1" t="n">
        <v>46225</v>
      </c>
      <c r="F827" t="inlineStr">
        <is>
          <t>NORRBOTTENS LÄN</t>
        </is>
      </c>
      <c r="G827" t="inlineStr">
        <is>
          <t>BODEN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14802-2024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45397</v>
      </c>
      <c r="E828" s="1" t="n">
        <v>46225</v>
      </c>
      <c r="F828" t="inlineStr">
        <is>
          <t>NORRBOTTENS LÄN</t>
        </is>
      </c>
      <c r="G828" t="inlineStr">
        <is>
          <t>BODEN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13925-2024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45391</v>
      </c>
      <c r="E829" s="1" t="n">
        <v>46225</v>
      </c>
      <c r="F829" t="inlineStr">
        <is>
          <t>NORRBOTTENS LÄN</t>
        </is>
      </c>
      <c r="G829" t="inlineStr">
        <is>
          <t>BODEN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21128-2025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45778</v>
      </c>
      <c r="E830" s="1" t="n">
        <v>46225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21349-2025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45782</v>
      </c>
      <c r="E831" s="1" t="n">
        <v>46225</v>
      </c>
      <c r="F831" t="inlineStr">
        <is>
          <t>NORRBOTTENS LÄN</t>
        </is>
      </c>
      <c r="G831" t="inlineStr">
        <is>
          <t>BODEN</t>
        </is>
      </c>
      <c r="I831" t="n">
        <v>5.2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22372-2025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45786</v>
      </c>
      <c r="E832" s="1" t="n">
        <v>46225</v>
      </c>
      <c r="F832" t="inlineStr">
        <is>
          <t>NORRBOTTENS LÄN</t>
        </is>
      </c>
      <c r="G832" t="inlineStr">
        <is>
          <t>BODEN</t>
        </is>
      </c>
      <c r="H832" t="inlineStr">
        <is>
          <t>Kommuner</t>
        </is>
      </c>
      <c r="I832" t="n">
        <v>16.3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36115-2023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45149</v>
      </c>
      <c r="E833" s="1" t="n">
        <v>46225</v>
      </c>
      <c r="F833" t="inlineStr">
        <is>
          <t>NORRBOTTENS LÄN</t>
        </is>
      </c>
      <c r="G833" t="inlineStr">
        <is>
          <t>BODEN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12558-2024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45379</v>
      </c>
      <c r="E834" s="1" t="n">
        <v>46225</v>
      </c>
      <c r="F834" t="inlineStr">
        <is>
          <t>NORRBOTTENS LÄN</t>
        </is>
      </c>
      <c r="G834" t="inlineStr">
        <is>
          <t>BODEN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23321-2025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45791</v>
      </c>
      <c r="E835" s="1" t="n">
        <v>46225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23724-2025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46225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48420-2024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45590</v>
      </c>
      <c r="E837" s="1" t="n">
        <v>46225</v>
      </c>
      <c r="F837" t="inlineStr">
        <is>
          <t>NORRBOTTENS LÄN</t>
        </is>
      </c>
      <c r="G837" t="inlineStr">
        <is>
          <t>BODEN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48427-2024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46225</v>
      </c>
      <c r="F838" t="inlineStr">
        <is>
          <t>NORRBOTTENS LÄN</t>
        </is>
      </c>
      <c r="G838" t="inlineStr">
        <is>
          <t>BODEN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23763-2025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46225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23761-2025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45793</v>
      </c>
      <c r="E840" s="1" t="n">
        <v>46225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45798</v>
      </c>
      <c r="E841" s="1" t="n">
        <v>46225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24538-2025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45798</v>
      </c>
      <c r="E842" s="1" t="n">
        <v>46225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15.8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24358-2025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45797</v>
      </c>
      <c r="E843" s="1" t="n">
        <v>46225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24545-2025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45798</v>
      </c>
      <c r="E844" s="1" t="n">
        <v>46225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49806-2022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44862</v>
      </c>
      <c r="E845" s="1" t="n">
        <v>46225</v>
      </c>
      <c r="F845" t="inlineStr">
        <is>
          <t>NORRBOTTENS LÄN</t>
        </is>
      </c>
      <c r="G845" t="inlineStr">
        <is>
          <t>BODEN</t>
        </is>
      </c>
      <c r="I845" t="n">
        <v>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885-2024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45376</v>
      </c>
      <c r="E846" s="1" t="n">
        <v>46225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5.7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1063-2023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45013</v>
      </c>
      <c r="E847" s="1" t="n">
        <v>46225</v>
      </c>
      <c r="F847" t="inlineStr">
        <is>
          <t>NORRBOTTENS LÄN</t>
        </is>
      </c>
      <c r="G847" t="inlineStr">
        <is>
          <t>BODEN</t>
        </is>
      </c>
      <c r="I847" t="n">
        <v>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883-2024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46225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52-2025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45667</v>
      </c>
      <c r="E849" s="1" t="n">
        <v>46225</v>
      </c>
      <c r="F849" t="inlineStr">
        <is>
          <t>NORRBOTTENS LÄN</t>
        </is>
      </c>
      <c r="G849" t="inlineStr">
        <is>
          <t>BODEN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190-2023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44945</v>
      </c>
      <c r="E850" s="1" t="n">
        <v>46225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6.8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977-2025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45743</v>
      </c>
      <c r="E851" s="1" t="n">
        <v>46225</v>
      </c>
      <c r="F851" t="inlineStr">
        <is>
          <t>NORRBOTTENS LÄN</t>
        </is>
      </c>
      <c r="G851" t="inlineStr">
        <is>
          <t>BODEN</t>
        </is>
      </c>
      <c r="I851" t="n">
        <v>11.1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978-2025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45743</v>
      </c>
      <c r="E852" s="1" t="n">
        <v>46225</v>
      </c>
      <c r="F852" t="inlineStr">
        <is>
          <t>NORRBOTTENS LÄN</t>
        </is>
      </c>
      <c r="G852" t="inlineStr">
        <is>
          <t>BODEN</t>
        </is>
      </c>
      <c r="I852" t="n">
        <v>19.5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1498-2025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45789</v>
      </c>
      <c r="E853" s="1" t="n">
        <v>46225</v>
      </c>
      <c r="F853" t="inlineStr">
        <is>
          <t>NORRBOTTENS LÄN</t>
        </is>
      </c>
      <c r="G853" t="inlineStr">
        <is>
          <t>BODEN</t>
        </is>
      </c>
      <c r="H853" t="inlineStr">
        <is>
          <t>Övriga Aktiebolag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1572-2025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45792</v>
      </c>
      <c r="E854" s="1" t="n">
        <v>46225</v>
      </c>
      <c r="F854" t="inlineStr">
        <is>
          <t>NORRBOTTENS LÄN</t>
        </is>
      </c>
      <c r="G854" t="inlineStr">
        <is>
          <t>BODEN</t>
        </is>
      </c>
      <c r="I854" t="n">
        <v>8.6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1631-2025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45799</v>
      </c>
      <c r="E855" s="1" t="n">
        <v>46225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1633-2025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45799</v>
      </c>
      <c r="E856" s="1" t="n">
        <v>46225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1632-2025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46225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1734-2025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45810</v>
      </c>
      <c r="E858" s="1" t="n">
        <v>46225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1811-2025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45818</v>
      </c>
      <c r="E859" s="1" t="n">
        <v>46225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2072-2025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45840</v>
      </c>
      <c r="E860" s="1" t="n">
        <v>46225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3580-2025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46018</v>
      </c>
      <c r="E861" s="1" t="n">
        <v>46225</v>
      </c>
      <c r="F861" t="inlineStr">
        <is>
          <t>NORRBOTTENS LÄN</t>
        </is>
      </c>
      <c r="G861" t="inlineStr">
        <is>
          <t>BODEN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1267-2026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46147</v>
      </c>
      <c r="E862" s="1" t="n">
        <v>46225</v>
      </c>
      <c r="F862" t="inlineStr">
        <is>
          <t>NORRBOTTENS LÄN</t>
        </is>
      </c>
      <c r="G862" t="inlineStr">
        <is>
          <t>BODEN</t>
        </is>
      </c>
      <c r="I862" t="n">
        <v>57.4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1261-2026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46147</v>
      </c>
      <c r="E863" s="1" t="n">
        <v>46225</v>
      </c>
      <c r="F863" t="inlineStr">
        <is>
          <t>NORRBOTTENS LÄN</t>
        </is>
      </c>
      <c r="G863" t="inlineStr">
        <is>
          <t>BODEN</t>
        </is>
      </c>
      <c r="I863" t="n">
        <v>16.9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1262-2026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46225</v>
      </c>
      <c r="F864" t="inlineStr">
        <is>
          <t>NORRBOTTENS LÄN</t>
        </is>
      </c>
      <c r="G864" t="inlineStr">
        <is>
          <t>BODEN</t>
        </is>
      </c>
      <c r="H864" t="inlineStr">
        <is>
          <t>Kommuner</t>
        </is>
      </c>
      <c r="I864" t="n">
        <v>16.2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1356-2026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46152</v>
      </c>
      <c r="E865" s="1" t="n">
        <v>46225</v>
      </c>
      <c r="F865" t="inlineStr">
        <is>
          <t>NORRBOTTENS LÄN</t>
        </is>
      </c>
      <c r="G865" t="inlineStr">
        <is>
          <t>BODEN</t>
        </is>
      </c>
      <c r="I865" t="n">
        <v>124.7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1357-2026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46152</v>
      </c>
      <c r="E866" s="1" t="n">
        <v>46225</v>
      </c>
      <c r="F866" t="inlineStr">
        <is>
          <t>NORRBOTTENS LÄN</t>
        </is>
      </c>
      <c r="G866" t="inlineStr">
        <is>
          <t>BODEN</t>
        </is>
      </c>
      <c r="I866" t="n">
        <v>38.2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1297-2026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46148</v>
      </c>
      <c r="E867" s="1" t="n">
        <v>46225</v>
      </c>
      <c r="F867" t="inlineStr">
        <is>
          <t>NORRBOTTENS LÄN</t>
        </is>
      </c>
      <c r="G867" t="inlineStr">
        <is>
          <t>BODEN</t>
        </is>
      </c>
      <c r="I867" t="n">
        <v>20.5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2026-07-22T01:36:39Z</dcterms:created>
  <dcterms:modified xmlns:dcterms="http://purl.org/dc/terms/" xmlns:xsi="http://www.w3.org/2001/XMLSchema-instance" xsi:type="dcterms:W3CDTF">2026-07-22T01:36:40Z</dcterms:modified>
</cp:coreProperties>
</file>