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45849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45849</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45849</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45849</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45849</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45849</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45849</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45849</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45849</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45849</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45849</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45849</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45849</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45849</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45849</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45849</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45849</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45849</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45849</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45849</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45849</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45849</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45849</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45849</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45849</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45849</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45849</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45849</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45849</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45849</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45849</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45849</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45849</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45849</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45849</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45849</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45849</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45849</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45849</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45849</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45849</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45849</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45849</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45849</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45849</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45849</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45849</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45849</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45849</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45849</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45849</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45849</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45849</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45849</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45849</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45849</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45849</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45849</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45849</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45849</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45849</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45849</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45849</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45849</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45849</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45849</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45849</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45849</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45849</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45849</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45849</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45849</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45849</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45849</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45849</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45849</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45849</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45849</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45849</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45849</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45849</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21861-2021</t>
        </is>
      </c>
      <c r="B83" s="1" t="n">
        <v>44322</v>
      </c>
      <c r="C83" s="1" t="n">
        <v>45849</v>
      </c>
      <c r="D83" t="inlineStr">
        <is>
          <t>NORRBOTTENS LÄN</t>
        </is>
      </c>
      <c r="E83" t="inlineStr">
        <is>
          <t>BODEN</t>
        </is>
      </c>
      <c r="G83" t="n">
        <v>34.6</v>
      </c>
      <c r="H83" t="n">
        <v>2</v>
      </c>
      <c r="I83" t="n">
        <v>0</v>
      </c>
      <c r="J83" t="n">
        <v>0</v>
      </c>
      <c r="K83" t="n">
        <v>2</v>
      </c>
      <c r="L83" t="n">
        <v>0</v>
      </c>
      <c r="M83" t="n">
        <v>0</v>
      </c>
      <c r="N83" t="n">
        <v>0</v>
      </c>
      <c r="O83" t="n">
        <v>2</v>
      </c>
      <c r="P83" t="n">
        <v>2</v>
      </c>
      <c r="Q83" t="n">
        <v>2</v>
      </c>
      <c r="R83" s="2" t="inlineStr">
        <is>
          <t>Finnros
Gråtrut</t>
        </is>
      </c>
      <c r="S83">
        <f>HYPERLINK("https://klasma.github.io/Logging_2582/artfynd/A 21861-2021 artfynd.xlsx", "A 21861-2021")</f>
        <v/>
      </c>
      <c r="T83">
        <f>HYPERLINK("https://klasma.github.io/Logging_2582/kartor/A 21861-2021 karta.png", "A 21861-2021")</f>
        <v/>
      </c>
      <c r="V83">
        <f>HYPERLINK("https://klasma.github.io/Logging_2582/klagomål/A 21861-2021 FSC-klagomål.docx", "A 21861-2021")</f>
        <v/>
      </c>
      <c r="W83">
        <f>HYPERLINK("https://klasma.github.io/Logging_2582/klagomålsmail/A 21861-2021 FSC-klagomål mail.docx", "A 21861-2021")</f>
        <v/>
      </c>
      <c r="X83">
        <f>HYPERLINK("https://klasma.github.io/Logging_2582/tillsyn/A 21861-2021 tillsynsbegäran.docx", "A 21861-2021")</f>
        <v/>
      </c>
      <c r="Y83">
        <f>HYPERLINK("https://klasma.github.io/Logging_2582/tillsynsmail/A 21861-2021 tillsynsbegäran mail.docx", "A 21861-2021")</f>
        <v/>
      </c>
    </row>
    <row r="84" ht="15" customHeight="1">
      <c r="A84" t="inlineStr">
        <is>
          <t>A 58196-2021</t>
        </is>
      </c>
      <c r="B84" s="1" t="n">
        <v>44487</v>
      </c>
      <c r="C84" s="1" t="n">
        <v>45849</v>
      </c>
      <c r="D84" t="inlineStr">
        <is>
          <t>NORRBOTTENS LÄN</t>
        </is>
      </c>
      <c r="E84" t="inlineStr">
        <is>
          <t>BODEN</t>
        </is>
      </c>
      <c r="F84" t="inlineStr">
        <is>
          <t>Sveaskog</t>
        </is>
      </c>
      <c r="G84" t="n">
        <v>3.6</v>
      </c>
      <c r="H84" t="n">
        <v>0</v>
      </c>
      <c r="I84" t="n">
        <v>0</v>
      </c>
      <c r="J84" t="n">
        <v>2</v>
      </c>
      <c r="K84" t="n">
        <v>0</v>
      </c>
      <c r="L84" t="n">
        <v>0</v>
      </c>
      <c r="M84" t="n">
        <v>0</v>
      </c>
      <c r="N84" t="n">
        <v>0</v>
      </c>
      <c r="O84" t="n">
        <v>2</v>
      </c>
      <c r="P84" t="n">
        <v>0</v>
      </c>
      <c r="Q84" t="n">
        <v>2</v>
      </c>
      <c r="R84" s="2" t="inlineStr">
        <is>
          <t>Gammelgransskål
Lunglav</t>
        </is>
      </c>
      <c r="S84">
        <f>HYPERLINK("https://klasma.github.io/Logging_2582/artfynd/A 58196-2021 artfynd.xlsx", "A 58196-2021")</f>
        <v/>
      </c>
      <c r="T84">
        <f>HYPERLINK("https://klasma.github.io/Logging_2582/kartor/A 58196-2021 karta.png", "A 58196-2021")</f>
        <v/>
      </c>
      <c r="V84">
        <f>HYPERLINK("https://klasma.github.io/Logging_2582/klagomål/A 58196-2021 FSC-klagomål.docx", "A 58196-2021")</f>
        <v/>
      </c>
      <c r="W84">
        <f>HYPERLINK("https://klasma.github.io/Logging_2582/klagomålsmail/A 58196-2021 FSC-klagomål mail.docx", "A 58196-2021")</f>
        <v/>
      </c>
      <c r="X84">
        <f>HYPERLINK("https://klasma.github.io/Logging_2582/tillsyn/A 58196-2021 tillsynsbegäran.docx", "A 58196-2021")</f>
        <v/>
      </c>
      <c r="Y84">
        <f>HYPERLINK("https://klasma.github.io/Logging_2582/tillsynsmail/A 58196-2021 tillsynsbegäran mail.docx", "A 58196-2021")</f>
        <v/>
      </c>
    </row>
    <row r="85" ht="15" customHeight="1">
      <c r="A85" t="inlineStr">
        <is>
          <t>A 58902-2021</t>
        </is>
      </c>
      <c r="B85" s="1" t="n">
        <v>44489</v>
      </c>
      <c r="C85" s="1" t="n">
        <v>45849</v>
      </c>
      <c r="D85" t="inlineStr">
        <is>
          <t>NORRBOTTENS LÄN</t>
        </is>
      </c>
      <c r="E85" t="inlineStr">
        <is>
          <t>BODEN</t>
        </is>
      </c>
      <c r="G85" t="n">
        <v>4.5</v>
      </c>
      <c r="H85" t="n">
        <v>0</v>
      </c>
      <c r="I85" t="n">
        <v>0</v>
      </c>
      <c r="J85" t="n">
        <v>2</v>
      </c>
      <c r="K85" t="n">
        <v>0</v>
      </c>
      <c r="L85" t="n">
        <v>0</v>
      </c>
      <c r="M85" t="n">
        <v>0</v>
      </c>
      <c r="N85" t="n">
        <v>0</v>
      </c>
      <c r="O85" t="n">
        <v>2</v>
      </c>
      <c r="P85" t="n">
        <v>0</v>
      </c>
      <c r="Q85" t="n">
        <v>2</v>
      </c>
      <c r="R85" s="2" t="inlineStr">
        <is>
          <t>Brunpudrad nållav
Gammelgransskål</t>
        </is>
      </c>
      <c r="S85">
        <f>HYPERLINK("https://klasma.github.io/Logging_2582/artfynd/A 58902-2021 artfynd.xlsx", "A 58902-2021")</f>
        <v/>
      </c>
      <c r="T85">
        <f>HYPERLINK("https://klasma.github.io/Logging_2582/kartor/A 58902-2021 karta.png", "A 58902-2021")</f>
        <v/>
      </c>
      <c r="V85">
        <f>HYPERLINK("https://klasma.github.io/Logging_2582/klagomål/A 58902-2021 FSC-klagomål.docx", "A 58902-2021")</f>
        <v/>
      </c>
      <c r="W85">
        <f>HYPERLINK("https://klasma.github.io/Logging_2582/klagomålsmail/A 58902-2021 FSC-klagomål mail.docx", "A 58902-2021")</f>
        <v/>
      </c>
      <c r="X85">
        <f>HYPERLINK("https://klasma.github.io/Logging_2582/tillsyn/A 58902-2021 tillsynsbegäran.docx", "A 58902-2021")</f>
        <v/>
      </c>
      <c r="Y85">
        <f>HYPERLINK("https://klasma.github.io/Logging_2582/tillsynsmail/A 58902-2021 tillsynsbegäran mail.docx", "A 58902-2021")</f>
        <v/>
      </c>
    </row>
    <row r="86" ht="15" customHeight="1">
      <c r="A86" t="inlineStr">
        <is>
          <t>A 63854-2021</t>
        </is>
      </c>
      <c r="B86" s="1" t="n">
        <v>44505</v>
      </c>
      <c r="C86" s="1" t="n">
        <v>45849</v>
      </c>
      <c r="D86" t="inlineStr">
        <is>
          <t>NORRBOTTENS LÄN</t>
        </is>
      </c>
      <c r="E86" t="inlineStr">
        <is>
          <t>BODEN</t>
        </is>
      </c>
      <c r="G86" t="n">
        <v>5</v>
      </c>
      <c r="H86" t="n">
        <v>0</v>
      </c>
      <c r="I86" t="n">
        <v>1</v>
      </c>
      <c r="J86" t="n">
        <v>1</v>
      </c>
      <c r="K86" t="n">
        <v>0</v>
      </c>
      <c r="L86" t="n">
        <v>0</v>
      </c>
      <c r="M86" t="n">
        <v>0</v>
      </c>
      <c r="N86" t="n">
        <v>0</v>
      </c>
      <c r="O86" t="n">
        <v>1</v>
      </c>
      <c r="P86" t="n">
        <v>0</v>
      </c>
      <c r="Q86" t="n">
        <v>2</v>
      </c>
      <c r="R86" s="2" t="inlineStr">
        <is>
          <t>Gammelgransskål
Bollvitmossa</t>
        </is>
      </c>
      <c r="S86">
        <f>HYPERLINK("https://klasma.github.io/Logging_2582/artfynd/A 63854-2021 artfynd.xlsx", "A 63854-2021")</f>
        <v/>
      </c>
      <c r="T86">
        <f>HYPERLINK("https://klasma.github.io/Logging_2582/kartor/A 63854-2021 karta.png", "A 63854-2021")</f>
        <v/>
      </c>
      <c r="V86">
        <f>HYPERLINK("https://klasma.github.io/Logging_2582/klagomål/A 63854-2021 FSC-klagomål.docx", "A 63854-2021")</f>
        <v/>
      </c>
      <c r="W86">
        <f>HYPERLINK("https://klasma.github.io/Logging_2582/klagomålsmail/A 63854-2021 FSC-klagomål mail.docx", "A 63854-2021")</f>
        <v/>
      </c>
      <c r="X86">
        <f>HYPERLINK("https://klasma.github.io/Logging_2582/tillsyn/A 63854-2021 tillsynsbegäran.docx", "A 63854-2021")</f>
        <v/>
      </c>
      <c r="Y86">
        <f>HYPERLINK("https://klasma.github.io/Logging_2582/tillsynsmail/A 63854-2021 tillsynsbegäran mail.docx", "A 63854-2021")</f>
        <v/>
      </c>
    </row>
    <row r="87" ht="15" customHeight="1">
      <c r="A87" t="inlineStr">
        <is>
          <t>A 70382-2021</t>
        </is>
      </c>
      <c r="B87" s="1" t="n">
        <v>44536</v>
      </c>
      <c r="C87" s="1" t="n">
        <v>45849</v>
      </c>
      <c r="D87" t="inlineStr">
        <is>
          <t>NORRBOTTENS LÄN</t>
        </is>
      </c>
      <c r="E87" t="inlineStr">
        <is>
          <t>BODEN</t>
        </is>
      </c>
      <c r="F87" t="inlineStr">
        <is>
          <t>Sveaskog</t>
        </is>
      </c>
      <c r="G87" t="n">
        <v>37.8</v>
      </c>
      <c r="H87" t="n">
        <v>0</v>
      </c>
      <c r="I87" t="n">
        <v>0</v>
      </c>
      <c r="J87" t="n">
        <v>2</v>
      </c>
      <c r="K87" t="n">
        <v>0</v>
      </c>
      <c r="L87" t="n">
        <v>0</v>
      </c>
      <c r="M87" t="n">
        <v>0</v>
      </c>
      <c r="N87" t="n">
        <v>0</v>
      </c>
      <c r="O87" t="n">
        <v>2</v>
      </c>
      <c r="P87" t="n">
        <v>0</v>
      </c>
      <c r="Q87" t="n">
        <v>2</v>
      </c>
      <c r="R87" s="2" t="inlineStr">
        <is>
          <t>Lunglav
Nordtagging</t>
        </is>
      </c>
      <c r="S87">
        <f>HYPERLINK("https://klasma.github.io/Logging_2582/artfynd/A 70382-2021 artfynd.xlsx", "A 70382-2021")</f>
        <v/>
      </c>
      <c r="T87">
        <f>HYPERLINK("https://klasma.github.io/Logging_2582/kartor/A 70382-2021 karta.png", "A 70382-2021")</f>
        <v/>
      </c>
      <c r="V87">
        <f>HYPERLINK("https://klasma.github.io/Logging_2582/klagomål/A 70382-2021 FSC-klagomål.docx", "A 70382-2021")</f>
        <v/>
      </c>
      <c r="W87">
        <f>HYPERLINK("https://klasma.github.io/Logging_2582/klagomålsmail/A 70382-2021 FSC-klagomål mail.docx", "A 70382-2021")</f>
        <v/>
      </c>
      <c r="X87">
        <f>HYPERLINK("https://klasma.github.io/Logging_2582/tillsyn/A 70382-2021 tillsynsbegäran.docx", "A 70382-2021")</f>
        <v/>
      </c>
      <c r="Y87">
        <f>HYPERLINK("https://klasma.github.io/Logging_2582/tillsynsmail/A 70382-2021 tillsynsbegäran mail.docx", "A 70382-2021")</f>
        <v/>
      </c>
    </row>
    <row r="88" ht="15" customHeight="1">
      <c r="A88" t="inlineStr">
        <is>
          <t>A 8137-2022</t>
        </is>
      </c>
      <c r="B88" s="1" t="n">
        <v>44609</v>
      </c>
      <c r="C88" s="1" t="n">
        <v>45849</v>
      </c>
      <c r="D88" t="inlineStr">
        <is>
          <t>NORRBOTTENS LÄN</t>
        </is>
      </c>
      <c r="E88" t="inlineStr">
        <is>
          <t>BODEN</t>
        </is>
      </c>
      <c r="G88" t="n">
        <v>8.300000000000001</v>
      </c>
      <c r="H88" t="n">
        <v>0</v>
      </c>
      <c r="I88" t="n">
        <v>0</v>
      </c>
      <c r="J88" t="n">
        <v>1</v>
      </c>
      <c r="K88" t="n">
        <v>1</v>
      </c>
      <c r="L88" t="n">
        <v>0</v>
      </c>
      <c r="M88" t="n">
        <v>0</v>
      </c>
      <c r="N88" t="n">
        <v>0</v>
      </c>
      <c r="O88" t="n">
        <v>2</v>
      </c>
      <c r="P88" t="n">
        <v>1</v>
      </c>
      <c r="Q88" t="n">
        <v>2</v>
      </c>
      <c r="R88" s="2" t="inlineStr">
        <is>
          <t>Lappticka
Rosenticka</t>
        </is>
      </c>
      <c r="S88">
        <f>HYPERLINK("https://klasma.github.io/Logging_2582/artfynd/A 8137-2022 artfynd.xlsx", "A 8137-2022")</f>
        <v/>
      </c>
      <c r="T88">
        <f>HYPERLINK("https://klasma.github.io/Logging_2582/kartor/A 8137-2022 karta.png", "A 8137-2022")</f>
        <v/>
      </c>
      <c r="V88">
        <f>HYPERLINK("https://klasma.github.io/Logging_2582/klagomål/A 8137-2022 FSC-klagomål.docx", "A 8137-2022")</f>
        <v/>
      </c>
      <c r="W88">
        <f>HYPERLINK("https://klasma.github.io/Logging_2582/klagomålsmail/A 8137-2022 FSC-klagomål mail.docx", "A 8137-2022")</f>
        <v/>
      </c>
      <c r="X88">
        <f>HYPERLINK("https://klasma.github.io/Logging_2582/tillsyn/A 8137-2022 tillsynsbegäran.docx", "A 8137-2022")</f>
        <v/>
      </c>
      <c r="Y88">
        <f>HYPERLINK("https://klasma.github.io/Logging_2582/tillsynsmail/A 8137-2022 tillsynsbegäran mail.docx", "A 8137-2022")</f>
        <v/>
      </c>
    </row>
    <row r="89" ht="15" customHeight="1">
      <c r="A89" t="inlineStr">
        <is>
          <t>A 17292-2022</t>
        </is>
      </c>
      <c r="B89" s="1" t="n">
        <v>44678</v>
      </c>
      <c r="C89" s="1" t="n">
        <v>45849</v>
      </c>
      <c r="D89" t="inlineStr">
        <is>
          <t>NORRBOTTENS LÄN</t>
        </is>
      </c>
      <c r="E89" t="inlineStr">
        <is>
          <t>BODEN</t>
        </is>
      </c>
      <c r="F89" t="inlineStr">
        <is>
          <t>Kyrkan</t>
        </is>
      </c>
      <c r="G89" t="n">
        <v>0.8</v>
      </c>
      <c r="H89" t="n">
        <v>1</v>
      </c>
      <c r="I89" t="n">
        <v>0</v>
      </c>
      <c r="J89" t="n">
        <v>1</v>
      </c>
      <c r="K89" t="n">
        <v>0</v>
      </c>
      <c r="L89" t="n">
        <v>0</v>
      </c>
      <c r="M89" t="n">
        <v>0</v>
      </c>
      <c r="N89" t="n">
        <v>0</v>
      </c>
      <c r="O89" t="n">
        <v>1</v>
      </c>
      <c r="P89" t="n">
        <v>0</v>
      </c>
      <c r="Q89" t="n">
        <v>2</v>
      </c>
      <c r="R89" s="2" t="inlineStr">
        <is>
          <t>Garnlav
Revlummer</t>
        </is>
      </c>
      <c r="S89">
        <f>HYPERLINK("https://klasma.github.io/Logging_2582/artfynd/A 17292-2022 artfynd.xlsx", "A 17292-2022")</f>
        <v/>
      </c>
      <c r="T89">
        <f>HYPERLINK("https://klasma.github.io/Logging_2582/kartor/A 17292-2022 karta.png", "A 17292-2022")</f>
        <v/>
      </c>
      <c r="V89">
        <f>HYPERLINK("https://klasma.github.io/Logging_2582/klagomål/A 17292-2022 FSC-klagomål.docx", "A 17292-2022")</f>
        <v/>
      </c>
      <c r="W89">
        <f>HYPERLINK("https://klasma.github.io/Logging_2582/klagomålsmail/A 17292-2022 FSC-klagomål mail.docx", "A 17292-2022")</f>
        <v/>
      </c>
      <c r="X89">
        <f>HYPERLINK("https://klasma.github.io/Logging_2582/tillsyn/A 17292-2022 tillsynsbegäran.docx", "A 17292-2022")</f>
        <v/>
      </c>
      <c r="Y89">
        <f>HYPERLINK("https://klasma.github.io/Logging_2582/tillsynsmail/A 17292-2022 tillsynsbegäran mail.docx", "A 17292-2022")</f>
        <v/>
      </c>
    </row>
    <row r="90" ht="15" customHeight="1">
      <c r="A90" t="inlineStr">
        <is>
          <t>A 26346-2022</t>
        </is>
      </c>
      <c r="B90" s="1" t="n">
        <v>44735</v>
      </c>
      <c r="C90" s="1" t="n">
        <v>45849</v>
      </c>
      <c r="D90" t="inlineStr">
        <is>
          <t>NORRBOTTENS LÄN</t>
        </is>
      </c>
      <c r="E90" t="inlineStr">
        <is>
          <t>BODEN</t>
        </is>
      </c>
      <c r="F90" t="inlineStr">
        <is>
          <t>Sveaskog</t>
        </is>
      </c>
      <c r="G90" t="n">
        <v>5.6</v>
      </c>
      <c r="H90" t="n">
        <v>0</v>
      </c>
      <c r="I90" t="n">
        <v>0</v>
      </c>
      <c r="J90" t="n">
        <v>2</v>
      </c>
      <c r="K90" t="n">
        <v>0</v>
      </c>
      <c r="L90" t="n">
        <v>0</v>
      </c>
      <c r="M90" t="n">
        <v>0</v>
      </c>
      <c r="N90" t="n">
        <v>0</v>
      </c>
      <c r="O90" t="n">
        <v>2</v>
      </c>
      <c r="P90" t="n">
        <v>0</v>
      </c>
      <c r="Q90" t="n">
        <v>2</v>
      </c>
      <c r="R90" s="2" t="inlineStr">
        <is>
          <t>Blå taggsvamp
Ullticka</t>
        </is>
      </c>
      <c r="S90">
        <f>HYPERLINK("https://klasma.github.io/Logging_2582/artfynd/A 26346-2022 artfynd.xlsx", "A 26346-2022")</f>
        <v/>
      </c>
      <c r="T90">
        <f>HYPERLINK("https://klasma.github.io/Logging_2582/kartor/A 26346-2022 karta.png", "A 26346-2022")</f>
        <v/>
      </c>
      <c r="V90">
        <f>HYPERLINK("https://klasma.github.io/Logging_2582/klagomål/A 26346-2022 FSC-klagomål.docx", "A 26346-2022")</f>
        <v/>
      </c>
      <c r="W90">
        <f>HYPERLINK("https://klasma.github.io/Logging_2582/klagomålsmail/A 26346-2022 FSC-klagomål mail.docx", "A 26346-2022")</f>
        <v/>
      </c>
      <c r="X90">
        <f>HYPERLINK("https://klasma.github.io/Logging_2582/tillsyn/A 26346-2022 tillsynsbegäran.docx", "A 26346-2022")</f>
        <v/>
      </c>
      <c r="Y90">
        <f>HYPERLINK("https://klasma.github.io/Logging_2582/tillsynsmail/A 26346-2022 tillsynsbegäran mail.docx", "A 26346-2022")</f>
        <v/>
      </c>
    </row>
    <row r="91" ht="15" customHeight="1">
      <c r="A91" t="inlineStr">
        <is>
          <t>A 36629-2022</t>
        </is>
      </c>
      <c r="B91" s="1" t="n">
        <v>44804</v>
      </c>
      <c r="C91" s="1" t="n">
        <v>45849</v>
      </c>
      <c r="D91" t="inlineStr">
        <is>
          <t>NORRBOTTENS LÄN</t>
        </is>
      </c>
      <c r="E91" t="inlineStr">
        <is>
          <t>BODEN</t>
        </is>
      </c>
      <c r="F91" t="inlineStr">
        <is>
          <t>Sveaskog</t>
        </is>
      </c>
      <c r="G91" t="n">
        <v>3</v>
      </c>
      <c r="H91" t="n">
        <v>0</v>
      </c>
      <c r="I91" t="n">
        <v>2</v>
      </c>
      <c r="J91" t="n">
        <v>0</v>
      </c>
      <c r="K91" t="n">
        <v>0</v>
      </c>
      <c r="L91" t="n">
        <v>0</v>
      </c>
      <c r="M91" t="n">
        <v>0</v>
      </c>
      <c r="N91" t="n">
        <v>0</v>
      </c>
      <c r="O91" t="n">
        <v>0</v>
      </c>
      <c r="P91" t="n">
        <v>0</v>
      </c>
      <c r="Q91" t="n">
        <v>2</v>
      </c>
      <c r="R91" s="2" t="inlineStr">
        <is>
          <t>Dropptaggsvamp
Skarp dropptaggsvamp</t>
        </is>
      </c>
      <c r="S91">
        <f>HYPERLINK("https://klasma.github.io/Logging_2582/artfynd/A 36629-2022 artfynd.xlsx", "A 36629-2022")</f>
        <v/>
      </c>
      <c r="T91">
        <f>HYPERLINK("https://klasma.github.io/Logging_2582/kartor/A 36629-2022 karta.png", "A 36629-2022")</f>
        <v/>
      </c>
      <c r="V91">
        <f>HYPERLINK("https://klasma.github.io/Logging_2582/klagomål/A 36629-2022 FSC-klagomål.docx", "A 36629-2022")</f>
        <v/>
      </c>
      <c r="W91">
        <f>HYPERLINK("https://klasma.github.io/Logging_2582/klagomålsmail/A 36629-2022 FSC-klagomål mail.docx", "A 36629-2022")</f>
        <v/>
      </c>
      <c r="X91">
        <f>HYPERLINK("https://klasma.github.io/Logging_2582/tillsyn/A 36629-2022 tillsynsbegäran.docx", "A 36629-2022")</f>
        <v/>
      </c>
      <c r="Y91">
        <f>HYPERLINK("https://klasma.github.io/Logging_2582/tillsynsmail/A 36629-2022 tillsynsbegäran mail.docx", "A 36629-2022")</f>
        <v/>
      </c>
    </row>
    <row r="92" ht="15" customHeight="1">
      <c r="A92" t="inlineStr">
        <is>
          <t>A 42233-2022</t>
        </is>
      </c>
      <c r="B92" s="1" t="n">
        <v>44830</v>
      </c>
      <c r="C92" s="1" t="n">
        <v>45849</v>
      </c>
      <c r="D92" t="inlineStr">
        <is>
          <t>NORRBOTTENS LÄN</t>
        </is>
      </c>
      <c r="E92" t="inlineStr">
        <is>
          <t>BODEN</t>
        </is>
      </c>
      <c r="G92" t="n">
        <v>3.6</v>
      </c>
      <c r="H92" t="n">
        <v>2</v>
      </c>
      <c r="I92" t="n">
        <v>0</v>
      </c>
      <c r="J92" t="n">
        <v>1</v>
      </c>
      <c r="K92" t="n">
        <v>0</v>
      </c>
      <c r="L92" t="n">
        <v>0</v>
      </c>
      <c r="M92" t="n">
        <v>0</v>
      </c>
      <c r="N92" t="n">
        <v>0</v>
      </c>
      <c r="O92" t="n">
        <v>1</v>
      </c>
      <c r="P92" t="n">
        <v>0</v>
      </c>
      <c r="Q92" t="n">
        <v>2</v>
      </c>
      <c r="R92" s="2" t="inlineStr">
        <is>
          <t>Svartvit flugsnappare
Enkelbeckasin</t>
        </is>
      </c>
      <c r="S92">
        <f>HYPERLINK("https://klasma.github.io/Logging_2582/artfynd/A 42233-2022 artfynd.xlsx", "A 42233-2022")</f>
        <v/>
      </c>
      <c r="T92">
        <f>HYPERLINK("https://klasma.github.io/Logging_2582/kartor/A 42233-2022 karta.png", "A 42233-2022")</f>
        <v/>
      </c>
      <c r="V92">
        <f>HYPERLINK("https://klasma.github.io/Logging_2582/klagomål/A 42233-2022 FSC-klagomål.docx", "A 42233-2022")</f>
        <v/>
      </c>
      <c r="W92">
        <f>HYPERLINK("https://klasma.github.io/Logging_2582/klagomålsmail/A 42233-2022 FSC-klagomål mail.docx", "A 42233-2022")</f>
        <v/>
      </c>
      <c r="X92">
        <f>HYPERLINK("https://klasma.github.io/Logging_2582/tillsyn/A 42233-2022 tillsynsbegäran.docx", "A 42233-2022")</f>
        <v/>
      </c>
      <c r="Y92">
        <f>HYPERLINK("https://klasma.github.io/Logging_2582/tillsynsmail/A 42233-2022 tillsynsbegäran mail.docx", "A 42233-2022")</f>
        <v/>
      </c>
      <c r="Z92">
        <f>HYPERLINK("https://klasma.github.io/Logging_2582/fåglar/A 42233-2022 prioriterade fågelarter.docx", "A 42233-2022")</f>
        <v/>
      </c>
    </row>
    <row r="93" ht="15" customHeight="1">
      <c r="A93" t="inlineStr">
        <is>
          <t>A 54178-2022</t>
        </is>
      </c>
      <c r="B93" s="1" t="n">
        <v>44881</v>
      </c>
      <c r="C93" s="1" t="n">
        <v>45849</v>
      </c>
      <c r="D93" t="inlineStr">
        <is>
          <t>NORRBOTTENS LÄN</t>
        </is>
      </c>
      <c r="E93" t="inlineStr">
        <is>
          <t>BODEN</t>
        </is>
      </c>
      <c r="F93" t="inlineStr">
        <is>
          <t>Sveaskog</t>
        </is>
      </c>
      <c r="G93" t="n">
        <v>3.1</v>
      </c>
      <c r="H93" t="n">
        <v>1</v>
      </c>
      <c r="I93" t="n">
        <v>0</v>
      </c>
      <c r="J93" t="n">
        <v>1</v>
      </c>
      <c r="K93" t="n">
        <v>0</v>
      </c>
      <c r="L93" t="n">
        <v>0</v>
      </c>
      <c r="M93" t="n">
        <v>0</v>
      </c>
      <c r="N93" t="n">
        <v>0</v>
      </c>
      <c r="O93" t="n">
        <v>1</v>
      </c>
      <c r="P93" t="n">
        <v>0</v>
      </c>
      <c r="Q93" t="n">
        <v>2</v>
      </c>
      <c r="R93" s="2" t="inlineStr">
        <is>
          <t>Granticka
Blåsippa</t>
        </is>
      </c>
      <c r="S93">
        <f>HYPERLINK("https://klasma.github.io/Logging_2582/artfynd/A 54178-2022 artfynd.xlsx", "A 54178-2022")</f>
        <v/>
      </c>
      <c r="T93">
        <f>HYPERLINK("https://klasma.github.io/Logging_2582/kartor/A 54178-2022 karta.png", "A 54178-2022")</f>
        <v/>
      </c>
      <c r="V93">
        <f>HYPERLINK("https://klasma.github.io/Logging_2582/klagomål/A 54178-2022 FSC-klagomål.docx", "A 54178-2022")</f>
        <v/>
      </c>
      <c r="W93">
        <f>HYPERLINK("https://klasma.github.io/Logging_2582/klagomålsmail/A 54178-2022 FSC-klagomål mail.docx", "A 54178-2022")</f>
        <v/>
      </c>
      <c r="X93">
        <f>HYPERLINK("https://klasma.github.io/Logging_2582/tillsyn/A 54178-2022 tillsynsbegäran.docx", "A 54178-2022")</f>
        <v/>
      </c>
      <c r="Y93">
        <f>HYPERLINK("https://klasma.github.io/Logging_2582/tillsynsmail/A 54178-2022 tillsynsbegäran mail.docx", "A 54178-2022")</f>
        <v/>
      </c>
    </row>
    <row r="94" ht="15" customHeight="1">
      <c r="A94" t="inlineStr">
        <is>
          <t>A 22906-2023</t>
        </is>
      </c>
      <c r="B94" s="1" t="n">
        <v>45072</v>
      </c>
      <c r="C94" s="1" t="n">
        <v>45849</v>
      </c>
      <c r="D94" t="inlineStr">
        <is>
          <t>NORRBOTTENS LÄN</t>
        </is>
      </c>
      <c r="E94" t="inlineStr">
        <is>
          <t>BODEN</t>
        </is>
      </c>
      <c r="F94" t="inlineStr">
        <is>
          <t>Sveaskog</t>
        </is>
      </c>
      <c r="G94" t="n">
        <v>3.5</v>
      </c>
      <c r="H94" t="n">
        <v>2</v>
      </c>
      <c r="I94" t="n">
        <v>0</v>
      </c>
      <c r="J94" t="n">
        <v>2</v>
      </c>
      <c r="K94" t="n">
        <v>0</v>
      </c>
      <c r="L94" t="n">
        <v>0</v>
      </c>
      <c r="M94" t="n">
        <v>0</v>
      </c>
      <c r="N94" t="n">
        <v>0</v>
      </c>
      <c r="O94" t="n">
        <v>2</v>
      </c>
      <c r="P94" t="n">
        <v>0</v>
      </c>
      <c r="Q94" t="n">
        <v>2</v>
      </c>
      <c r="R94" s="2" t="inlineStr">
        <is>
          <t>Talltita
Utter</t>
        </is>
      </c>
      <c r="S94">
        <f>HYPERLINK("https://klasma.github.io/Logging_2582/artfynd/A 22906-2023 artfynd.xlsx", "A 22906-2023")</f>
        <v/>
      </c>
      <c r="T94">
        <f>HYPERLINK("https://klasma.github.io/Logging_2582/kartor/A 22906-2023 karta.png", "A 22906-2023")</f>
        <v/>
      </c>
      <c r="V94">
        <f>HYPERLINK("https://klasma.github.io/Logging_2582/klagomål/A 22906-2023 FSC-klagomål.docx", "A 22906-2023")</f>
        <v/>
      </c>
      <c r="W94">
        <f>HYPERLINK("https://klasma.github.io/Logging_2582/klagomålsmail/A 22906-2023 FSC-klagomål mail.docx", "A 22906-2023")</f>
        <v/>
      </c>
      <c r="X94">
        <f>HYPERLINK("https://klasma.github.io/Logging_2582/tillsyn/A 22906-2023 tillsynsbegäran.docx", "A 22906-2023")</f>
        <v/>
      </c>
      <c r="Y94">
        <f>HYPERLINK("https://klasma.github.io/Logging_2582/tillsynsmail/A 22906-2023 tillsynsbegäran mail.docx", "A 22906-2023")</f>
        <v/>
      </c>
      <c r="Z94">
        <f>HYPERLINK("https://klasma.github.io/Logging_2582/fåglar/A 22906-2023 prioriterade fågelarter.docx", "A 22906-2023")</f>
        <v/>
      </c>
    </row>
    <row r="95" ht="15" customHeight="1">
      <c r="A95" t="inlineStr">
        <is>
          <t>A 34164-2023</t>
        </is>
      </c>
      <c r="B95" s="1" t="n">
        <v>45137</v>
      </c>
      <c r="C95" s="1" t="n">
        <v>45849</v>
      </c>
      <c r="D95" t="inlineStr">
        <is>
          <t>NORRBOTTENS LÄN</t>
        </is>
      </c>
      <c r="E95" t="inlineStr">
        <is>
          <t>BODEN</t>
        </is>
      </c>
      <c r="F95" t="inlineStr">
        <is>
          <t>SCA</t>
        </is>
      </c>
      <c r="G95" t="n">
        <v>2.2</v>
      </c>
      <c r="H95" t="n">
        <v>1</v>
      </c>
      <c r="I95" t="n">
        <v>0</v>
      </c>
      <c r="J95" t="n">
        <v>2</v>
      </c>
      <c r="K95" t="n">
        <v>0</v>
      </c>
      <c r="L95" t="n">
        <v>0</v>
      </c>
      <c r="M95" t="n">
        <v>0</v>
      </c>
      <c r="N95" t="n">
        <v>0</v>
      </c>
      <c r="O95" t="n">
        <v>2</v>
      </c>
      <c r="P95" t="n">
        <v>0</v>
      </c>
      <c r="Q95" t="n">
        <v>2</v>
      </c>
      <c r="R95" s="2" t="inlineStr">
        <is>
          <t>Garnlav
Tretåig hackspett</t>
        </is>
      </c>
      <c r="S95">
        <f>HYPERLINK("https://klasma.github.io/Logging_2582/artfynd/A 34164-2023 artfynd.xlsx", "A 34164-2023")</f>
        <v/>
      </c>
      <c r="T95">
        <f>HYPERLINK("https://klasma.github.io/Logging_2582/kartor/A 34164-2023 karta.png", "A 34164-2023")</f>
        <v/>
      </c>
      <c r="V95">
        <f>HYPERLINK("https://klasma.github.io/Logging_2582/klagomål/A 34164-2023 FSC-klagomål.docx", "A 34164-2023")</f>
        <v/>
      </c>
      <c r="W95">
        <f>HYPERLINK("https://klasma.github.io/Logging_2582/klagomålsmail/A 34164-2023 FSC-klagomål mail.docx", "A 34164-2023")</f>
        <v/>
      </c>
      <c r="X95">
        <f>HYPERLINK("https://klasma.github.io/Logging_2582/tillsyn/A 34164-2023 tillsynsbegäran.docx", "A 34164-2023")</f>
        <v/>
      </c>
      <c r="Y95">
        <f>HYPERLINK("https://klasma.github.io/Logging_2582/tillsynsmail/A 34164-2023 tillsynsbegäran mail.docx", "A 34164-2023")</f>
        <v/>
      </c>
      <c r="Z95">
        <f>HYPERLINK("https://klasma.github.io/Logging_2582/fåglar/A 34164-2023 prioriterade fågelarter.docx", "A 34164-2023")</f>
        <v/>
      </c>
    </row>
    <row r="96" ht="15" customHeight="1">
      <c r="A96" t="inlineStr">
        <is>
          <t>A 39974-2023</t>
        </is>
      </c>
      <c r="B96" s="1" t="n">
        <v>45168</v>
      </c>
      <c r="C96" s="1" t="n">
        <v>45849</v>
      </c>
      <c r="D96" t="inlineStr">
        <is>
          <t>NORRBOTTENS LÄN</t>
        </is>
      </c>
      <c r="E96" t="inlineStr">
        <is>
          <t>BODEN</t>
        </is>
      </c>
      <c r="F96" t="inlineStr">
        <is>
          <t>Sveaskog</t>
        </is>
      </c>
      <c r="G96" t="n">
        <v>12.9</v>
      </c>
      <c r="H96" t="n">
        <v>0</v>
      </c>
      <c r="I96" t="n">
        <v>1</v>
      </c>
      <c r="J96" t="n">
        <v>1</v>
      </c>
      <c r="K96" t="n">
        <v>0</v>
      </c>
      <c r="L96" t="n">
        <v>0</v>
      </c>
      <c r="M96" t="n">
        <v>0</v>
      </c>
      <c r="N96" t="n">
        <v>0</v>
      </c>
      <c r="O96" t="n">
        <v>1</v>
      </c>
      <c r="P96" t="n">
        <v>0</v>
      </c>
      <c r="Q96" t="n">
        <v>2</v>
      </c>
      <c r="R96" s="2" t="inlineStr">
        <is>
          <t>Garnlav
Bronshjon</t>
        </is>
      </c>
      <c r="S96">
        <f>HYPERLINK("https://klasma.github.io/Logging_2582/artfynd/A 39974-2023 artfynd.xlsx", "A 39974-2023")</f>
        <v/>
      </c>
      <c r="T96">
        <f>HYPERLINK("https://klasma.github.io/Logging_2582/kartor/A 39974-2023 karta.png", "A 39974-2023")</f>
        <v/>
      </c>
      <c r="V96">
        <f>HYPERLINK("https://klasma.github.io/Logging_2582/klagomål/A 39974-2023 FSC-klagomål.docx", "A 39974-2023")</f>
        <v/>
      </c>
      <c r="W96">
        <f>HYPERLINK("https://klasma.github.io/Logging_2582/klagomålsmail/A 39974-2023 FSC-klagomål mail.docx", "A 39974-2023")</f>
        <v/>
      </c>
      <c r="X96">
        <f>HYPERLINK("https://klasma.github.io/Logging_2582/tillsyn/A 39974-2023 tillsynsbegäran.docx", "A 39974-2023")</f>
        <v/>
      </c>
      <c r="Y96">
        <f>HYPERLINK("https://klasma.github.io/Logging_2582/tillsynsmail/A 39974-2023 tillsynsbegäran mail.docx", "A 39974-2023")</f>
        <v/>
      </c>
    </row>
    <row r="97" ht="15" customHeight="1">
      <c r="A97" t="inlineStr">
        <is>
          <t>A 40467-2023</t>
        </is>
      </c>
      <c r="B97" s="1" t="n">
        <v>45170</v>
      </c>
      <c r="C97" s="1" t="n">
        <v>45849</v>
      </c>
      <c r="D97" t="inlineStr">
        <is>
          <t>NORRBOTTENS LÄN</t>
        </is>
      </c>
      <c r="E97" t="inlineStr">
        <is>
          <t>BODEN</t>
        </is>
      </c>
      <c r="F97" t="inlineStr">
        <is>
          <t>Sveaskog</t>
        </is>
      </c>
      <c r="G97" t="n">
        <v>22.7</v>
      </c>
      <c r="H97" t="n">
        <v>1</v>
      </c>
      <c r="I97" t="n">
        <v>0</v>
      </c>
      <c r="J97" t="n">
        <v>1</v>
      </c>
      <c r="K97" t="n">
        <v>1</v>
      </c>
      <c r="L97" t="n">
        <v>0</v>
      </c>
      <c r="M97" t="n">
        <v>0</v>
      </c>
      <c r="N97" t="n">
        <v>0</v>
      </c>
      <c r="O97" t="n">
        <v>2</v>
      </c>
      <c r="P97" t="n">
        <v>1</v>
      </c>
      <c r="Q97" t="n">
        <v>2</v>
      </c>
      <c r="R97" s="2" t="inlineStr">
        <is>
          <t>Knärot
Mörk kolflarnlav</t>
        </is>
      </c>
      <c r="S97">
        <f>HYPERLINK("https://klasma.github.io/Logging_2582/artfynd/A 40467-2023 artfynd.xlsx", "A 40467-2023")</f>
        <v/>
      </c>
      <c r="T97">
        <f>HYPERLINK("https://klasma.github.io/Logging_2582/kartor/A 40467-2023 karta.png", "A 40467-2023")</f>
        <v/>
      </c>
      <c r="U97">
        <f>HYPERLINK("https://klasma.github.io/Logging_2582/knärot/A 40467-2023 karta knärot.png", "A 40467-2023")</f>
        <v/>
      </c>
      <c r="V97">
        <f>HYPERLINK("https://klasma.github.io/Logging_2582/klagomål/A 40467-2023 FSC-klagomål.docx", "A 40467-2023")</f>
        <v/>
      </c>
      <c r="W97">
        <f>HYPERLINK("https://klasma.github.io/Logging_2582/klagomålsmail/A 40467-2023 FSC-klagomål mail.docx", "A 40467-2023")</f>
        <v/>
      </c>
      <c r="X97">
        <f>HYPERLINK("https://klasma.github.io/Logging_2582/tillsyn/A 40467-2023 tillsynsbegäran.docx", "A 40467-2023")</f>
        <v/>
      </c>
      <c r="Y97">
        <f>HYPERLINK("https://klasma.github.io/Logging_2582/tillsynsmail/A 40467-2023 tillsynsbegäran mail.docx", "A 40467-2023")</f>
        <v/>
      </c>
    </row>
    <row r="98" ht="15" customHeight="1">
      <c r="A98" t="inlineStr">
        <is>
          <t>A 44185-2023</t>
        </is>
      </c>
      <c r="B98" s="1" t="n">
        <v>45188</v>
      </c>
      <c r="C98" s="1" t="n">
        <v>45849</v>
      </c>
      <c r="D98" t="inlineStr">
        <is>
          <t>NORRBOTTENS LÄN</t>
        </is>
      </c>
      <c r="E98" t="inlineStr">
        <is>
          <t>BODEN</t>
        </is>
      </c>
      <c r="F98" t="inlineStr">
        <is>
          <t>Sveaskog</t>
        </is>
      </c>
      <c r="G98" t="n">
        <v>22</v>
      </c>
      <c r="H98" t="n">
        <v>1</v>
      </c>
      <c r="I98" t="n">
        <v>1</v>
      </c>
      <c r="J98" t="n">
        <v>0</v>
      </c>
      <c r="K98" t="n">
        <v>1</v>
      </c>
      <c r="L98" t="n">
        <v>0</v>
      </c>
      <c r="M98" t="n">
        <v>0</v>
      </c>
      <c r="N98" t="n">
        <v>0</v>
      </c>
      <c r="O98" t="n">
        <v>1</v>
      </c>
      <c r="P98" t="n">
        <v>1</v>
      </c>
      <c r="Q98" t="n">
        <v>2</v>
      </c>
      <c r="R98" s="2" t="inlineStr">
        <is>
          <t>Doftticka
Stuplav</t>
        </is>
      </c>
      <c r="S98">
        <f>HYPERLINK("https://klasma.github.io/Logging_2582/artfynd/A 44185-2023 artfynd.xlsx", "A 44185-2023")</f>
        <v/>
      </c>
      <c r="T98">
        <f>HYPERLINK("https://klasma.github.io/Logging_2582/kartor/A 44185-2023 karta.png", "A 44185-2023")</f>
        <v/>
      </c>
      <c r="V98">
        <f>HYPERLINK("https://klasma.github.io/Logging_2582/klagomål/A 44185-2023 FSC-klagomål.docx", "A 44185-2023")</f>
        <v/>
      </c>
      <c r="W98">
        <f>HYPERLINK("https://klasma.github.io/Logging_2582/klagomålsmail/A 44185-2023 FSC-klagomål mail.docx", "A 44185-2023")</f>
        <v/>
      </c>
      <c r="X98">
        <f>HYPERLINK("https://klasma.github.io/Logging_2582/tillsyn/A 44185-2023 tillsynsbegäran.docx", "A 44185-2023")</f>
        <v/>
      </c>
      <c r="Y98">
        <f>HYPERLINK("https://klasma.github.io/Logging_2582/tillsynsmail/A 44185-2023 tillsynsbegäran mail.docx", "A 44185-2023")</f>
        <v/>
      </c>
    </row>
    <row r="99" ht="15" customHeight="1">
      <c r="A99" t="inlineStr">
        <is>
          <t>A 900-2024</t>
        </is>
      </c>
      <c r="B99" s="1" t="n">
        <v>45301</v>
      </c>
      <c r="C99" s="1" t="n">
        <v>45849</v>
      </c>
      <c r="D99" t="inlineStr">
        <is>
          <t>NORRBOTTENS LÄN</t>
        </is>
      </c>
      <c r="E99" t="inlineStr">
        <is>
          <t>BODEN</t>
        </is>
      </c>
      <c r="G99" t="n">
        <v>5.2</v>
      </c>
      <c r="H99" t="n">
        <v>2</v>
      </c>
      <c r="I99" t="n">
        <v>0</v>
      </c>
      <c r="J99" t="n">
        <v>0</v>
      </c>
      <c r="K99" t="n">
        <v>1</v>
      </c>
      <c r="L99" t="n">
        <v>0</v>
      </c>
      <c r="M99" t="n">
        <v>0</v>
      </c>
      <c r="N99" t="n">
        <v>0</v>
      </c>
      <c r="O99" t="n">
        <v>1</v>
      </c>
      <c r="P99" t="n">
        <v>1</v>
      </c>
      <c r="Q99" t="n">
        <v>2</v>
      </c>
      <c r="R99" s="2" t="inlineStr">
        <is>
          <t>Knärot
Revlummer</t>
        </is>
      </c>
      <c r="S99">
        <f>HYPERLINK("https://klasma.github.io/Logging_2582/artfynd/A 900-2024 artfynd.xlsx", "A 900-2024")</f>
        <v/>
      </c>
      <c r="T99">
        <f>HYPERLINK("https://klasma.github.io/Logging_2582/kartor/A 900-2024 karta.png", "A 900-2024")</f>
        <v/>
      </c>
      <c r="U99">
        <f>HYPERLINK("https://klasma.github.io/Logging_2582/knärot/A 900-2024 karta knärot.png", "A 900-2024")</f>
        <v/>
      </c>
      <c r="V99">
        <f>HYPERLINK("https://klasma.github.io/Logging_2582/klagomål/A 900-2024 FSC-klagomål.docx", "A 900-2024")</f>
        <v/>
      </c>
      <c r="W99">
        <f>HYPERLINK("https://klasma.github.io/Logging_2582/klagomålsmail/A 900-2024 FSC-klagomål mail.docx", "A 900-2024")</f>
        <v/>
      </c>
      <c r="X99">
        <f>HYPERLINK("https://klasma.github.io/Logging_2582/tillsyn/A 900-2024 tillsynsbegäran.docx", "A 900-2024")</f>
        <v/>
      </c>
      <c r="Y99">
        <f>HYPERLINK("https://klasma.github.io/Logging_2582/tillsynsmail/A 900-2024 tillsynsbegäran mail.docx", "A 900-2024")</f>
        <v/>
      </c>
    </row>
    <row r="100" ht="15" customHeight="1">
      <c r="A100" t="inlineStr">
        <is>
          <t>A 6639-2024</t>
        </is>
      </c>
      <c r="B100" s="1" t="n">
        <v>45341</v>
      </c>
      <c r="C100" s="1" t="n">
        <v>45849</v>
      </c>
      <c r="D100" t="inlineStr">
        <is>
          <t>NORRBOTTENS LÄN</t>
        </is>
      </c>
      <c r="E100" t="inlineStr">
        <is>
          <t>BODEN</t>
        </is>
      </c>
      <c r="F100" t="inlineStr">
        <is>
          <t>Övriga statliga verk och myndigheter</t>
        </is>
      </c>
      <c r="G100" t="n">
        <v>23.8</v>
      </c>
      <c r="H100" t="n">
        <v>0</v>
      </c>
      <c r="I100" t="n">
        <v>0</v>
      </c>
      <c r="J100" t="n">
        <v>2</v>
      </c>
      <c r="K100" t="n">
        <v>0</v>
      </c>
      <c r="L100" t="n">
        <v>0</v>
      </c>
      <c r="M100" t="n">
        <v>0</v>
      </c>
      <c r="N100" t="n">
        <v>0</v>
      </c>
      <c r="O100" t="n">
        <v>2</v>
      </c>
      <c r="P100" t="n">
        <v>0</v>
      </c>
      <c r="Q100" t="n">
        <v>2</v>
      </c>
      <c r="R100" s="2" t="inlineStr">
        <is>
          <t>Granticka
Lunglav</t>
        </is>
      </c>
      <c r="S100">
        <f>HYPERLINK("https://klasma.github.io/Logging_2582/artfynd/A 6639-2024 artfynd.xlsx", "A 6639-2024")</f>
        <v/>
      </c>
      <c r="T100">
        <f>HYPERLINK("https://klasma.github.io/Logging_2582/kartor/A 6639-2024 karta.png", "A 6639-2024")</f>
        <v/>
      </c>
      <c r="V100">
        <f>HYPERLINK("https://klasma.github.io/Logging_2582/klagomål/A 6639-2024 FSC-klagomål.docx", "A 6639-2024")</f>
        <v/>
      </c>
      <c r="W100">
        <f>HYPERLINK("https://klasma.github.io/Logging_2582/klagomålsmail/A 6639-2024 FSC-klagomål mail.docx", "A 6639-2024")</f>
        <v/>
      </c>
      <c r="X100">
        <f>HYPERLINK("https://klasma.github.io/Logging_2582/tillsyn/A 6639-2024 tillsynsbegäran.docx", "A 6639-2024")</f>
        <v/>
      </c>
      <c r="Y100">
        <f>HYPERLINK("https://klasma.github.io/Logging_2582/tillsynsmail/A 6639-2024 tillsynsbegäran mail.docx", "A 6639-2024")</f>
        <v/>
      </c>
    </row>
    <row r="101" ht="15" customHeight="1">
      <c r="A101" t="inlineStr">
        <is>
          <t>A 15605-2024</t>
        </is>
      </c>
      <c r="B101" s="1" t="n">
        <v>45402</v>
      </c>
      <c r="C101" s="1" t="n">
        <v>45849</v>
      </c>
      <c r="D101" t="inlineStr">
        <is>
          <t>NORRBOTTENS LÄN</t>
        </is>
      </c>
      <c r="E101" t="inlineStr">
        <is>
          <t>BODEN</t>
        </is>
      </c>
      <c r="G101" t="n">
        <v>6</v>
      </c>
      <c r="H101" t="n">
        <v>0</v>
      </c>
      <c r="I101" t="n">
        <v>1</v>
      </c>
      <c r="J101" t="n">
        <v>1</v>
      </c>
      <c r="K101" t="n">
        <v>0</v>
      </c>
      <c r="L101" t="n">
        <v>0</v>
      </c>
      <c r="M101" t="n">
        <v>0</v>
      </c>
      <c r="N101" t="n">
        <v>0</v>
      </c>
      <c r="O101" t="n">
        <v>1</v>
      </c>
      <c r="P101" t="n">
        <v>0</v>
      </c>
      <c r="Q101" t="n">
        <v>2</v>
      </c>
      <c r="R101" s="2" t="inlineStr">
        <is>
          <t>Gammelgransskål
Bollvitmossa</t>
        </is>
      </c>
      <c r="S101">
        <f>HYPERLINK("https://klasma.github.io/Logging_2582/artfynd/A 15605-2024 artfynd.xlsx", "A 15605-2024")</f>
        <v/>
      </c>
      <c r="T101">
        <f>HYPERLINK("https://klasma.github.io/Logging_2582/kartor/A 15605-2024 karta.png", "A 15605-2024")</f>
        <v/>
      </c>
      <c r="V101">
        <f>HYPERLINK("https://klasma.github.io/Logging_2582/klagomål/A 15605-2024 FSC-klagomål.docx", "A 15605-2024")</f>
        <v/>
      </c>
      <c r="W101">
        <f>HYPERLINK("https://klasma.github.io/Logging_2582/klagomålsmail/A 15605-2024 FSC-klagomål mail.docx", "A 15605-2024")</f>
        <v/>
      </c>
      <c r="X101">
        <f>HYPERLINK("https://klasma.github.io/Logging_2582/tillsyn/A 15605-2024 tillsynsbegäran.docx", "A 15605-2024")</f>
        <v/>
      </c>
      <c r="Y101">
        <f>HYPERLINK("https://klasma.github.io/Logging_2582/tillsynsmail/A 15605-2024 tillsynsbegäran mail.docx", "A 15605-2024")</f>
        <v/>
      </c>
    </row>
    <row r="102" ht="15" customHeight="1">
      <c r="A102" t="inlineStr">
        <is>
          <t>A 26822-2024</t>
        </is>
      </c>
      <c r="B102" s="1" t="n">
        <v>45470</v>
      </c>
      <c r="C102" s="1" t="n">
        <v>45849</v>
      </c>
      <c r="D102" t="inlineStr">
        <is>
          <t>NORRBOTTENS LÄN</t>
        </is>
      </c>
      <c r="E102" t="inlineStr">
        <is>
          <t>BODEN</t>
        </is>
      </c>
      <c r="F102" t="inlineStr">
        <is>
          <t>Sveaskog</t>
        </is>
      </c>
      <c r="G102" t="n">
        <v>10.9</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26822-2024 artfynd.xlsx", "A 26822-2024")</f>
        <v/>
      </c>
      <c r="T102">
        <f>HYPERLINK("https://klasma.github.io/Logging_2582/kartor/A 26822-2024 karta.png", "A 26822-2024")</f>
        <v/>
      </c>
      <c r="V102">
        <f>HYPERLINK("https://klasma.github.io/Logging_2582/klagomål/A 26822-2024 FSC-klagomål.docx", "A 26822-2024")</f>
        <v/>
      </c>
      <c r="W102">
        <f>HYPERLINK("https://klasma.github.io/Logging_2582/klagomålsmail/A 26822-2024 FSC-klagomål mail.docx", "A 26822-2024")</f>
        <v/>
      </c>
      <c r="X102">
        <f>HYPERLINK("https://klasma.github.io/Logging_2582/tillsyn/A 26822-2024 tillsynsbegäran.docx", "A 26822-2024")</f>
        <v/>
      </c>
      <c r="Y102">
        <f>HYPERLINK("https://klasma.github.io/Logging_2582/tillsynsmail/A 26822-2024 tillsynsbegäran mail.docx", "A 26822-2024")</f>
        <v/>
      </c>
    </row>
    <row r="103" ht="15" customHeight="1">
      <c r="A103" t="inlineStr">
        <is>
          <t>A 32971-2024</t>
        </is>
      </c>
      <c r="B103" s="1" t="n">
        <v>45517</v>
      </c>
      <c r="C103" s="1" t="n">
        <v>45849</v>
      </c>
      <c r="D103" t="inlineStr">
        <is>
          <t>NORRBOTTENS LÄN</t>
        </is>
      </c>
      <c r="E103" t="inlineStr">
        <is>
          <t>BODEN</t>
        </is>
      </c>
      <c r="F103" t="inlineStr">
        <is>
          <t>Sveaskog</t>
        </is>
      </c>
      <c r="G103" t="n">
        <v>10</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32971-2024 artfynd.xlsx", "A 32971-2024")</f>
        <v/>
      </c>
      <c r="T103">
        <f>HYPERLINK("https://klasma.github.io/Logging_2582/kartor/A 32971-2024 karta.png", "A 32971-2024")</f>
        <v/>
      </c>
      <c r="V103">
        <f>HYPERLINK("https://klasma.github.io/Logging_2582/klagomål/A 32971-2024 FSC-klagomål.docx", "A 32971-2024")</f>
        <v/>
      </c>
      <c r="W103">
        <f>HYPERLINK("https://klasma.github.io/Logging_2582/klagomålsmail/A 32971-2024 FSC-klagomål mail.docx", "A 32971-2024")</f>
        <v/>
      </c>
      <c r="X103">
        <f>HYPERLINK("https://klasma.github.io/Logging_2582/tillsyn/A 32971-2024 tillsynsbegäran.docx", "A 32971-2024")</f>
        <v/>
      </c>
      <c r="Y103">
        <f>HYPERLINK("https://klasma.github.io/Logging_2582/tillsynsmail/A 32971-2024 tillsynsbegäran mail.docx", "A 32971-2024")</f>
        <v/>
      </c>
    </row>
    <row r="104" ht="15" customHeight="1">
      <c r="A104" t="inlineStr">
        <is>
          <t>A 34737-2024</t>
        </is>
      </c>
      <c r="B104" s="1" t="n">
        <v>45526</v>
      </c>
      <c r="C104" s="1" t="n">
        <v>45849</v>
      </c>
      <c r="D104" t="inlineStr">
        <is>
          <t>NORRBOTTENS LÄN</t>
        </is>
      </c>
      <c r="E104" t="inlineStr">
        <is>
          <t>BODEN</t>
        </is>
      </c>
      <c r="F104" t="inlineStr">
        <is>
          <t>Sveaskog</t>
        </is>
      </c>
      <c r="G104" t="n">
        <v>6</v>
      </c>
      <c r="H104" t="n">
        <v>1</v>
      </c>
      <c r="I104" t="n">
        <v>0</v>
      </c>
      <c r="J104" t="n">
        <v>1</v>
      </c>
      <c r="K104" t="n">
        <v>0</v>
      </c>
      <c r="L104" t="n">
        <v>0</v>
      </c>
      <c r="M104" t="n">
        <v>0</v>
      </c>
      <c r="N104" t="n">
        <v>0</v>
      </c>
      <c r="O104" t="n">
        <v>1</v>
      </c>
      <c r="P104" t="n">
        <v>0</v>
      </c>
      <c r="Q104" t="n">
        <v>2</v>
      </c>
      <c r="R104" s="2" t="inlineStr">
        <is>
          <t>Lunglav
Fläcknycklar</t>
        </is>
      </c>
      <c r="S104">
        <f>HYPERLINK("https://klasma.github.io/Logging_2582/artfynd/A 34737-2024 artfynd.xlsx", "A 34737-2024")</f>
        <v/>
      </c>
      <c r="T104">
        <f>HYPERLINK("https://klasma.github.io/Logging_2582/kartor/A 34737-2024 karta.png", "A 34737-2024")</f>
        <v/>
      </c>
      <c r="V104">
        <f>HYPERLINK("https://klasma.github.io/Logging_2582/klagomål/A 34737-2024 FSC-klagomål.docx", "A 34737-2024")</f>
        <v/>
      </c>
      <c r="W104">
        <f>HYPERLINK("https://klasma.github.io/Logging_2582/klagomålsmail/A 34737-2024 FSC-klagomål mail.docx", "A 34737-2024")</f>
        <v/>
      </c>
      <c r="X104">
        <f>HYPERLINK("https://klasma.github.io/Logging_2582/tillsyn/A 34737-2024 tillsynsbegäran.docx", "A 34737-2024")</f>
        <v/>
      </c>
      <c r="Y104">
        <f>HYPERLINK("https://klasma.github.io/Logging_2582/tillsynsmail/A 34737-2024 tillsynsbegäran mail.docx", "A 34737-2024")</f>
        <v/>
      </c>
    </row>
    <row r="105" ht="15" customHeight="1">
      <c r="A105" t="inlineStr">
        <is>
          <t>A 41087-2024</t>
        </is>
      </c>
      <c r="B105" s="1" t="n">
        <v>45559</v>
      </c>
      <c r="C105" s="1" t="n">
        <v>45849</v>
      </c>
      <c r="D105" t="inlineStr">
        <is>
          <t>NORRBOTTENS LÄN</t>
        </is>
      </c>
      <c r="E105" t="inlineStr">
        <is>
          <t>BODEN</t>
        </is>
      </c>
      <c r="F105" t="inlineStr">
        <is>
          <t>Sveaskog</t>
        </is>
      </c>
      <c r="G105" t="n">
        <v>7.5</v>
      </c>
      <c r="H105" t="n">
        <v>1</v>
      </c>
      <c r="I105" t="n">
        <v>1</v>
      </c>
      <c r="J105" t="n">
        <v>1</v>
      </c>
      <c r="K105" t="n">
        <v>0</v>
      </c>
      <c r="L105" t="n">
        <v>0</v>
      </c>
      <c r="M105" t="n">
        <v>0</v>
      </c>
      <c r="N105" t="n">
        <v>0</v>
      </c>
      <c r="O105" t="n">
        <v>1</v>
      </c>
      <c r="P105" t="n">
        <v>0</v>
      </c>
      <c r="Q105" t="n">
        <v>2</v>
      </c>
      <c r="R105" s="2" t="inlineStr">
        <is>
          <t>Garnlav
Spindelblomster</t>
        </is>
      </c>
      <c r="S105">
        <f>HYPERLINK("https://klasma.github.io/Logging_2582/artfynd/A 41087-2024 artfynd.xlsx", "A 41087-2024")</f>
        <v/>
      </c>
      <c r="T105">
        <f>HYPERLINK("https://klasma.github.io/Logging_2582/kartor/A 41087-2024 karta.png", "A 41087-2024")</f>
        <v/>
      </c>
      <c r="V105">
        <f>HYPERLINK("https://klasma.github.io/Logging_2582/klagomål/A 41087-2024 FSC-klagomål.docx", "A 41087-2024")</f>
        <v/>
      </c>
      <c r="W105">
        <f>HYPERLINK("https://klasma.github.io/Logging_2582/klagomålsmail/A 41087-2024 FSC-klagomål mail.docx", "A 41087-2024")</f>
        <v/>
      </c>
      <c r="X105">
        <f>HYPERLINK("https://klasma.github.io/Logging_2582/tillsyn/A 41087-2024 tillsynsbegäran.docx", "A 41087-2024")</f>
        <v/>
      </c>
      <c r="Y105">
        <f>HYPERLINK("https://klasma.github.io/Logging_2582/tillsynsmail/A 41087-2024 tillsynsbegäran mail.docx", "A 41087-2024")</f>
        <v/>
      </c>
    </row>
    <row r="106" ht="15" customHeight="1">
      <c r="A106" t="inlineStr">
        <is>
          <t>A 59435-2024</t>
        </is>
      </c>
      <c r="B106" s="1" t="n">
        <v>45638</v>
      </c>
      <c r="C106" s="1" t="n">
        <v>45849</v>
      </c>
      <c r="D106" t="inlineStr">
        <is>
          <t>NORRBOTTENS LÄN</t>
        </is>
      </c>
      <c r="E106" t="inlineStr">
        <is>
          <t>BODEN</t>
        </is>
      </c>
      <c r="G106" t="n">
        <v>2.1</v>
      </c>
      <c r="H106" t="n">
        <v>1</v>
      </c>
      <c r="I106" t="n">
        <v>2</v>
      </c>
      <c r="J106" t="n">
        <v>0</v>
      </c>
      <c r="K106" t="n">
        <v>0</v>
      </c>
      <c r="L106" t="n">
        <v>0</v>
      </c>
      <c r="M106" t="n">
        <v>0</v>
      </c>
      <c r="N106" t="n">
        <v>0</v>
      </c>
      <c r="O106" t="n">
        <v>0</v>
      </c>
      <c r="P106" t="n">
        <v>0</v>
      </c>
      <c r="Q106" t="n">
        <v>2</v>
      </c>
      <c r="R106" s="2" t="inlineStr">
        <is>
          <t>Lappranunkel
Ögonpyrola</t>
        </is>
      </c>
      <c r="S106">
        <f>HYPERLINK("https://klasma.github.io/Logging_2582/artfynd/A 59435-2024 artfynd.xlsx", "A 59435-2024")</f>
        <v/>
      </c>
      <c r="T106">
        <f>HYPERLINK("https://klasma.github.io/Logging_2582/kartor/A 59435-2024 karta.png", "A 59435-2024")</f>
        <v/>
      </c>
      <c r="V106">
        <f>HYPERLINK("https://klasma.github.io/Logging_2582/klagomål/A 59435-2024 FSC-klagomål.docx", "A 59435-2024")</f>
        <v/>
      </c>
      <c r="W106">
        <f>HYPERLINK("https://klasma.github.io/Logging_2582/klagomålsmail/A 59435-2024 FSC-klagomål mail.docx", "A 59435-2024")</f>
        <v/>
      </c>
      <c r="X106">
        <f>HYPERLINK("https://klasma.github.io/Logging_2582/tillsyn/A 59435-2024 tillsynsbegäran.docx", "A 59435-2024")</f>
        <v/>
      </c>
      <c r="Y106">
        <f>HYPERLINK("https://klasma.github.io/Logging_2582/tillsynsmail/A 59435-2024 tillsynsbegäran mail.docx", "A 59435-2024")</f>
        <v/>
      </c>
    </row>
    <row r="107" ht="15" customHeight="1">
      <c r="A107" t="inlineStr">
        <is>
          <t>A 6895-2025</t>
        </is>
      </c>
      <c r="B107" s="1" t="n">
        <v>45701</v>
      </c>
      <c r="C107" s="1" t="n">
        <v>45849</v>
      </c>
      <c r="D107" t="inlineStr">
        <is>
          <t>NORRBOTTENS LÄN</t>
        </is>
      </c>
      <c r="E107" t="inlineStr">
        <is>
          <t>BODEN</t>
        </is>
      </c>
      <c r="G107" t="n">
        <v>1.5</v>
      </c>
      <c r="H107" t="n">
        <v>1</v>
      </c>
      <c r="I107" t="n">
        <v>1</v>
      </c>
      <c r="J107" t="n">
        <v>1</v>
      </c>
      <c r="K107" t="n">
        <v>0</v>
      </c>
      <c r="L107" t="n">
        <v>0</v>
      </c>
      <c r="M107" t="n">
        <v>0</v>
      </c>
      <c r="N107" t="n">
        <v>0</v>
      </c>
      <c r="O107" t="n">
        <v>1</v>
      </c>
      <c r="P107" t="n">
        <v>0</v>
      </c>
      <c r="Q107" t="n">
        <v>2</v>
      </c>
      <c r="R107" s="2" t="inlineStr">
        <is>
          <t>Kolflarnlav
Plattlummer</t>
        </is>
      </c>
      <c r="S107">
        <f>HYPERLINK("https://klasma.github.io/Logging_2582/artfynd/A 6895-2025 artfynd.xlsx", "A 6895-2025")</f>
        <v/>
      </c>
      <c r="T107">
        <f>HYPERLINK("https://klasma.github.io/Logging_2582/kartor/A 6895-2025 karta.png", "A 6895-2025")</f>
        <v/>
      </c>
      <c r="V107">
        <f>HYPERLINK("https://klasma.github.io/Logging_2582/klagomål/A 6895-2025 FSC-klagomål.docx", "A 6895-2025")</f>
        <v/>
      </c>
      <c r="W107">
        <f>HYPERLINK("https://klasma.github.io/Logging_2582/klagomålsmail/A 6895-2025 FSC-klagomål mail.docx", "A 6895-2025")</f>
        <v/>
      </c>
      <c r="X107">
        <f>HYPERLINK("https://klasma.github.io/Logging_2582/tillsyn/A 6895-2025 tillsynsbegäran.docx", "A 6895-2025")</f>
        <v/>
      </c>
      <c r="Y107">
        <f>HYPERLINK("https://klasma.github.io/Logging_2582/tillsynsmail/A 6895-2025 tillsynsbegäran mail.docx", "A 6895-2025")</f>
        <v/>
      </c>
    </row>
    <row r="108" ht="15" customHeight="1">
      <c r="A108" t="inlineStr">
        <is>
          <t>A 9306-2025</t>
        </is>
      </c>
      <c r="B108" s="1" t="n">
        <v>45714</v>
      </c>
      <c r="C108" s="1" t="n">
        <v>45849</v>
      </c>
      <c r="D108" t="inlineStr">
        <is>
          <t>NORRBOTTENS LÄN</t>
        </is>
      </c>
      <c r="E108" t="inlineStr">
        <is>
          <t>BODEN</t>
        </is>
      </c>
      <c r="F108" t="inlineStr">
        <is>
          <t>SCA</t>
        </is>
      </c>
      <c r="G108" t="n">
        <v>11.7</v>
      </c>
      <c r="H108" t="n">
        <v>0</v>
      </c>
      <c r="I108" t="n">
        <v>0</v>
      </c>
      <c r="J108" t="n">
        <v>1</v>
      </c>
      <c r="K108" t="n">
        <v>1</v>
      </c>
      <c r="L108" t="n">
        <v>0</v>
      </c>
      <c r="M108" t="n">
        <v>0</v>
      </c>
      <c r="N108" t="n">
        <v>0</v>
      </c>
      <c r="O108" t="n">
        <v>2</v>
      </c>
      <c r="P108" t="n">
        <v>1</v>
      </c>
      <c r="Q108" t="n">
        <v>2</v>
      </c>
      <c r="R108" s="2" t="inlineStr">
        <is>
          <t>Rynkskinn
Lunglav</t>
        </is>
      </c>
      <c r="S108">
        <f>HYPERLINK("https://klasma.github.io/Logging_2582/artfynd/A 9306-2025 artfynd.xlsx", "A 9306-2025")</f>
        <v/>
      </c>
      <c r="T108">
        <f>HYPERLINK("https://klasma.github.io/Logging_2582/kartor/A 9306-2025 karta.png", "A 9306-2025")</f>
        <v/>
      </c>
      <c r="V108">
        <f>HYPERLINK("https://klasma.github.io/Logging_2582/klagomål/A 9306-2025 FSC-klagomål.docx", "A 9306-2025")</f>
        <v/>
      </c>
      <c r="W108">
        <f>HYPERLINK("https://klasma.github.io/Logging_2582/klagomålsmail/A 9306-2025 FSC-klagomål mail.docx", "A 9306-2025")</f>
        <v/>
      </c>
      <c r="X108">
        <f>HYPERLINK("https://klasma.github.io/Logging_2582/tillsyn/A 9306-2025 tillsynsbegäran.docx", "A 9306-2025")</f>
        <v/>
      </c>
      <c r="Y108">
        <f>HYPERLINK("https://klasma.github.io/Logging_2582/tillsynsmail/A 9306-2025 tillsynsbegäran mail.docx", "A 9306-2025")</f>
        <v/>
      </c>
    </row>
    <row r="109" ht="15" customHeight="1">
      <c r="A109" t="inlineStr">
        <is>
          <t>A 28267-2025</t>
        </is>
      </c>
      <c r="B109" s="1" t="n">
        <v>45818</v>
      </c>
      <c r="C109" s="1" t="n">
        <v>45849</v>
      </c>
      <c r="D109" t="inlineStr">
        <is>
          <t>NORRBOTTENS LÄN</t>
        </is>
      </c>
      <c r="E109" t="inlineStr">
        <is>
          <t>BODEN</t>
        </is>
      </c>
      <c r="F109" t="inlineStr">
        <is>
          <t>Sveaskog</t>
        </is>
      </c>
      <c r="G109" t="n">
        <v>2.6</v>
      </c>
      <c r="H109" t="n">
        <v>1</v>
      </c>
      <c r="I109" t="n">
        <v>0</v>
      </c>
      <c r="J109" t="n">
        <v>1</v>
      </c>
      <c r="K109" t="n">
        <v>1</v>
      </c>
      <c r="L109" t="n">
        <v>0</v>
      </c>
      <c r="M109" t="n">
        <v>0</v>
      </c>
      <c r="N109" t="n">
        <v>0</v>
      </c>
      <c r="O109" t="n">
        <v>2</v>
      </c>
      <c r="P109" t="n">
        <v>1</v>
      </c>
      <c r="Q109" t="n">
        <v>2</v>
      </c>
      <c r="R109" s="2" t="inlineStr">
        <is>
          <t>Doftticka
Lunglav</t>
        </is>
      </c>
      <c r="S109">
        <f>HYPERLINK("https://klasma.github.io/Logging_252582/artfynd/A 28267-2025 artfynd.xlsx", "A 28267-2025")</f>
        <v/>
      </c>
      <c r="T109">
        <f>HYPERLINK("https://klasma.github.io/Logging_252582/kartor/A 28267-2025 karta.png", "A 28267-2025")</f>
        <v/>
      </c>
      <c r="U109">
        <f>HYPERLINK("https://klasma.github.io/Logging_252582/knärot/A 28267-2025 karta knärot.png", "A 28267-2025")</f>
        <v/>
      </c>
      <c r="V109">
        <f>HYPERLINK("https://klasma.github.io/Logging_252582/klagomål/A 28267-2025 FSC-klagomål.docx", "A 28267-2025")</f>
        <v/>
      </c>
      <c r="W109">
        <f>HYPERLINK("https://klasma.github.io/Logging_252582/klagomålsmail/A 28267-2025 FSC-klagomål mail.docx", "A 28267-2025")</f>
        <v/>
      </c>
      <c r="X109">
        <f>HYPERLINK("https://klasma.github.io/Logging_252582/tillsyn/A 28267-2025 tillsynsbegäran.docx", "A 28267-2025")</f>
        <v/>
      </c>
      <c r="Y109">
        <f>HYPERLINK("https://klasma.github.io/Logging_252582/tillsynsmail/A 28267-2025 tillsynsbegäran mail.docx", "A 28267-2025")</f>
        <v/>
      </c>
    </row>
    <row r="110" ht="15" customHeight="1">
      <c r="A110" t="inlineStr">
        <is>
          <t>A 28867-2025</t>
        </is>
      </c>
      <c r="B110" s="1" t="n">
        <v>45820</v>
      </c>
      <c r="C110" s="1" t="n">
        <v>45849</v>
      </c>
      <c r="D110" t="inlineStr">
        <is>
          <t>NORRBOTTENS LÄN</t>
        </is>
      </c>
      <c r="E110" t="inlineStr">
        <is>
          <t>BODEN</t>
        </is>
      </c>
      <c r="F110" t="inlineStr">
        <is>
          <t>Sveaskog</t>
        </is>
      </c>
      <c r="G110" t="n">
        <v>8.199999999999999</v>
      </c>
      <c r="H110" t="n">
        <v>2</v>
      </c>
      <c r="I110" t="n">
        <v>0</v>
      </c>
      <c r="J110" t="n">
        <v>0</v>
      </c>
      <c r="K110" t="n">
        <v>1</v>
      </c>
      <c r="L110" t="n">
        <v>0</v>
      </c>
      <c r="M110" t="n">
        <v>0</v>
      </c>
      <c r="N110" t="n">
        <v>0</v>
      </c>
      <c r="O110" t="n">
        <v>1</v>
      </c>
      <c r="P110" t="n">
        <v>1</v>
      </c>
      <c r="Q110" t="n">
        <v>2</v>
      </c>
      <c r="R110" s="2" t="inlineStr">
        <is>
          <t>Knärot
Fläcknycklar</t>
        </is>
      </c>
      <c r="S110">
        <f>HYPERLINK("https://klasma.github.io/Logging_252582/artfynd/A 28867-2025 artfynd.xlsx", "A 28867-2025")</f>
        <v/>
      </c>
      <c r="T110">
        <f>HYPERLINK("https://klasma.github.io/Logging_252582/kartor/A 28867-2025 karta.png", "A 28867-2025")</f>
        <v/>
      </c>
      <c r="U110">
        <f>HYPERLINK("https://klasma.github.io/Logging_252582/knärot/A 28867-2025 karta knärot.png", "A 28867-2025")</f>
        <v/>
      </c>
      <c r="V110">
        <f>HYPERLINK("https://klasma.github.io/Logging_252582/klagomål/A 28867-2025 FSC-klagomål.docx", "A 28867-2025")</f>
        <v/>
      </c>
      <c r="W110">
        <f>HYPERLINK("https://klasma.github.io/Logging_252582/klagomålsmail/A 28867-2025 FSC-klagomål mail.docx", "A 28867-2025")</f>
        <v/>
      </c>
      <c r="X110">
        <f>HYPERLINK("https://klasma.github.io/Logging_252582/tillsyn/A 28867-2025 tillsynsbegäran.docx", "A 28867-2025")</f>
        <v/>
      </c>
      <c r="Y110">
        <f>HYPERLINK("https://klasma.github.io/Logging_252582/tillsynsmail/A 28867-2025 tillsynsbegäran mail.docx", "A 28867-2025")</f>
        <v/>
      </c>
    </row>
    <row r="111" ht="15" customHeight="1">
      <c r="A111" t="inlineStr">
        <is>
          <t>A 31358-2025</t>
        </is>
      </c>
      <c r="B111" s="1" t="n">
        <v>45833</v>
      </c>
      <c r="C111" s="1" t="n">
        <v>45849</v>
      </c>
      <c r="D111" t="inlineStr">
        <is>
          <t>NORRBOTTENS LÄN</t>
        </is>
      </c>
      <c r="E111" t="inlineStr">
        <is>
          <t>BODEN</t>
        </is>
      </c>
      <c r="F111" t="inlineStr">
        <is>
          <t>Sveaskog</t>
        </is>
      </c>
      <c r="G111" t="n">
        <v>9.300000000000001</v>
      </c>
      <c r="H111" t="n">
        <v>0</v>
      </c>
      <c r="I111" t="n">
        <v>0</v>
      </c>
      <c r="J111" t="n">
        <v>2</v>
      </c>
      <c r="K111" t="n">
        <v>0</v>
      </c>
      <c r="L111" t="n">
        <v>0</v>
      </c>
      <c r="M111" t="n">
        <v>0</v>
      </c>
      <c r="N111" t="n">
        <v>0</v>
      </c>
      <c r="O111" t="n">
        <v>2</v>
      </c>
      <c r="P111" t="n">
        <v>0</v>
      </c>
      <c r="Q111" t="n">
        <v>2</v>
      </c>
      <c r="R111" s="2" t="inlineStr">
        <is>
          <t>Gränsticka
Tallticka</t>
        </is>
      </c>
      <c r="S111">
        <f>HYPERLINK("https://klasma.github.io/Logging_252582/artfynd/A 31358-2025 artfynd.xlsx", "A 31358-2025")</f>
        <v/>
      </c>
      <c r="T111">
        <f>HYPERLINK("https://klasma.github.io/Logging_252582/kartor/A 31358-2025 karta.png", "A 31358-2025")</f>
        <v/>
      </c>
      <c r="V111">
        <f>HYPERLINK("https://klasma.github.io/Logging_252582/klagomål/A 31358-2025 FSC-klagomål.docx", "A 31358-2025")</f>
        <v/>
      </c>
      <c r="W111">
        <f>HYPERLINK("https://klasma.github.io/Logging_252582/klagomålsmail/A 31358-2025 FSC-klagomål mail.docx", "A 31358-2025")</f>
        <v/>
      </c>
      <c r="X111">
        <f>HYPERLINK("https://klasma.github.io/Logging_252582/tillsyn/A 31358-2025 tillsynsbegäran.docx", "A 31358-2025")</f>
        <v/>
      </c>
      <c r="Y111">
        <f>HYPERLINK("https://klasma.github.io/Logging_252582/tillsynsmail/A 31358-2025 tillsynsbegäran mail.docx", "A 31358-2025")</f>
        <v/>
      </c>
    </row>
    <row r="112" ht="15" customHeight="1">
      <c r="A112" t="inlineStr">
        <is>
          <t>A 31704-2025</t>
        </is>
      </c>
      <c r="B112" s="1" t="n">
        <v>45834</v>
      </c>
      <c r="C112" s="1" t="n">
        <v>45849</v>
      </c>
      <c r="D112" t="inlineStr">
        <is>
          <t>NORRBOTTENS LÄN</t>
        </is>
      </c>
      <c r="E112" t="inlineStr">
        <is>
          <t>BODEN</t>
        </is>
      </c>
      <c r="F112" t="inlineStr">
        <is>
          <t>Sveaskog</t>
        </is>
      </c>
      <c r="G112" t="n">
        <v>5.2</v>
      </c>
      <c r="H112" t="n">
        <v>2</v>
      </c>
      <c r="I112" t="n">
        <v>0</v>
      </c>
      <c r="J112" t="n">
        <v>1</v>
      </c>
      <c r="K112" t="n">
        <v>0</v>
      </c>
      <c r="L112" t="n">
        <v>0</v>
      </c>
      <c r="M112" t="n">
        <v>0</v>
      </c>
      <c r="N112" t="n">
        <v>0</v>
      </c>
      <c r="O112" t="n">
        <v>1</v>
      </c>
      <c r="P112" t="n">
        <v>0</v>
      </c>
      <c r="Q112" t="n">
        <v>2</v>
      </c>
      <c r="R112" s="2" t="inlineStr">
        <is>
          <t>Talltita
Grönsiska</t>
        </is>
      </c>
      <c r="S112">
        <f>HYPERLINK("https://klasma.github.io/Logging_252582/artfynd/A 31704-2025 artfynd.xlsx", "A 31704-2025")</f>
        <v/>
      </c>
      <c r="T112">
        <f>HYPERLINK("https://klasma.github.io/Logging_252582/kartor/A 31704-2025 karta.png", "A 31704-2025")</f>
        <v/>
      </c>
      <c r="V112">
        <f>HYPERLINK("https://klasma.github.io/Logging_252582/klagomål/A 31704-2025 FSC-klagomål.docx", "A 31704-2025")</f>
        <v/>
      </c>
      <c r="W112">
        <f>HYPERLINK("https://klasma.github.io/Logging_252582/klagomålsmail/A 31704-2025 FSC-klagomål mail.docx", "A 31704-2025")</f>
        <v/>
      </c>
      <c r="X112">
        <f>HYPERLINK("https://klasma.github.io/Logging_252582/tillsyn/A 31704-2025 tillsynsbegäran.docx", "A 31704-2025")</f>
        <v/>
      </c>
      <c r="Y112">
        <f>HYPERLINK("https://klasma.github.io/Logging_252582/tillsynsmail/A 31704-2025 tillsynsbegäran mail.docx", "A 31704-2025")</f>
        <v/>
      </c>
      <c r="Z112">
        <f>HYPERLINK("https://klasma.github.io/Logging_252582/fåglar/A 31704-2025 prioriterade fågelarter.docx", "A 31704-2025")</f>
        <v/>
      </c>
    </row>
    <row r="113" ht="15" customHeight="1">
      <c r="A113" t="inlineStr">
        <is>
          <t>A 33895-2025</t>
        </is>
      </c>
      <c r="B113" s="1" t="n">
        <v>45842</v>
      </c>
      <c r="C113" s="1" t="n">
        <v>45849</v>
      </c>
      <c r="D113" t="inlineStr">
        <is>
          <t>NORRBOTTENS LÄN</t>
        </is>
      </c>
      <c r="E113" t="inlineStr">
        <is>
          <t>BODEN</t>
        </is>
      </c>
      <c r="F113" t="inlineStr">
        <is>
          <t>Sveaskog</t>
        </is>
      </c>
      <c r="G113" t="n">
        <v>16.7</v>
      </c>
      <c r="H113" t="n">
        <v>2</v>
      </c>
      <c r="I113" t="n">
        <v>1</v>
      </c>
      <c r="J113" t="n">
        <v>0</v>
      </c>
      <c r="K113" t="n">
        <v>0</v>
      </c>
      <c r="L113" t="n">
        <v>0</v>
      </c>
      <c r="M113" t="n">
        <v>0</v>
      </c>
      <c r="N113" t="n">
        <v>0</v>
      </c>
      <c r="O113" t="n">
        <v>0</v>
      </c>
      <c r="P113" t="n">
        <v>0</v>
      </c>
      <c r="Q113" t="n">
        <v>2</v>
      </c>
      <c r="R113" s="2" t="inlineStr">
        <is>
          <t>Plattlummer
Fläcknycklar</t>
        </is>
      </c>
      <c r="S113">
        <f>HYPERLINK("https://klasma.github.io/Logging_252582/artfynd/A 33895-2025 artfynd.xlsx", "A 33895-2025")</f>
        <v/>
      </c>
      <c r="T113">
        <f>HYPERLINK("https://klasma.github.io/Logging_252582/kartor/A 33895-2025 karta.png", "A 33895-2025")</f>
        <v/>
      </c>
      <c r="V113">
        <f>HYPERLINK("https://klasma.github.io/Logging_252582/klagomål/A 33895-2025 FSC-klagomål.docx", "A 33895-2025")</f>
        <v/>
      </c>
      <c r="W113">
        <f>HYPERLINK("https://klasma.github.io/Logging_252582/klagomålsmail/A 33895-2025 FSC-klagomål mail.docx", "A 33895-2025")</f>
        <v/>
      </c>
      <c r="X113">
        <f>HYPERLINK("https://klasma.github.io/Logging_252582/tillsyn/A 33895-2025 tillsynsbegäran.docx", "A 33895-2025")</f>
        <v/>
      </c>
      <c r="Y113">
        <f>HYPERLINK("https://klasma.github.io/Logging_252582/tillsynsmail/A 33895-2025 tillsynsbegäran mail.docx", "A 33895-2025")</f>
        <v/>
      </c>
    </row>
    <row r="114" ht="15" customHeight="1">
      <c r="A114" t="inlineStr">
        <is>
          <t>A 35824-2019</t>
        </is>
      </c>
      <c r="B114" s="1" t="n">
        <v>43665</v>
      </c>
      <c r="C114" s="1" t="n">
        <v>45849</v>
      </c>
      <c r="D114" t="inlineStr">
        <is>
          <t>NORRBOTTENS LÄN</t>
        </is>
      </c>
      <c r="E114" t="inlineStr">
        <is>
          <t>BODEN</t>
        </is>
      </c>
      <c r="F114" t="inlineStr">
        <is>
          <t>Sveaskog</t>
        </is>
      </c>
      <c r="G114" t="n">
        <v>1.7</v>
      </c>
      <c r="H114" t="n">
        <v>0</v>
      </c>
      <c r="I114" t="n">
        <v>0</v>
      </c>
      <c r="J114" t="n">
        <v>1</v>
      </c>
      <c r="K114" t="n">
        <v>0</v>
      </c>
      <c r="L114" t="n">
        <v>0</v>
      </c>
      <c r="M114" t="n">
        <v>0</v>
      </c>
      <c r="N114" t="n">
        <v>0</v>
      </c>
      <c r="O114" t="n">
        <v>1</v>
      </c>
      <c r="P114" t="n">
        <v>0</v>
      </c>
      <c r="Q114" t="n">
        <v>1</v>
      </c>
      <c r="R114" s="2" t="inlineStr">
        <is>
          <t>Gammelgransskål</t>
        </is>
      </c>
      <c r="S114">
        <f>HYPERLINK("https://klasma.github.io/Logging_2582/artfynd/A 35824-2019 artfynd.xlsx", "A 35824-2019")</f>
        <v/>
      </c>
      <c r="T114">
        <f>HYPERLINK("https://klasma.github.io/Logging_2582/kartor/A 35824-2019 karta.png", "A 35824-2019")</f>
        <v/>
      </c>
      <c r="V114">
        <f>HYPERLINK("https://klasma.github.io/Logging_2582/klagomål/A 35824-2019 FSC-klagomål.docx", "A 35824-2019")</f>
        <v/>
      </c>
      <c r="W114">
        <f>HYPERLINK("https://klasma.github.io/Logging_2582/klagomålsmail/A 35824-2019 FSC-klagomål mail.docx", "A 35824-2019")</f>
        <v/>
      </c>
      <c r="X114">
        <f>HYPERLINK("https://klasma.github.io/Logging_2582/tillsyn/A 35824-2019 tillsynsbegäran.docx", "A 35824-2019")</f>
        <v/>
      </c>
      <c r="Y114">
        <f>HYPERLINK("https://klasma.github.io/Logging_2582/tillsynsmail/A 35824-2019 tillsynsbegäran mail.docx", "A 35824-2019")</f>
        <v/>
      </c>
    </row>
    <row r="115" ht="15" customHeight="1">
      <c r="A115" t="inlineStr">
        <is>
          <t>A 54126-2019</t>
        </is>
      </c>
      <c r="B115" s="1" t="n">
        <v>43752</v>
      </c>
      <c r="C115" s="1" t="n">
        <v>45849</v>
      </c>
      <c r="D115" t="inlineStr">
        <is>
          <t>NORRBOTTENS LÄN</t>
        </is>
      </c>
      <c r="E115" t="inlineStr">
        <is>
          <t>BODEN</t>
        </is>
      </c>
      <c r="F115" t="inlineStr">
        <is>
          <t>SCA</t>
        </is>
      </c>
      <c r="G115" t="n">
        <v>7.6</v>
      </c>
      <c r="H115" t="n">
        <v>1</v>
      </c>
      <c r="I115" t="n">
        <v>0</v>
      </c>
      <c r="J115" t="n">
        <v>0</v>
      </c>
      <c r="K115" t="n">
        <v>1</v>
      </c>
      <c r="L115" t="n">
        <v>0</v>
      </c>
      <c r="M115" t="n">
        <v>0</v>
      </c>
      <c r="N115" t="n">
        <v>0</v>
      </c>
      <c r="O115" t="n">
        <v>1</v>
      </c>
      <c r="P115" t="n">
        <v>1</v>
      </c>
      <c r="Q115" t="n">
        <v>1</v>
      </c>
      <c r="R115" s="2" t="inlineStr">
        <is>
          <t>Knärot</t>
        </is>
      </c>
      <c r="S115">
        <f>HYPERLINK("https://klasma.github.io/Logging_2582/artfynd/A 54126-2019 artfynd.xlsx", "A 54126-2019")</f>
        <v/>
      </c>
      <c r="T115">
        <f>HYPERLINK("https://klasma.github.io/Logging_2582/kartor/A 54126-2019 karta.png", "A 54126-2019")</f>
        <v/>
      </c>
      <c r="U115">
        <f>HYPERLINK("https://klasma.github.io/Logging_2582/knärot/A 54126-2019 karta knärot.png", "A 54126-2019")</f>
        <v/>
      </c>
      <c r="V115">
        <f>HYPERLINK("https://klasma.github.io/Logging_2582/klagomål/A 54126-2019 FSC-klagomål.docx", "A 54126-2019")</f>
        <v/>
      </c>
      <c r="W115">
        <f>HYPERLINK("https://klasma.github.io/Logging_2582/klagomålsmail/A 54126-2019 FSC-klagomål mail.docx", "A 54126-2019")</f>
        <v/>
      </c>
      <c r="X115">
        <f>HYPERLINK("https://klasma.github.io/Logging_2582/tillsyn/A 54126-2019 tillsynsbegäran.docx", "A 54126-2019")</f>
        <v/>
      </c>
      <c r="Y115">
        <f>HYPERLINK("https://klasma.github.io/Logging_2582/tillsynsmail/A 54126-2019 tillsynsbegäran mail.docx", "A 54126-2019")</f>
        <v/>
      </c>
    </row>
    <row r="116" ht="15" customHeight="1">
      <c r="A116" t="inlineStr">
        <is>
          <t>A 56937-2019</t>
        </is>
      </c>
      <c r="B116" s="1" t="n">
        <v>43759</v>
      </c>
      <c r="C116" s="1" t="n">
        <v>45849</v>
      </c>
      <c r="D116" t="inlineStr">
        <is>
          <t>NORRBOTTENS LÄN</t>
        </is>
      </c>
      <c r="E116" t="inlineStr">
        <is>
          <t>BODEN</t>
        </is>
      </c>
      <c r="G116" t="n">
        <v>11.2</v>
      </c>
      <c r="H116" t="n">
        <v>1</v>
      </c>
      <c r="I116" t="n">
        <v>0</v>
      </c>
      <c r="J116" t="n">
        <v>1</v>
      </c>
      <c r="K116" t="n">
        <v>0</v>
      </c>
      <c r="L116" t="n">
        <v>0</v>
      </c>
      <c r="M116" t="n">
        <v>0</v>
      </c>
      <c r="N116" t="n">
        <v>0</v>
      </c>
      <c r="O116" t="n">
        <v>1</v>
      </c>
      <c r="P116" t="n">
        <v>0</v>
      </c>
      <c r="Q116" t="n">
        <v>1</v>
      </c>
      <c r="R116" s="2" t="inlineStr">
        <is>
          <t>Rödvingetrast</t>
        </is>
      </c>
      <c r="S116">
        <f>HYPERLINK("https://klasma.github.io/Logging_2582/artfynd/A 56937-2019 artfynd.xlsx", "A 56937-2019")</f>
        <v/>
      </c>
      <c r="T116">
        <f>HYPERLINK("https://klasma.github.io/Logging_2582/kartor/A 56937-2019 karta.png", "A 56937-2019")</f>
        <v/>
      </c>
      <c r="V116">
        <f>HYPERLINK("https://klasma.github.io/Logging_2582/klagomål/A 56937-2019 FSC-klagomål.docx", "A 56937-2019")</f>
        <v/>
      </c>
      <c r="W116">
        <f>HYPERLINK("https://klasma.github.io/Logging_2582/klagomålsmail/A 56937-2019 FSC-klagomål mail.docx", "A 56937-2019")</f>
        <v/>
      </c>
      <c r="X116">
        <f>HYPERLINK("https://klasma.github.io/Logging_2582/tillsyn/A 56937-2019 tillsynsbegäran.docx", "A 56937-2019")</f>
        <v/>
      </c>
      <c r="Y116">
        <f>HYPERLINK("https://klasma.github.io/Logging_2582/tillsynsmail/A 56937-2019 tillsynsbegäran mail.docx", "A 56937-2019")</f>
        <v/>
      </c>
      <c r="Z116">
        <f>HYPERLINK("https://klasma.github.io/Logging_2582/fåglar/A 56937-2019 prioriterade fågelarter.docx", "A 56937-2019")</f>
        <v/>
      </c>
    </row>
    <row r="117" ht="15" customHeight="1">
      <c r="A117" t="inlineStr">
        <is>
          <t>A 62168-2019</t>
        </is>
      </c>
      <c r="B117" s="1" t="n">
        <v>43787</v>
      </c>
      <c r="C117" s="1" t="n">
        <v>45849</v>
      </c>
      <c r="D117" t="inlineStr">
        <is>
          <t>NORRBOTTENS LÄN</t>
        </is>
      </c>
      <c r="E117" t="inlineStr">
        <is>
          <t>BODEN</t>
        </is>
      </c>
      <c r="F117" t="inlineStr">
        <is>
          <t>SCA</t>
        </is>
      </c>
      <c r="G117" t="n">
        <v>1.3</v>
      </c>
      <c r="H117" t="n">
        <v>1</v>
      </c>
      <c r="I117" t="n">
        <v>0</v>
      </c>
      <c r="J117" t="n">
        <v>0</v>
      </c>
      <c r="K117" t="n">
        <v>1</v>
      </c>
      <c r="L117" t="n">
        <v>0</v>
      </c>
      <c r="M117" t="n">
        <v>0</v>
      </c>
      <c r="N117" t="n">
        <v>0</v>
      </c>
      <c r="O117" t="n">
        <v>1</v>
      </c>
      <c r="P117" t="n">
        <v>1</v>
      </c>
      <c r="Q117" t="n">
        <v>1</v>
      </c>
      <c r="R117" s="2" t="inlineStr">
        <is>
          <t>Knärot</t>
        </is>
      </c>
      <c r="S117">
        <f>HYPERLINK("https://klasma.github.io/Logging_2582/artfynd/A 62168-2019 artfynd.xlsx", "A 62168-2019")</f>
        <v/>
      </c>
      <c r="T117">
        <f>HYPERLINK("https://klasma.github.io/Logging_2582/kartor/A 62168-2019 karta.png", "A 62168-2019")</f>
        <v/>
      </c>
      <c r="U117">
        <f>HYPERLINK("https://klasma.github.io/Logging_2582/knärot/A 62168-2019 karta knärot.png", "A 62168-2019")</f>
        <v/>
      </c>
      <c r="V117">
        <f>HYPERLINK("https://klasma.github.io/Logging_2582/klagomål/A 62168-2019 FSC-klagomål.docx", "A 62168-2019")</f>
        <v/>
      </c>
      <c r="W117">
        <f>HYPERLINK("https://klasma.github.io/Logging_2582/klagomålsmail/A 62168-2019 FSC-klagomål mail.docx", "A 62168-2019")</f>
        <v/>
      </c>
      <c r="X117">
        <f>HYPERLINK("https://klasma.github.io/Logging_2582/tillsyn/A 62168-2019 tillsynsbegäran.docx", "A 62168-2019")</f>
        <v/>
      </c>
      <c r="Y117">
        <f>HYPERLINK("https://klasma.github.io/Logging_2582/tillsynsmail/A 62168-2019 tillsynsbegäran mail.docx", "A 62168-2019")</f>
        <v/>
      </c>
    </row>
    <row r="118" ht="15" customHeight="1">
      <c r="A118" t="inlineStr">
        <is>
          <t>A 64251-2019</t>
        </is>
      </c>
      <c r="B118" s="1" t="n">
        <v>43797</v>
      </c>
      <c r="C118" s="1" t="n">
        <v>45849</v>
      </c>
      <c r="D118" t="inlineStr">
        <is>
          <t>NORRBOTTENS LÄN</t>
        </is>
      </c>
      <c r="E118" t="inlineStr">
        <is>
          <t>BODEN</t>
        </is>
      </c>
      <c r="F118" t="inlineStr">
        <is>
          <t>Övriga Aktiebolag</t>
        </is>
      </c>
      <c r="G118" t="n">
        <v>10.7</v>
      </c>
      <c r="H118" t="n">
        <v>0</v>
      </c>
      <c r="I118" t="n">
        <v>0</v>
      </c>
      <c r="J118" t="n">
        <v>1</v>
      </c>
      <c r="K118" t="n">
        <v>0</v>
      </c>
      <c r="L118" t="n">
        <v>0</v>
      </c>
      <c r="M118" t="n">
        <v>0</v>
      </c>
      <c r="N118" t="n">
        <v>0</v>
      </c>
      <c r="O118" t="n">
        <v>1</v>
      </c>
      <c r="P118" t="n">
        <v>0</v>
      </c>
      <c r="Q118" t="n">
        <v>1</v>
      </c>
      <c r="R118" s="2" t="inlineStr">
        <is>
          <t>Garnlav</t>
        </is>
      </c>
      <c r="S118">
        <f>HYPERLINK("https://klasma.github.io/Logging_2582/artfynd/A 64251-2019 artfynd.xlsx", "A 64251-2019")</f>
        <v/>
      </c>
      <c r="T118">
        <f>HYPERLINK("https://klasma.github.io/Logging_2582/kartor/A 64251-2019 karta.png", "A 64251-2019")</f>
        <v/>
      </c>
      <c r="V118">
        <f>HYPERLINK("https://klasma.github.io/Logging_2582/klagomål/A 64251-2019 FSC-klagomål.docx", "A 64251-2019")</f>
        <v/>
      </c>
      <c r="W118">
        <f>HYPERLINK("https://klasma.github.io/Logging_2582/klagomålsmail/A 64251-2019 FSC-klagomål mail.docx", "A 64251-2019")</f>
        <v/>
      </c>
      <c r="X118">
        <f>HYPERLINK("https://klasma.github.io/Logging_2582/tillsyn/A 64251-2019 tillsynsbegäran.docx", "A 64251-2019")</f>
        <v/>
      </c>
      <c r="Y118">
        <f>HYPERLINK("https://klasma.github.io/Logging_2582/tillsynsmail/A 64251-2019 tillsynsbegäran mail.docx", "A 64251-2019")</f>
        <v/>
      </c>
    </row>
    <row r="119" ht="15" customHeight="1">
      <c r="A119" t="inlineStr">
        <is>
          <t>A 23473-2020</t>
        </is>
      </c>
      <c r="B119" s="1" t="n">
        <v>43966</v>
      </c>
      <c r="C119" s="1" t="n">
        <v>45849</v>
      </c>
      <c r="D119" t="inlineStr">
        <is>
          <t>NORRBOTTENS LÄN</t>
        </is>
      </c>
      <c r="E119" t="inlineStr">
        <is>
          <t>BODEN</t>
        </is>
      </c>
      <c r="G119" t="n">
        <v>24.7</v>
      </c>
      <c r="H119" t="n">
        <v>0</v>
      </c>
      <c r="I119" t="n">
        <v>0</v>
      </c>
      <c r="J119" t="n">
        <v>1</v>
      </c>
      <c r="K119" t="n">
        <v>0</v>
      </c>
      <c r="L119" t="n">
        <v>0</v>
      </c>
      <c r="M119" t="n">
        <v>0</v>
      </c>
      <c r="N119" t="n">
        <v>0</v>
      </c>
      <c r="O119" t="n">
        <v>1</v>
      </c>
      <c r="P119" t="n">
        <v>0</v>
      </c>
      <c r="Q119" t="n">
        <v>1</v>
      </c>
      <c r="R119" s="2" t="inlineStr">
        <is>
          <t>Lunglav</t>
        </is>
      </c>
      <c r="S119">
        <f>HYPERLINK("https://klasma.github.io/Logging_2582/artfynd/A 23473-2020 artfynd.xlsx", "A 23473-2020")</f>
        <v/>
      </c>
      <c r="T119">
        <f>HYPERLINK("https://klasma.github.io/Logging_2582/kartor/A 23473-2020 karta.png", "A 23473-2020")</f>
        <v/>
      </c>
      <c r="V119">
        <f>HYPERLINK("https://klasma.github.io/Logging_2582/klagomål/A 23473-2020 FSC-klagomål.docx", "A 23473-2020")</f>
        <v/>
      </c>
      <c r="W119">
        <f>HYPERLINK("https://klasma.github.io/Logging_2582/klagomålsmail/A 23473-2020 FSC-klagomål mail.docx", "A 23473-2020")</f>
        <v/>
      </c>
      <c r="X119">
        <f>HYPERLINK("https://klasma.github.io/Logging_2582/tillsyn/A 23473-2020 tillsynsbegäran.docx", "A 23473-2020")</f>
        <v/>
      </c>
      <c r="Y119">
        <f>HYPERLINK("https://klasma.github.io/Logging_2582/tillsynsmail/A 23473-2020 tillsynsbegäran mail.docx", "A 23473-2020")</f>
        <v/>
      </c>
    </row>
    <row r="120" ht="15" customHeight="1">
      <c r="A120" t="inlineStr">
        <is>
          <t>A 39034-2020</t>
        </is>
      </c>
      <c r="B120" s="1" t="n">
        <v>44062</v>
      </c>
      <c r="C120" s="1" t="n">
        <v>45849</v>
      </c>
      <c r="D120" t="inlineStr">
        <is>
          <t>NORRBOTTENS LÄN</t>
        </is>
      </c>
      <c r="E120" t="inlineStr">
        <is>
          <t>BODEN</t>
        </is>
      </c>
      <c r="F120" t="inlineStr">
        <is>
          <t>Sveaskog</t>
        </is>
      </c>
      <c r="G120" t="n">
        <v>17.7</v>
      </c>
      <c r="H120" t="n">
        <v>0</v>
      </c>
      <c r="I120" t="n">
        <v>0</v>
      </c>
      <c r="J120" t="n">
        <v>1</v>
      </c>
      <c r="K120" t="n">
        <v>0</v>
      </c>
      <c r="L120" t="n">
        <v>0</v>
      </c>
      <c r="M120" t="n">
        <v>0</v>
      </c>
      <c r="N120" t="n">
        <v>0</v>
      </c>
      <c r="O120" t="n">
        <v>1</v>
      </c>
      <c r="P120" t="n">
        <v>0</v>
      </c>
      <c r="Q120" t="n">
        <v>1</v>
      </c>
      <c r="R120" s="2" t="inlineStr">
        <is>
          <t>Kolflarnlav</t>
        </is>
      </c>
      <c r="S120">
        <f>HYPERLINK("https://klasma.github.io/Logging_2582/artfynd/A 39034-2020 artfynd.xlsx", "A 39034-2020")</f>
        <v/>
      </c>
      <c r="T120">
        <f>HYPERLINK("https://klasma.github.io/Logging_2582/kartor/A 39034-2020 karta.png", "A 39034-2020")</f>
        <v/>
      </c>
      <c r="V120">
        <f>HYPERLINK("https://klasma.github.io/Logging_2582/klagomål/A 39034-2020 FSC-klagomål.docx", "A 39034-2020")</f>
        <v/>
      </c>
      <c r="W120">
        <f>HYPERLINK("https://klasma.github.io/Logging_2582/klagomålsmail/A 39034-2020 FSC-klagomål mail.docx", "A 39034-2020")</f>
        <v/>
      </c>
      <c r="X120">
        <f>HYPERLINK("https://klasma.github.io/Logging_2582/tillsyn/A 39034-2020 tillsynsbegäran.docx", "A 39034-2020")</f>
        <v/>
      </c>
      <c r="Y120">
        <f>HYPERLINK("https://klasma.github.io/Logging_2582/tillsynsmail/A 39034-2020 tillsynsbegäran mail.docx", "A 39034-2020")</f>
        <v/>
      </c>
    </row>
    <row r="121" ht="15" customHeight="1">
      <c r="A121" t="inlineStr">
        <is>
          <t>A 39599-2020</t>
        </is>
      </c>
      <c r="B121" s="1" t="n">
        <v>44064</v>
      </c>
      <c r="C121" s="1" t="n">
        <v>45849</v>
      </c>
      <c r="D121" t="inlineStr">
        <is>
          <t>NORRBOTTENS LÄN</t>
        </is>
      </c>
      <c r="E121" t="inlineStr">
        <is>
          <t>BODEN</t>
        </is>
      </c>
      <c r="F121" t="inlineStr">
        <is>
          <t>Sveaskog</t>
        </is>
      </c>
      <c r="G121" t="n">
        <v>12.6</v>
      </c>
      <c r="H121" t="n">
        <v>1</v>
      </c>
      <c r="I121" t="n">
        <v>0</v>
      </c>
      <c r="J121" t="n">
        <v>0</v>
      </c>
      <c r="K121" t="n">
        <v>1</v>
      </c>
      <c r="L121" t="n">
        <v>0</v>
      </c>
      <c r="M121" t="n">
        <v>0</v>
      </c>
      <c r="N121" t="n">
        <v>0</v>
      </c>
      <c r="O121" t="n">
        <v>1</v>
      </c>
      <c r="P121" t="n">
        <v>1</v>
      </c>
      <c r="Q121" t="n">
        <v>1</v>
      </c>
      <c r="R121" s="2" t="inlineStr">
        <is>
          <t>Knärot</t>
        </is>
      </c>
      <c r="S121">
        <f>HYPERLINK("https://klasma.github.io/Logging_2582/artfynd/A 39599-2020 artfynd.xlsx", "A 39599-2020")</f>
        <v/>
      </c>
      <c r="T121">
        <f>HYPERLINK("https://klasma.github.io/Logging_2582/kartor/A 39599-2020 karta.png", "A 39599-2020")</f>
        <v/>
      </c>
      <c r="U121">
        <f>HYPERLINK("https://klasma.github.io/Logging_2582/knärot/A 39599-2020 karta knärot.png", "A 39599-2020")</f>
        <v/>
      </c>
      <c r="V121">
        <f>HYPERLINK("https://klasma.github.io/Logging_2582/klagomål/A 39599-2020 FSC-klagomål.docx", "A 39599-2020")</f>
        <v/>
      </c>
      <c r="W121">
        <f>HYPERLINK("https://klasma.github.io/Logging_2582/klagomålsmail/A 39599-2020 FSC-klagomål mail.docx", "A 39599-2020")</f>
        <v/>
      </c>
      <c r="X121">
        <f>HYPERLINK("https://klasma.github.io/Logging_2582/tillsyn/A 39599-2020 tillsynsbegäran.docx", "A 39599-2020")</f>
        <v/>
      </c>
      <c r="Y121">
        <f>HYPERLINK("https://klasma.github.io/Logging_2582/tillsynsmail/A 39599-2020 tillsynsbegäran mail.docx", "A 39599-2020")</f>
        <v/>
      </c>
    </row>
    <row r="122" ht="15" customHeight="1">
      <c r="A122" t="inlineStr">
        <is>
          <t>A 43643-2020</t>
        </is>
      </c>
      <c r="B122" s="1" t="n">
        <v>44082</v>
      </c>
      <c r="C122" s="1" t="n">
        <v>45849</v>
      </c>
      <c r="D122" t="inlineStr">
        <is>
          <t>NORRBOTTENS LÄN</t>
        </is>
      </c>
      <c r="E122" t="inlineStr">
        <is>
          <t>BODEN</t>
        </is>
      </c>
      <c r="F122" t="inlineStr">
        <is>
          <t>Sveaskog</t>
        </is>
      </c>
      <c r="G122" t="n">
        <v>3.2</v>
      </c>
      <c r="H122" t="n">
        <v>0</v>
      </c>
      <c r="I122" t="n">
        <v>0</v>
      </c>
      <c r="J122" t="n">
        <v>1</v>
      </c>
      <c r="K122" t="n">
        <v>0</v>
      </c>
      <c r="L122" t="n">
        <v>0</v>
      </c>
      <c r="M122" t="n">
        <v>0</v>
      </c>
      <c r="N122" t="n">
        <v>0</v>
      </c>
      <c r="O122" t="n">
        <v>1</v>
      </c>
      <c r="P122" t="n">
        <v>0</v>
      </c>
      <c r="Q122" t="n">
        <v>1</v>
      </c>
      <c r="R122" s="2" t="inlineStr">
        <is>
          <t>Blå taggsvamp</t>
        </is>
      </c>
      <c r="S122">
        <f>HYPERLINK("https://klasma.github.io/Logging_2582/artfynd/A 43643-2020 artfynd.xlsx", "A 43643-2020")</f>
        <v/>
      </c>
      <c r="T122">
        <f>HYPERLINK("https://klasma.github.io/Logging_2582/kartor/A 43643-2020 karta.png", "A 43643-2020")</f>
        <v/>
      </c>
      <c r="V122">
        <f>HYPERLINK("https://klasma.github.io/Logging_2582/klagomål/A 43643-2020 FSC-klagomål.docx", "A 43643-2020")</f>
        <v/>
      </c>
      <c r="W122">
        <f>HYPERLINK("https://klasma.github.io/Logging_2582/klagomålsmail/A 43643-2020 FSC-klagomål mail.docx", "A 43643-2020")</f>
        <v/>
      </c>
      <c r="X122">
        <f>HYPERLINK("https://klasma.github.io/Logging_2582/tillsyn/A 43643-2020 tillsynsbegäran.docx", "A 43643-2020")</f>
        <v/>
      </c>
      <c r="Y122">
        <f>HYPERLINK("https://klasma.github.io/Logging_2582/tillsynsmail/A 43643-2020 tillsynsbegäran mail.docx", "A 43643-2020")</f>
        <v/>
      </c>
    </row>
    <row r="123" ht="15" customHeight="1">
      <c r="A123" t="inlineStr">
        <is>
          <t>A 45184-2020</t>
        </is>
      </c>
      <c r="B123" s="1" t="n">
        <v>44088</v>
      </c>
      <c r="C123" s="1" t="n">
        <v>45849</v>
      </c>
      <c r="D123" t="inlineStr">
        <is>
          <t>NORRBOTTENS LÄN</t>
        </is>
      </c>
      <c r="E123" t="inlineStr">
        <is>
          <t>BODEN</t>
        </is>
      </c>
      <c r="F123" t="inlineStr">
        <is>
          <t>Sveaskog</t>
        </is>
      </c>
      <c r="G123" t="n">
        <v>4.6</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45184-2020 artfynd.xlsx", "A 45184-2020")</f>
        <v/>
      </c>
      <c r="T123">
        <f>HYPERLINK("https://klasma.github.io/Logging_2582/kartor/A 45184-2020 karta.png", "A 45184-2020")</f>
        <v/>
      </c>
      <c r="V123">
        <f>HYPERLINK("https://klasma.github.io/Logging_2582/klagomål/A 45184-2020 FSC-klagomål.docx", "A 45184-2020")</f>
        <v/>
      </c>
      <c r="W123">
        <f>HYPERLINK("https://klasma.github.io/Logging_2582/klagomålsmail/A 45184-2020 FSC-klagomål mail.docx", "A 45184-2020")</f>
        <v/>
      </c>
      <c r="X123">
        <f>HYPERLINK("https://klasma.github.io/Logging_2582/tillsyn/A 45184-2020 tillsynsbegäran.docx", "A 45184-2020")</f>
        <v/>
      </c>
      <c r="Y123">
        <f>HYPERLINK("https://klasma.github.io/Logging_2582/tillsynsmail/A 45184-2020 tillsynsbegäran mail.docx", "A 45184-2020")</f>
        <v/>
      </c>
    </row>
    <row r="124" ht="15" customHeight="1">
      <c r="A124" t="inlineStr">
        <is>
          <t>A 30881-2021</t>
        </is>
      </c>
      <c r="B124" s="1" t="n">
        <v>44365</v>
      </c>
      <c r="C124" s="1" t="n">
        <v>45849</v>
      </c>
      <c r="D124" t="inlineStr">
        <is>
          <t>NORRBOTTENS LÄN</t>
        </is>
      </c>
      <c r="E124" t="inlineStr">
        <is>
          <t>BODEN</t>
        </is>
      </c>
      <c r="F124" t="inlineStr">
        <is>
          <t>Sveaskog</t>
        </is>
      </c>
      <c r="G124" t="n">
        <v>1</v>
      </c>
      <c r="H124" t="n">
        <v>0</v>
      </c>
      <c r="I124" t="n">
        <v>0</v>
      </c>
      <c r="J124" t="n">
        <v>0</v>
      </c>
      <c r="K124" t="n">
        <v>1</v>
      </c>
      <c r="L124" t="n">
        <v>0</v>
      </c>
      <c r="M124" t="n">
        <v>0</v>
      </c>
      <c r="N124" t="n">
        <v>0</v>
      </c>
      <c r="O124" t="n">
        <v>1</v>
      </c>
      <c r="P124" t="n">
        <v>1</v>
      </c>
      <c r="Q124" t="n">
        <v>1</v>
      </c>
      <c r="R124" s="2" t="inlineStr">
        <is>
          <t>Tallgråticka</t>
        </is>
      </c>
      <c r="S124">
        <f>HYPERLINK("https://klasma.github.io/Logging_2582/artfynd/A 30881-2021 artfynd.xlsx", "A 30881-2021")</f>
        <v/>
      </c>
      <c r="T124">
        <f>HYPERLINK("https://klasma.github.io/Logging_2582/kartor/A 30881-2021 karta.png", "A 30881-2021")</f>
        <v/>
      </c>
      <c r="V124">
        <f>HYPERLINK("https://klasma.github.io/Logging_2582/klagomål/A 30881-2021 FSC-klagomål.docx", "A 30881-2021")</f>
        <v/>
      </c>
      <c r="W124">
        <f>HYPERLINK("https://klasma.github.io/Logging_2582/klagomålsmail/A 30881-2021 FSC-klagomål mail.docx", "A 30881-2021")</f>
        <v/>
      </c>
      <c r="X124">
        <f>HYPERLINK("https://klasma.github.io/Logging_2582/tillsyn/A 30881-2021 tillsynsbegäran.docx", "A 30881-2021")</f>
        <v/>
      </c>
      <c r="Y124">
        <f>HYPERLINK("https://klasma.github.io/Logging_2582/tillsynsmail/A 30881-2021 tillsynsbegäran mail.docx", "A 30881-2021")</f>
        <v/>
      </c>
    </row>
    <row r="125" ht="15" customHeight="1">
      <c r="A125" t="inlineStr">
        <is>
          <t>A 30850-2021</t>
        </is>
      </c>
      <c r="B125" s="1" t="n">
        <v>44365</v>
      </c>
      <c r="C125" s="1" t="n">
        <v>45849</v>
      </c>
      <c r="D125" t="inlineStr">
        <is>
          <t>NORRBOTTENS LÄN</t>
        </is>
      </c>
      <c r="E125" t="inlineStr">
        <is>
          <t>BODEN</t>
        </is>
      </c>
      <c r="F125" t="inlineStr">
        <is>
          <t>Sveaskog</t>
        </is>
      </c>
      <c r="G125" t="n">
        <v>6.6</v>
      </c>
      <c r="H125" t="n">
        <v>0</v>
      </c>
      <c r="I125" t="n">
        <v>0</v>
      </c>
      <c r="J125" t="n">
        <v>1</v>
      </c>
      <c r="K125" t="n">
        <v>0</v>
      </c>
      <c r="L125" t="n">
        <v>0</v>
      </c>
      <c r="M125" t="n">
        <v>0</v>
      </c>
      <c r="N125" t="n">
        <v>0</v>
      </c>
      <c r="O125" t="n">
        <v>1</v>
      </c>
      <c r="P125" t="n">
        <v>0</v>
      </c>
      <c r="Q125" t="n">
        <v>1</v>
      </c>
      <c r="R125" s="2" t="inlineStr">
        <is>
          <t>Tallticka</t>
        </is>
      </c>
      <c r="S125">
        <f>HYPERLINK("https://klasma.github.io/Logging_2582/artfynd/A 30850-2021 artfynd.xlsx", "A 30850-2021")</f>
        <v/>
      </c>
      <c r="T125">
        <f>HYPERLINK("https://klasma.github.io/Logging_2582/kartor/A 30850-2021 karta.png", "A 30850-2021")</f>
        <v/>
      </c>
      <c r="V125">
        <f>HYPERLINK("https://klasma.github.io/Logging_2582/klagomål/A 30850-2021 FSC-klagomål.docx", "A 30850-2021")</f>
        <v/>
      </c>
      <c r="W125">
        <f>HYPERLINK("https://klasma.github.io/Logging_2582/klagomålsmail/A 30850-2021 FSC-klagomål mail.docx", "A 30850-2021")</f>
        <v/>
      </c>
      <c r="X125">
        <f>HYPERLINK("https://klasma.github.io/Logging_2582/tillsyn/A 30850-2021 tillsynsbegäran.docx", "A 30850-2021")</f>
        <v/>
      </c>
      <c r="Y125">
        <f>HYPERLINK("https://klasma.github.io/Logging_2582/tillsynsmail/A 30850-2021 tillsynsbegäran mail.docx", "A 30850-2021")</f>
        <v/>
      </c>
    </row>
    <row r="126" ht="15" customHeight="1">
      <c r="A126" t="inlineStr">
        <is>
          <t>A 40779-2021</t>
        </is>
      </c>
      <c r="B126" s="1" t="n">
        <v>44421</v>
      </c>
      <c r="C126" s="1" t="n">
        <v>45849</v>
      </c>
      <c r="D126" t="inlineStr">
        <is>
          <t>NORRBOTTENS LÄN</t>
        </is>
      </c>
      <c r="E126" t="inlineStr">
        <is>
          <t>BODEN</t>
        </is>
      </c>
      <c r="F126" t="inlineStr">
        <is>
          <t>Sveaskog</t>
        </is>
      </c>
      <c r="G126" t="n">
        <v>4.8</v>
      </c>
      <c r="H126" t="n">
        <v>0</v>
      </c>
      <c r="I126" t="n">
        <v>0</v>
      </c>
      <c r="J126" t="n">
        <v>1</v>
      </c>
      <c r="K126" t="n">
        <v>0</v>
      </c>
      <c r="L126" t="n">
        <v>0</v>
      </c>
      <c r="M126" t="n">
        <v>0</v>
      </c>
      <c r="N126" t="n">
        <v>0</v>
      </c>
      <c r="O126" t="n">
        <v>1</v>
      </c>
      <c r="P126" t="n">
        <v>0</v>
      </c>
      <c r="Q126" t="n">
        <v>1</v>
      </c>
      <c r="R126" s="2" t="inlineStr">
        <is>
          <t>Garnlav</t>
        </is>
      </c>
      <c r="S126">
        <f>HYPERLINK("https://klasma.github.io/Logging_2582/artfynd/A 40779-2021 artfynd.xlsx", "A 40779-2021")</f>
        <v/>
      </c>
      <c r="T126">
        <f>HYPERLINK("https://klasma.github.io/Logging_2582/kartor/A 40779-2021 karta.png", "A 40779-2021")</f>
        <v/>
      </c>
      <c r="V126">
        <f>HYPERLINK("https://klasma.github.io/Logging_2582/klagomål/A 40779-2021 FSC-klagomål.docx", "A 40779-2021")</f>
        <v/>
      </c>
      <c r="W126">
        <f>HYPERLINK("https://klasma.github.io/Logging_2582/klagomålsmail/A 40779-2021 FSC-klagomål mail.docx", "A 40779-2021")</f>
        <v/>
      </c>
      <c r="X126">
        <f>HYPERLINK("https://klasma.github.io/Logging_2582/tillsyn/A 40779-2021 tillsynsbegäran.docx", "A 40779-2021")</f>
        <v/>
      </c>
      <c r="Y126">
        <f>HYPERLINK("https://klasma.github.io/Logging_2582/tillsynsmail/A 40779-2021 tillsynsbegäran mail.docx", "A 40779-2021")</f>
        <v/>
      </c>
    </row>
    <row r="127" ht="15" customHeight="1">
      <c r="A127" t="inlineStr">
        <is>
          <t>A 46425-2021</t>
        </is>
      </c>
      <c r="B127" s="1" t="n">
        <v>44445</v>
      </c>
      <c r="C127" s="1" t="n">
        <v>45849</v>
      </c>
      <c r="D127" t="inlineStr">
        <is>
          <t>NORRBOTTENS LÄN</t>
        </is>
      </c>
      <c r="E127" t="inlineStr">
        <is>
          <t>BODEN</t>
        </is>
      </c>
      <c r="F127" t="inlineStr">
        <is>
          <t>Sveaskog</t>
        </is>
      </c>
      <c r="G127" t="n">
        <v>4.1</v>
      </c>
      <c r="H127" t="n">
        <v>1</v>
      </c>
      <c r="I127" t="n">
        <v>0</v>
      </c>
      <c r="J127" t="n">
        <v>1</v>
      </c>
      <c r="K127" t="n">
        <v>0</v>
      </c>
      <c r="L127" t="n">
        <v>0</v>
      </c>
      <c r="M127" t="n">
        <v>0</v>
      </c>
      <c r="N127" t="n">
        <v>0</v>
      </c>
      <c r="O127" t="n">
        <v>1</v>
      </c>
      <c r="P127" t="n">
        <v>0</v>
      </c>
      <c r="Q127" t="n">
        <v>1</v>
      </c>
      <c r="R127" s="2" t="inlineStr">
        <is>
          <t>Rödvingetrast</t>
        </is>
      </c>
      <c r="S127">
        <f>HYPERLINK("https://klasma.github.io/Logging_2582/artfynd/A 46425-2021 artfynd.xlsx", "A 46425-2021")</f>
        <v/>
      </c>
      <c r="T127">
        <f>HYPERLINK("https://klasma.github.io/Logging_2582/kartor/A 46425-2021 karta.png", "A 46425-2021")</f>
        <v/>
      </c>
      <c r="V127">
        <f>HYPERLINK("https://klasma.github.io/Logging_2582/klagomål/A 46425-2021 FSC-klagomål.docx", "A 46425-2021")</f>
        <v/>
      </c>
      <c r="W127">
        <f>HYPERLINK("https://klasma.github.io/Logging_2582/klagomålsmail/A 46425-2021 FSC-klagomål mail.docx", "A 46425-2021")</f>
        <v/>
      </c>
      <c r="X127">
        <f>HYPERLINK("https://klasma.github.io/Logging_2582/tillsyn/A 46425-2021 tillsynsbegäran.docx", "A 46425-2021")</f>
        <v/>
      </c>
      <c r="Y127">
        <f>HYPERLINK("https://klasma.github.io/Logging_2582/tillsynsmail/A 46425-2021 tillsynsbegäran mail.docx", "A 46425-2021")</f>
        <v/>
      </c>
      <c r="Z127">
        <f>HYPERLINK("https://klasma.github.io/Logging_2582/fåglar/A 46425-2021 prioriterade fågelarter.docx", "A 46425-2021")</f>
        <v/>
      </c>
    </row>
    <row r="128" ht="15" customHeight="1">
      <c r="A128" t="inlineStr">
        <is>
          <t>A 47030-2021</t>
        </is>
      </c>
      <c r="B128" s="1" t="n">
        <v>44446</v>
      </c>
      <c r="C128" s="1" t="n">
        <v>45849</v>
      </c>
      <c r="D128" t="inlineStr">
        <is>
          <t>NORRBOTTENS LÄN</t>
        </is>
      </c>
      <c r="E128" t="inlineStr">
        <is>
          <t>BODEN</t>
        </is>
      </c>
      <c r="G128" t="n">
        <v>3.3</v>
      </c>
      <c r="H128" t="n">
        <v>1</v>
      </c>
      <c r="I128" t="n">
        <v>0</v>
      </c>
      <c r="J128" t="n">
        <v>1</v>
      </c>
      <c r="K128" t="n">
        <v>0</v>
      </c>
      <c r="L128" t="n">
        <v>0</v>
      </c>
      <c r="M128" t="n">
        <v>0</v>
      </c>
      <c r="N128" t="n">
        <v>0</v>
      </c>
      <c r="O128" t="n">
        <v>1</v>
      </c>
      <c r="P128" t="n">
        <v>0</v>
      </c>
      <c r="Q128" t="n">
        <v>1</v>
      </c>
      <c r="R128" s="2" t="inlineStr">
        <is>
          <t>Svartvit flugsnappare</t>
        </is>
      </c>
      <c r="S128">
        <f>HYPERLINK("https://klasma.github.io/Logging_2582/artfynd/A 47030-2021 artfynd.xlsx", "A 47030-2021")</f>
        <v/>
      </c>
      <c r="T128">
        <f>HYPERLINK("https://klasma.github.io/Logging_2582/kartor/A 47030-2021 karta.png", "A 47030-2021")</f>
        <v/>
      </c>
      <c r="V128">
        <f>HYPERLINK("https://klasma.github.io/Logging_2582/klagomål/A 47030-2021 FSC-klagomål.docx", "A 47030-2021")</f>
        <v/>
      </c>
      <c r="W128">
        <f>HYPERLINK("https://klasma.github.io/Logging_2582/klagomålsmail/A 47030-2021 FSC-klagomål mail.docx", "A 47030-2021")</f>
        <v/>
      </c>
      <c r="X128">
        <f>HYPERLINK("https://klasma.github.io/Logging_2582/tillsyn/A 47030-2021 tillsynsbegäran.docx", "A 47030-2021")</f>
        <v/>
      </c>
      <c r="Y128">
        <f>HYPERLINK("https://klasma.github.io/Logging_2582/tillsynsmail/A 47030-2021 tillsynsbegäran mail.docx", "A 47030-2021")</f>
        <v/>
      </c>
      <c r="Z128">
        <f>HYPERLINK("https://klasma.github.io/Logging_2582/fåglar/A 47030-2021 prioriterade fågelarter.docx", "A 47030-2021")</f>
        <v/>
      </c>
    </row>
    <row r="129" ht="15" customHeight="1">
      <c r="A129" t="inlineStr">
        <is>
          <t>A 13647-2022</t>
        </is>
      </c>
      <c r="B129" s="1" t="n">
        <v>44648</v>
      </c>
      <c r="C129" s="1" t="n">
        <v>45849</v>
      </c>
      <c r="D129" t="inlineStr">
        <is>
          <t>NORRBOTTENS LÄN</t>
        </is>
      </c>
      <c r="E129" t="inlineStr">
        <is>
          <t>BODEN</t>
        </is>
      </c>
      <c r="F129" t="inlineStr">
        <is>
          <t>Sveaskog</t>
        </is>
      </c>
      <c r="G129" t="n">
        <v>3.8</v>
      </c>
      <c r="H129" t="n">
        <v>0</v>
      </c>
      <c r="I129" t="n">
        <v>0</v>
      </c>
      <c r="J129" t="n">
        <v>1</v>
      </c>
      <c r="K129" t="n">
        <v>0</v>
      </c>
      <c r="L129" t="n">
        <v>0</v>
      </c>
      <c r="M129" t="n">
        <v>0</v>
      </c>
      <c r="N129" t="n">
        <v>0</v>
      </c>
      <c r="O129" t="n">
        <v>1</v>
      </c>
      <c r="P129" t="n">
        <v>0</v>
      </c>
      <c r="Q129" t="n">
        <v>1</v>
      </c>
      <c r="R129" s="2" t="inlineStr">
        <is>
          <t>Gammelgransskål</t>
        </is>
      </c>
      <c r="S129">
        <f>HYPERLINK("https://klasma.github.io/Logging_2582/artfynd/A 13647-2022 artfynd.xlsx", "A 13647-2022")</f>
        <v/>
      </c>
      <c r="T129">
        <f>HYPERLINK("https://klasma.github.io/Logging_2582/kartor/A 13647-2022 karta.png", "A 13647-2022")</f>
        <v/>
      </c>
      <c r="V129">
        <f>HYPERLINK("https://klasma.github.io/Logging_2582/klagomål/A 13647-2022 FSC-klagomål.docx", "A 13647-2022")</f>
        <v/>
      </c>
      <c r="W129">
        <f>HYPERLINK("https://klasma.github.io/Logging_2582/klagomålsmail/A 13647-2022 FSC-klagomål mail.docx", "A 13647-2022")</f>
        <v/>
      </c>
      <c r="X129">
        <f>HYPERLINK("https://klasma.github.io/Logging_2582/tillsyn/A 13647-2022 tillsynsbegäran.docx", "A 13647-2022")</f>
        <v/>
      </c>
      <c r="Y129">
        <f>HYPERLINK("https://klasma.github.io/Logging_2582/tillsynsmail/A 13647-2022 tillsynsbegäran mail.docx", "A 13647-2022")</f>
        <v/>
      </c>
    </row>
    <row r="130" ht="15" customHeight="1">
      <c r="A130" t="inlineStr">
        <is>
          <t>A 19396-2022</t>
        </is>
      </c>
      <c r="B130" s="1" t="n">
        <v>44692</v>
      </c>
      <c r="C130" s="1" t="n">
        <v>45849</v>
      </c>
      <c r="D130" t="inlineStr">
        <is>
          <t>NORRBOTTENS LÄN</t>
        </is>
      </c>
      <c r="E130" t="inlineStr">
        <is>
          <t>BODEN</t>
        </is>
      </c>
      <c r="F130" t="inlineStr">
        <is>
          <t>SCA</t>
        </is>
      </c>
      <c r="G130" t="n">
        <v>13.1</v>
      </c>
      <c r="H130" t="n">
        <v>0</v>
      </c>
      <c r="I130" t="n">
        <v>0</v>
      </c>
      <c r="J130" t="n">
        <v>1</v>
      </c>
      <c r="K130" t="n">
        <v>0</v>
      </c>
      <c r="L130" t="n">
        <v>0</v>
      </c>
      <c r="M130" t="n">
        <v>0</v>
      </c>
      <c r="N130" t="n">
        <v>0</v>
      </c>
      <c r="O130" t="n">
        <v>1</v>
      </c>
      <c r="P130" t="n">
        <v>0</v>
      </c>
      <c r="Q130" t="n">
        <v>1</v>
      </c>
      <c r="R130" s="2" t="inlineStr">
        <is>
          <t>Tallticka</t>
        </is>
      </c>
      <c r="S130">
        <f>HYPERLINK("https://klasma.github.io/Logging_2582/artfynd/A 19396-2022 artfynd.xlsx", "A 19396-2022")</f>
        <v/>
      </c>
      <c r="T130">
        <f>HYPERLINK("https://klasma.github.io/Logging_2582/kartor/A 19396-2022 karta.png", "A 19396-2022")</f>
        <v/>
      </c>
      <c r="V130">
        <f>HYPERLINK("https://klasma.github.io/Logging_2582/klagomål/A 19396-2022 FSC-klagomål.docx", "A 19396-2022")</f>
        <v/>
      </c>
      <c r="W130">
        <f>HYPERLINK("https://klasma.github.io/Logging_2582/klagomålsmail/A 19396-2022 FSC-klagomål mail.docx", "A 19396-2022")</f>
        <v/>
      </c>
      <c r="X130">
        <f>HYPERLINK("https://klasma.github.io/Logging_2582/tillsyn/A 19396-2022 tillsynsbegäran.docx", "A 19396-2022")</f>
        <v/>
      </c>
      <c r="Y130">
        <f>HYPERLINK("https://klasma.github.io/Logging_2582/tillsynsmail/A 19396-2022 tillsynsbegäran mail.docx", "A 19396-2022")</f>
        <v/>
      </c>
    </row>
    <row r="131" ht="15" customHeight="1">
      <c r="A131" t="inlineStr">
        <is>
          <t>A 33740-2022</t>
        </is>
      </c>
      <c r="B131" s="1" t="n">
        <v>44790</v>
      </c>
      <c r="C131" s="1" t="n">
        <v>45849</v>
      </c>
      <c r="D131" t="inlineStr">
        <is>
          <t>NORRBOTTENS LÄN</t>
        </is>
      </c>
      <c r="E131" t="inlineStr">
        <is>
          <t>BODEN</t>
        </is>
      </c>
      <c r="F131" t="inlineStr">
        <is>
          <t>SCA</t>
        </is>
      </c>
      <c r="G131" t="n">
        <v>4.9</v>
      </c>
      <c r="H131" t="n">
        <v>1</v>
      </c>
      <c r="I131" t="n">
        <v>0</v>
      </c>
      <c r="J131" t="n">
        <v>0</v>
      </c>
      <c r="K131" t="n">
        <v>0</v>
      </c>
      <c r="L131" t="n">
        <v>0</v>
      </c>
      <c r="M131" t="n">
        <v>0</v>
      </c>
      <c r="N131" t="n">
        <v>0</v>
      </c>
      <c r="O131" t="n">
        <v>0</v>
      </c>
      <c r="P131" t="n">
        <v>0</v>
      </c>
      <c r="Q131" t="n">
        <v>1</v>
      </c>
      <c r="R131" s="2" t="inlineStr">
        <is>
          <t>Revlummer</t>
        </is>
      </c>
      <c r="S131">
        <f>HYPERLINK("https://klasma.github.io/Logging_2582/artfynd/A 33740-2022 artfynd.xlsx", "A 33740-2022")</f>
        <v/>
      </c>
      <c r="T131">
        <f>HYPERLINK("https://klasma.github.io/Logging_2582/kartor/A 33740-2022 karta.png", "A 33740-2022")</f>
        <v/>
      </c>
      <c r="V131">
        <f>HYPERLINK("https://klasma.github.io/Logging_2582/klagomål/A 33740-2022 FSC-klagomål.docx", "A 33740-2022")</f>
        <v/>
      </c>
      <c r="W131">
        <f>HYPERLINK("https://klasma.github.io/Logging_2582/klagomålsmail/A 33740-2022 FSC-klagomål mail.docx", "A 33740-2022")</f>
        <v/>
      </c>
      <c r="X131">
        <f>HYPERLINK("https://klasma.github.io/Logging_2582/tillsyn/A 33740-2022 tillsynsbegäran.docx", "A 33740-2022")</f>
        <v/>
      </c>
      <c r="Y131">
        <f>HYPERLINK("https://klasma.github.io/Logging_2582/tillsynsmail/A 33740-2022 tillsynsbegäran mail.docx", "A 33740-2022")</f>
        <v/>
      </c>
    </row>
    <row r="132" ht="15" customHeight="1">
      <c r="A132" t="inlineStr">
        <is>
          <t>A 35037-2022</t>
        </is>
      </c>
      <c r="B132" s="1" t="n">
        <v>44796</v>
      </c>
      <c r="C132" s="1" t="n">
        <v>45849</v>
      </c>
      <c r="D132" t="inlineStr">
        <is>
          <t>NORRBOTTENS LÄN</t>
        </is>
      </c>
      <c r="E132" t="inlineStr">
        <is>
          <t>BODEN</t>
        </is>
      </c>
      <c r="G132" t="n">
        <v>0.6</v>
      </c>
      <c r="H132" t="n">
        <v>1</v>
      </c>
      <c r="I132" t="n">
        <v>0</v>
      </c>
      <c r="J132" t="n">
        <v>1</v>
      </c>
      <c r="K132" t="n">
        <v>0</v>
      </c>
      <c r="L132" t="n">
        <v>0</v>
      </c>
      <c r="M132" t="n">
        <v>0</v>
      </c>
      <c r="N132" t="n">
        <v>0</v>
      </c>
      <c r="O132" t="n">
        <v>1</v>
      </c>
      <c r="P132" t="n">
        <v>0</v>
      </c>
      <c r="Q132" t="n">
        <v>1</v>
      </c>
      <c r="R132" s="2" t="inlineStr">
        <is>
          <t>Rödvingetrast</t>
        </is>
      </c>
      <c r="S132">
        <f>HYPERLINK("https://klasma.github.io/Logging_2582/artfynd/A 35037-2022 artfynd.xlsx", "A 35037-2022")</f>
        <v/>
      </c>
      <c r="T132">
        <f>HYPERLINK("https://klasma.github.io/Logging_2582/kartor/A 35037-2022 karta.png", "A 35037-2022")</f>
        <v/>
      </c>
      <c r="V132">
        <f>HYPERLINK("https://klasma.github.io/Logging_2582/klagomål/A 35037-2022 FSC-klagomål.docx", "A 35037-2022")</f>
        <v/>
      </c>
      <c r="W132">
        <f>HYPERLINK("https://klasma.github.io/Logging_2582/klagomålsmail/A 35037-2022 FSC-klagomål mail.docx", "A 35037-2022")</f>
        <v/>
      </c>
      <c r="X132">
        <f>HYPERLINK("https://klasma.github.io/Logging_2582/tillsyn/A 35037-2022 tillsynsbegäran.docx", "A 35037-2022")</f>
        <v/>
      </c>
      <c r="Y132">
        <f>HYPERLINK("https://klasma.github.io/Logging_2582/tillsynsmail/A 35037-2022 tillsynsbegäran mail.docx", "A 35037-2022")</f>
        <v/>
      </c>
      <c r="Z132">
        <f>HYPERLINK("https://klasma.github.io/Logging_2582/fåglar/A 35037-2022 prioriterade fågelarter.docx", "A 35037-2022")</f>
        <v/>
      </c>
    </row>
    <row r="133" ht="15" customHeight="1">
      <c r="A133" t="inlineStr">
        <is>
          <t>A 44255-2022</t>
        </is>
      </c>
      <c r="B133" s="1" t="n">
        <v>44839</v>
      </c>
      <c r="C133" s="1" t="n">
        <v>45849</v>
      </c>
      <c r="D133" t="inlineStr">
        <is>
          <t>NORRBOTTENS LÄN</t>
        </is>
      </c>
      <c r="E133" t="inlineStr">
        <is>
          <t>BODEN</t>
        </is>
      </c>
      <c r="F133" t="inlineStr">
        <is>
          <t>Sveaskog</t>
        </is>
      </c>
      <c r="G133" t="n">
        <v>4.2</v>
      </c>
      <c r="H133" t="n">
        <v>1</v>
      </c>
      <c r="I133" t="n">
        <v>0</v>
      </c>
      <c r="J133" t="n">
        <v>0</v>
      </c>
      <c r="K133" t="n">
        <v>0</v>
      </c>
      <c r="L133" t="n">
        <v>0</v>
      </c>
      <c r="M133" t="n">
        <v>0</v>
      </c>
      <c r="N133" t="n">
        <v>0</v>
      </c>
      <c r="O133" t="n">
        <v>0</v>
      </c>
      <c r="P133" t="n">
        <v>0</v>
      </c>
      <c r="Q133" t="n">
        <v>1</v>
      </c>
      <c r="R133" s="2" t="inlineStr">
        <is>
          <t>Revlummer</t>
        </is>
      </c>
      <c r="S133">
        <f>HYPERLINK("https://klasma.github.io/Logging_2582/artfynd/A 44255-2022 artfynd.xlsx", "A 44255-2022")</f>
        <v/>
      </c>
      <c r="T133">
        <f>HYPERLINK("https://klasma.github.io/Logging_2582/kartor/A 44255-2022 karta.png", "A 44255-2022")</f>
        <v/>
      </c>
      <c r="V133">
        <f>HYPERLINK("https://klasma.github.io/Logging_2582/klagomål/A 44255-2022 FSC-klagomål.docx", "A 44255-2022")</f>
        <v/>
      </c>
      <c r="W133">
        <f>HYPERLINK("https://klasma.github.io/Logging_2582/klagomålsmail/A 44255-2022 FSC-klagomål mail.docx", "A 44255-2022")</f>
        <v/>
      </c>
      <c r="X133">
        <f>HYPERLINK("https://klasma.github.io/Logging_2582/tillsyn/A 44255-2022 tillsynsbegäran.docx", "A 44255-2022")</f>
        <v/>
      </c>
      <c r="Y133">
        <f>HYPERLINK("https://klasma.github.io/Logging_2582/tillsynsmail/A 44255-2022 tillsynsbegäran mail.docx", "A 44255-2022")</f>
        <v/>
      </c>
    </row>
    <row r="134" ht="15" customHeight="1">
      <c r="A134" t="inlineStr">
        <is>
          <t>A 44768-2022</t>
        </is>
      </c>
      <c r="B134" s="1" t="n">
        <v>44840</v>
      </c>
      <c r="C134" s="1" t="n">
        <v>45849</v>
      </c>
      <c r="D134" t="inlineStr">
        <is>
          <t>NORRBOTTENS LÄN</t>
        </is>
      </c>
      <c r="E134" t="inlineStr">
        <is>
          <t>BODEN</t>
        </is>
      </c>
      <c r="F134" t="inlineStr">
        <is>
          <t>SCA</t>
        </is>
      </c>
      <c r="G134" t="n">
        <v>6.1</v>
      </c>
      <c r="H134" t="n">
        <v>0</v>
      </c>
      <c r="I134" t="n">
        <v>0</v>
      </c>
      <c r="J134" t="n">
        <v>1</v>
      </c>
      <c r="K134" t="n">
        <v>0</v>
      </c>
      <c r="L134" t="n">
        <v>0</v>
      </c>
      <c r="M134" t="n">
        <v>0</v>
      </c>
      <c r="N134" t="n">
        <v>0</v>
      </c>
      <c r="O134" t="n">
        <v>1</v>
      </c>
      <c r="P134" t="n">
        <v>0</v>
      </c>
      <c r="Q134" t="n">
        <v>1</v>
      </c>
      <c r="R134" s="2" t="inlineStr">
        <is>
          <t>Motaggsvamp</t>
        </is>
      </c>
      <c r="S134">
        <f>HYPERLINK("https://klasma.github.io/Logging_2582/artfynd/A 44768-2022 artfynd.xlsx", "A 44768-2022")</f>
        <v/>
      </c>
      <c r="T134">
        <f>HYPERLINK("https://klasma.github.io/Logging_2582/kartor/A 44768-2022 karta.png", "A 44768-2022")</f>
        <v/>
      </c>
      <c r="V134">
        <f>HYPERLINK("https://klasma.github.io/Logging_2582/klagomål/A 44768-2022 FSC-klagomål.docx", "A 44768-2022")</f>
        <v/>
      </c>
      <c r="W134">
        <f>HYPERLINK("https://klasma.github.io/Logging_2582/klagomålsmail/A 44768-2022 FSC-klagomål mail.docx", "A 44768-2022")</f>
        <v/>
      </c>
      <c r="X134">
        <f>HYPERLINK("https://klasma.github.io/Logging_2582/tillsyn/A 44768-2022 tillsynsbegäran.docx", "A 44768-2022")</f>
        <v/>
      </c>
      <c r="Y134">
        <f>HYPERLINK("https://klasma.github.io/Logging_2582/tillsynsmail/A 44768-2022 tillsynsbegäran mail.docx", "A 44768-2022")</f>
        <v/>
      </c>
    </row>
    <row r="135" ht="15" customHeight="1">
      <c r="A135" t="inlineStr">
        <is>
          <t>A 45941-2022</t>
        </is>
      </c>
      <c r="B135" s="1" t="n">
        <v>44846</v>
      </c>
      <c r="C135" s="1" t="n">
        <v>45849</v>
      </c>
      <c r="D135" t="inlineStr">
        <is>
          <t>NORRBOTTENS LÄN</t>
        </is>
      </c>
      <c r="E135" t="inlineStr">
        <is>
          <t>BODEN</t>
        </is>
      </c>
      <c r="F135" t="inlineStr">
        <is>
          <t>Sveaskog</t>
        </is>
      </c>
      <c r="G135" t="n">
        <v>3.4</v>
      </c>
      <c r="H135" t="n">
        <v>0</v>
      </c>
      <c r="I135" t="n">
        <v>0</v>
      </c>
      <c r="J135" t="n">
        <v>1</v>
      </c>
      <c r="K135" t="n">
        <v>0</v>
      </c>
      <c r="L135" t="n">
        <v>0</v>
      </c>
      <c r="M135" t="n">
        <v>0</v>
      </c>
      <c r="N135" t="n">
        <v>0</v>
      </c>
      <c r="O135" t="n">
        <v>1</v>
      </c>
      <c r="P135" t="n">
        <v>0</v>
      </c>
      <c r="Q135" t="n">
        <v>1</v>
      </c>
      <c r="R135" s="2" t="inlineStr">
        <is>
          <t>Lunglav</t>
        </is>
      </c>
      <c r="S135">
        <f>HYPERLINK("https://klasma.github.io/Logging_2582/artfynd/A 45941-2022 artfynd.xlsx", "A 45941-2022")</f>
        <v/>
      </c>
      <c r="T135">
        <f>HYPERLINK("https://klasma.github.io/Logging_2582/kartor/A 45941-2022 karta.png", "A 45941-2022")</f>
        <v/>
      </c>
      <c r="V135">
        <f>HYPERLINK("https://klasma.github.io/Logging_2582/klagomål/A 45941-2022 FSC-klagomål.docx", "A 45941-2022")</f>
        <v/>
      </c>
      <c r="W135">
        <f>HYPERLINK("https://klasma.github.io/Logging_2582/klagomålsmail/A 45941-2022 FSC-klagomål mail.docx", "A 45941-2022")</f>
        <v/>
      </c>
      <c r="X135">
        <f>HYPERLINK("https://klasma.github.io/Logging_2582/tillsyn/A 45941-2022 tillsynsbegäran.docx", "A 45941-2022")</f>
        <v/>
      </c>
      <c r="Y135">
        <f>HYPERLINK("https://klasma.github.io/Logging_2582/tillsynsmail/A 45941-2022 tillsynsbegäran mail.docx", "A 45941-2022")</f>
        <v/>
      </c>
    </row>
    <row r="136" ht="15" customHeight="1">
      <c r="A136" t="inlineStr">
        <is>
          <t>A 47498-2022</t>
        </is>
      </c>
      <c r="B136" s="1" t="n">
        <v>44853</v>
      </c>
      <c r="C136" s="1" t="n">
        <v>45849</v>
      </c>
      <c r="D136" t="inlineStr">
        <is>
          <t>NORRBOTTENS LÄN</t>
        </is>
      </c>
      <c r="E136" t="inlineStr">
        <is>
          <t>BODEN</t>
        </is>
      </c>
      <c r="F136" t="inlineStr">
        <is>
          <t>Kommuner</t>
        </is>
      </c>
      <c r="G136" t="n">
        <v>2.6</v>
      </c>
      <c r="H136" t="n">
        <v>1</v>
      </c>
      <c r="I136" t="n">
        <v>0</v>
      </c>
      <c r="J136" t="n">
        <v>1</v>
      </c>
      <c r="K136" t="n">
        <v>0</v>
      </c>
      <c r="L136" t="n">
        <v>0</v>
      </c>
      <c r="M136" t="n">
        <v>0</v>
      </c>
      <c r="N136" t="n">
        <v>0</v>
      </c>
      <c r="O136" t="n">
        <v>1</v>
      </c>
      <c r="P136" t="n">
        <v>0</v>
      </c>
      <c r="Q136" t="n">
        <v>1</v>
      </c>
      <c r="R136" s="2" t="inlineStr">
        <is>
          <t>Spillkråka</t>
        </is>
      </c>
      <c r="S136">
        <f>HYPERLINK("https://klasma.github.io/Logging_2582/artfynd/A 47498-2022 artfynd.xlsx", "A 47498-2022")</f>
        <v/>
      </c>
      <c r="T136">
        <f>HYPERLINK("https://klasma.github.io/Logging_2582/kartor/A 47498-2022 karta.png", "A 47498-2022")</f>
        <v/>
      </c>
      <c r="V136">
        <f>HYPERLINK("https://klasma.github.io/Logging_2582/klagomål/A 47498-2022 FSC-klagomål.docx", "A 47498-2022")</f>
        <v/>
      </c>
      <c r="W136">
        <f>HYPERLINK("https://klasma.github.io/Logging_2582/klagomålsmail/A 47498-2022 FSC-klagomål mail.docx", "A 47498-2022")</f>
        <v/>
      </c>
      <c r="X136">
        <f>HYPERLINK("https://klasma.github.io/Logging_2582/tillsyn/A 47498-2022 tillsynsbegäran.docx", "A 47498-2022")</f>
        <v/>
      </c>
      <c r="Y136">
        <f>HYPERLINK("https://klasma.github.io/Logging_2582/tillsynsmail/A 47498-2022 tillsynsbegäran mail.docx", "A 47498-2022")</f>
        <v/>
      </c>
      <c r="Z136">
        <f>HYPERLINK("https://klasma.github.io/Logging_2582/fåglar/A 47498-2022 prioriterade fågelarter.docx", "A 47498-2022")</f>
        <v/>
      </c>
    </row>
    <row r="137" ht="15" customHeight="1">
      <c r="A137" t="inlineStr">
        <is>
          <t>A 54181-2022</t>
        </is>
      </c>
      <c r="B137" s="1" t="n">
        <v>44881</v>
      </c>
      <c r="C137" s="1" t="n">
        <v>45849</v>
      </c>
      <c r="D137" t="inlineStr">
        <is>
          <t>NORRBOTTENS LÄN</t>
        </is>
      </c>
      <c r="E137" t="inlineStr">
        <is>
          <t>BODEN</t>
        </is>
      </c>
      <c r="F137" t="inlineStr">
        <is>
          <t>Sveaskog</t>
        </is>
      </c>
      <c r="G137" t="n">
        <v>3.3</v>
      </c>
      <c r="H137" t="n">
        <v>0</v>
      </c>
      <c r="I137" t="n">
        <v>0</v>
      </c>
      <c r="J137" t="n">
        <v>1</v>
      </c>
      <c r="K137" t="n">
        <v>0</v>
      </c>
      <c r="L137" t="n">
        <v>0</v>
      </c>
      <c r="M137" t="n">
        <v>0</v>
      </c>
      <c r="N137" t="n">
        <v>0</v>
      </c>
      <c r="O137" t="n">
        <v>1</v>
      </c>
      <c r="P137" t="n">
        <v>0</v>
      </c>
      <c r="Q137" t="n">
        <v>1</v>
      </c>
      <c r="R137" s="2" t="inlineStr">
        <is>
          <t>Lunglav</t>
        </is>
      </c>
      <c r="S137">
        <f>HYPERLINK("https://klasma.github.io/Logging_2582/artfynd/A 54181-2022 artfynd.xlsx", "A 54181-2022")</f>
        <v/>
      </c>
      <c r="T137">
        <f>HYPERLINK("https://klasma.github.io/Logging_2582/kartor/A 54181-2022 karta.png", "A 54181-2022")</f>
        <v/>
      </c>
      <c r="V137">
        <f>HYPERLINK("https://klasma.github.io/Logging_2582/klagomål/A 54181-2022 FSC-klagomål.docx", "A 54181-2022")</f>
        <v/>
      </c>
      <c r="W137">
        <f>HYPERLINK("https://klasma.github.io/Logging_2582/klagomålsmail/A 54181-2022 FSC-klagomål mail.docx", "A 54181-2022")</f>
        <v/>
      </c>
      <c r="X137">
        <f>HYPERLINK("https://klasma.github.io/Logging_2582/tillsyn/A 54181-2022 tillsynsbegäran.docx", "A 54181-2022")</f>
        <v/>
      </c>
      <c r="Y137">
        <f>HYPERLINK("https://klasma.github.io/Logging_2582/tillsynsmail/A 54181-2022 tillsynsbegäran mail.docx", "A 54181-2022")</f>
        <v/>
      </c>
    </row>
    <row r="138" ht="15" customHeight="1">
      <c r="A138" t="inlineStr">
        <is>
          <t>A 61496-2022</t>
        </is>
      </c>
      <c r="B138" s="1" t="n">
        <v>44910</v>
      </c>
      <c r="C138" s="1" t="n">
        <v>45849</v>
      </c>
      <c r="D138" t="inlineStr">
        <is>
          <t>NORRBOTTENS LÄN</t>
        </is>
      </c>
      <c r="E138" t="inlineStr">
        <is>
          <t>BODEN</t>
        </is>
      </c>
      <c r="F138" t="inlineStr">
        <is>
          <t>Sveaskog</t>
        </is>
      </c>
      <c r="G138" t="n">
        <v>2.8</v>
      </c>
      <c r="H138" t="n">
        <v>0</v>
      </c>
      <c r="I138" t="n">
        <v>0</v>
      </c>
      <c r="J138" t="n">
        <v>1</v>
      </c>
      <c r="K138" t="n">
        <v>0</v>
      </c>
      <c r="L138" t="n">
        <v>0</v>
      </c>
      <c r="M138" t="n">
        <v>0</v>
      </c>
      <c r="N138" t="n">
        <v>0</v>
      </c>
      <c r="O138" t="n">
        <v>1</v>
      </c>
      <c r="P138" t="n">
        <v>0</v>
      </c>
      <c r="Q138" t="n">
        <v>1</v>
      </c>
      <c r="R138" s="2" t="inlineStr">
        <is>
          <t>Gammelgransskål</t>
        </is>
      </c>
      <c r="S138">
        <f>HYPERLINK("https://klasma.github.io/Logging_2582/artfynd/A 61496-2022 artfynd.xlsx", "A 61496-2022")</f>
        <v/>
      </c>
      <c r="T138">
        <f>HYPERLINK("https://klasma.github.io/Logging_2582/kartor/A 61496-2022 karta.png", "A 61496-2022")</f>
        <v/>
      </c>
      <c r="V138">
        <f>HYPERLINK("https://klasma.github.io/Logging_2582/klagomål/A 61496-2022 FSC-klagomål.docx", "A 61496-2022")</f>
        <v/>
      </c>
      <c r="W138">
        <f>HYPERLINK("https://klasma.github.io/Logging_2582/klagomålsmail/A 61496-2022 FSC-klagomål mail.docx", "A 61496-2022")</f>
        <v/>
      </c>
      <c r="X138">
        <f>HYPERLINK("https://klasma.github.io/Logging_2582/tillsyn/A 61496-2022 tillsynsbegäran.docx", "A 61496-2022")</f>
        <v/>
      </c>
      <c r="Y138">
        <f>HYPERLINK("https://klasma.github.io/Logging_2582/tillsynsmail/A 61496-2022 tillsynsbegäran mail.docx", "A 61496-2022")</f>
        <v/>
      </c>
    </row>
    <row r="139" ht="15" customHeight="1">
      <c r="A139" t="inlineStr">
        <is>
          <t>A 6239-2023</t>
        </is>
      </c>
      <c r="B139" s="1" t="n">
        <v>44964</v>
      </c>
      <c r="C139" s="1" t="n">
        <v>45849</v>
      </c>
      <c r="D139" t="inlineStr">
        <is>
          <t>NORRBOTTENS LÄN</t>
        </is>
      </c>
      <c r="E139" t="inlineStr">
        <is>
          <t>BODEN</t>
        </is>
      </c>
      <c r="F139" t="inlineStr">
        <is>
          <t>SCA</t>
        </is>
      </c>
      <c r="G139" t="n">
        <v>7.3</v>
      </c>
      <c r="H139" t="n">
        <v>0</v>
      </c>
      <c r="I139" t="n">
        <v>0</v>
      </c>
      <c r="J139" t="n">
        <v>0</v>
      </c>
      <c r="K139" t="n">
        <v>1</v>
      </c>
      <c r="L139" t="n">
        <v>0</v>
      </c>
      <c r="M139" t="n">
        <v>0</v>
      </c>
      <c r="N139" t="n">
        <v>0</v>
      </c>
      <c r="O139" t="n">
        <v>1</v>
      </c>
      <c r="P139" t="n">
        <v>1</v>
      </c>
      <c r="Q139" t="n">
        <v>1</v>
      </c>
      <c r="R139" s="2" t="inlineStr">
        <is>
          <t>Liten aspgelélav</t>
        </is>
      </c>
      <c r="S139">
        <f>HYPERLINK("https://klasma.github.io/Logging_2582/artfynd/A 6239-2023 artfynd.xlsx", "A 6239-2023")</f>
        <v/>
      </c>
      <c r="T139">
        <f>HYPERLINK("https://klasma.github.io/Logging_2582/kartor/A 6239-2023 karta.png", "A 6239-2023")</f>
        <v/>
      </c>
      <c r="V139">
        <f>HYPERLINK("https://klasma.github.io/Logging_2582/klagomål/A 6239-2023 FSC-klagomål.docx", "A 6239-2023")</f>
        <v/>
      </c>
      <c r="W139">
        <f>HYPERLINK("https://klasma.github.io/Logging_2582/klagomålsmail/A 6239-2023 FSC-klagomål mail.docx", "A 6239-2023")</f>
        <v/>
      </c>
      <c r="X139">
        <f>HYPERLINK("https://klasma.github.io/Logging_2582/tillsyn/A 6239-2023 tillsynsbegäran.docx", "A 6239-2023")</f>
        <v/>
      </c>
      <c r="Y139">
        <f>HYPERLINK("https://klasma.github.io/Logging_2582/tillsynsmail/A 6239-2023 tillsynsbegäran mail.docx", "A 6239-2023")</f>
        <v/>
      </c>
    </row>
    <row r="140" ht="15" customHeight="1">
      <c r="A140" t="inlineStr">
        <is>
          <t>A 11208-2023</t>
        </is>
      </c>
      <c r="B140" s="1" t="n">
        <v>44992</v>
      </c>
      <c r="C140" s="1" t="n">
        <v>45849</v>
      </c>
      <c r="D140" t="inlineStr">
        <is>
          <t>NORRBOTTENS LÄN</t>
        </is>
      </c>
      <c r="E140" t="inlineStr">
        <is>
          <t>BODEN</t>
        </is>
      </c>
      <c r="G140" t="n">
        <v>14.9</v>
      </c>
      <c r="H140" t="n">
        <v>0</v>
      </c>
      <c r="I140" t="n">
        <v>1</v>
      </c>
      <c r="J140" t="n">
        <v>0</v>
      </c>
      <c r="K140" t="n">
        <v>0</v>
      </c>
      <c r="L140" t="n">
        <v>0</v>
      </c>
      <c r="M140" t="n">
        <v>0</v>
      </c>
      <c r="N140" t="n">
        <v>0</v>
      </c>
      <c r="O140" t="n">
        <v>0</v>
      </c>
      <c r="P140" t="n">
        <v>0</v>
      </c>
      <c r="Q140" t="n">
        <v>1</v>
      </c>
      <c r="R140" s="2" t="inlineStr">
        <is>
          <t>Ögonpyrola</t>
        </is>
      </c>
      <c r="S140">
        <f>HYPERLINK("https://klasma.github.io/Logging_2582/artfynd/A 11208-2023 artfynd.xlsx", "A 11208-2023")</f>
        <v/>
      </c>
      <c r="T140">
        <f>HYPERLINK("https://klasma.github.io/Logging_2582/kartor/A 11208-2023 karta.png", "A 11208-2023")</f>
        <v/>
      </c>
      <c r="V140">
        <f>HYPERLINK("https://klasma.github.io/Logging_2582/klagomål/A 11208-2023 FSC-klagomål.docx", "A 11208-2023")</f>
        <v/>
      </c>
      <c r="W140">
        <f>HYPERLINK("https://klasma.github.io/Logging_2582/klagomålsmail/A 11208-2023 FSC-klagomål mail.docx", "A 11208-2023")</f>
        <v/>
      </c>
      <c r="X140">
        <f>HYPERLINK("https://klasma.github.io/Logging_2582/tillsyn/A 11208-2023 tillsynsbegäran.docx", "A 11208-2023")</f>
        <v/>
      </c>
      <c r="Y140">
        <f>HYPERLINK("https://klasma.github.io/Logging_2582/tillsynsmail/A 11208-2023 tillsynsbegäran mail.docx", "A 11208-2023")</f>
        <v/>
      </c>
    </row>
    <row r="141" ht="15" customHeight="1">
      <c r="A141" t="inlineStr">
        <is>
          <t>A 21019-2023</t>
        </is>
      </c>
      <c r="B141" s="1" t="n">
        <v>45056</v>
      </c>
      <c r="C141" s="1" t="n">
        <v>45849</v>
      </c>
      <c r="D141" t="inlineStr">
        <is>
          <t>NORRBOTTENS LÄN</t>
        </is>
      </c>
      <c r="E141" t="inlineStr">
        <is>
          <t>BODEN</t>
        </is>
      </c>
      <c r="G141" t="n">
        <v>7.5</v>
      </c>
      <c r="H141" t="n">
        <v>1</v>
      </c>
      <c r="I141" t="n">
        <v>0</v>
      </c>
      <c r="J141" t="n">
        <v>0</v>
      </c>
      <c r="K141" t="n">
        <v>0</v>
      </c>
      <c r="L141" t="n">
        <v>0</v>
      </c>
      <c r="M141" t="n">
        <v>0</v>
      </c>
      <c r="N141" t="n">
        <v>0</v>
      </c>
      <c r="O141" t="n">
        <v>0</v>
      </c>
      <c r="P141" t="n">
        <v>0</v>
      </c>
      <c r="Q141" t="n">
        <v>1</v>
      </c>
      <c r="R141" s="2" t="inlineStr">
        <is>
          <t>Sångsvan</t>
        </is>
      </c>
      <c r="S141">
        <f>HYPERLINK("https://klasma.github.io/Logging_2582/artfynd/A 21019-2023 artfynd.xlsx", "A 21019-2023")</f>
        <v/>
      </c>
      <c r="T141">
        <f>HYPERLINK("https://klasma.github.io/Logging_2582/kartor/A 21019-2023 karta.png", "A 21019-2023")</f>
        <v/>
      </c>
      <c r="V141">
        <f>HYPERLINK("https://klasma.github.io/Logging_2582/klagomål/A 21019-2023 FSC-klagomål.docx", "A 21019-2023")</f>
        <v/>
      </c>
      <c r="W141">
        <f>HYPERLINK("https://klasma.github.io/Logging_2582/klagomålsmail/A 21019-2023 FSC-klagomål mail.docx", "A 21019-2023")</f>
        <v/>
      </c>
      <c r="X141">
        <f>HYPERLINK("https://klasma.github.io/Logging_2582/tillsyn/A 21019-2023 tillsynsbegäran.docx", "A 21019-2023")</f>
        <v/>
      </c>
      <c r="Y141">
        <f>HYPERLINK("https://klasma.github.io/Logging_2582/tillsynsmail/A 21019-2023 tillsynsbegäran mail.docx", "A 21019-2023")</f>
        <v/>
      </c>
      <c r="Z141">
        <f>HYPERLINK("https://klasma.github.io/Logging_2582/fåglar/A 21019-2023 prioriterade fågelarter.docx", "A 21019-2023")</f>
        <v/>
      </c>
    </row>
    <row r="142" ht="15" customHeight="1">
      <c r="A142" t="inlineStr">
        <is>
          <t>A 26966-2023</t>
        </is>
      </c>
      <c r="B142" s="1" t="n">
        <v>45093</v>
      </c>
      <c r="C142" s="1" t="n">
        <v>45849</v>
      </c>
      <c r="D142" t="inlineStr">
        <is>
          <t>NORRBOTTENS LÄN</t>
        </is>
      </c>
      <c r="E142" t="inlineStr">
        <is>
          <t>BODEN</t>
        </is>
      </c>
      <c r="F142" t="inlineStr">
        <is>
          <t>Sveaskog</t>
        </is>
      </c>
      <c r="G142" t="n">
        <v>19.1</v>
      </c>
      <c r="H142" t="n">
        <v>1</v>
      </c>
      <c r="I142" t="n">
        <v>0</v>
      </c>
      <c r="J142" t="n">
        <v>1</v>
      </c>
      <c r="K142" t="n">
        <v>0</v>
      </c>
      <c r="L142" t="n">
        <v>0</v>
      </c>
      <c r="M142" t="n">
        <v>0</v>
      </c>
      <c r="N142" t="n">
        <v>0</v>
      </c>
      <c r="O142" t="n">
        <v>1</v>
      </c>
      <c r="P142" t="n">
        <v>0</v>
      </c>
      <c r="Q142" t="n">
        <v>1</v>
      </c>
      <c r="R142" s="2" t="inlineStr">
        <is>
          <t>Talltita</t>
        </is>
      </c>
      <c r="S142">
        <f>HYPERLINK("https://klasma.github.io/Logging_2582/artfynd/A 26966-2023 artfynd.xlsx", "A 26966-2023")</f>
        <v/>
      </c>
      <c r="T142">
        <f>HYPERLINK("https://klasma.github.io/Logging_2582/kartor/A 26966-2023 karta.png", "A 26966-2023")</f>
        <v/>
      </c>
      <c r="V142">
        <f>HYPERLINK("https://klasma.github.io/Logging_2582/klagomål/A 26966-2023 FSC-klagomål.docx", "A 26966-2023")</f>
        <v/>
      </c>
      <c r="W142">
        <f>HYPERLINK("https://klasma.github.io/Logging_2582/klagomålsmail/A 26966-2023 FSC-klagomål mail.docx", "A 26966-2023")</f>
        <v/>
      </c>
      <c r="X142">
        <f>HYPERLINK("https://klasma.github.io/Logging_2582/tillsyn/A 26966-2023 tillsynsbegäran.docx", "A 26966-2023")</f>
        <v/>
      </c>
      <c r="Y142">
        <f>HYPERLINK("https://klasma.github.io/Logging_2582/tillsynsmail/A 26966-2023 tillsynsbegäran mail.docx", "A 26966-2023")</f>
        <v/>
      </c>
      <c r="Z142">
        <f>HYPERLINK("https://klasma.github.io/Logging_2582/fåglar/A 26966-2023 prioriterade fågelarter.docx", "A 26966-2023")</f>
        <v/>
      </c>
    </row>
    <row r="143" ht="15" customHeight="1">
      <c r="A143" t="inlineStr">
        <is>
          <t>A 27804-2023</t>
        </is>
      </c>
      <c r="B143" s="1" t="n">
        <v>45098</v>
      </c>
      <c r="C143" s="1" t="n">
        <v>45849</v>
      </c>
      <c r="D143" t="inlineStr">
        <is>
          <t>NORRBOTTENS LÄN</t>
        </is>
      </c>
      <c r="E143" t="inlineStr">
        <is>
          <t>BODEN</t>
        </is>
      </c>
      <c r="F143" t="inlineStr">
        <is>
          <t>Sveaskog</t>
        </is>
      </c>
      <c r="G143" t="n">
        <v>21</v>
      </c>
      <c r="H143" t="n">
        <v>1</v>
      </c>
      <c r="I143" t="n">
        <v>0</v>
      </c>
      <c r="J143" t="n">
        <v>0</v>
      </c>
      <c r="K143" t="n">
        <v>1</v>
      </c>
      <c r="L143" t="n">
        <v>0</v>
      </c>
      <c r="M143" t="n">
        <v>0</v>
      </c>
      <c r="N143" t="n">
        <v>0</v>
      </c>
      <c r="O143" t="n">
        <v>1</v>
      </c>
      <c r="P143" t="n">
        <v>1</v>
      </c>
      <c r="Q143" t="n">
        <v>1</v>
      </c>
      <c r="R143" s="2" t="inlineStr">
        <is>
          <t>Doftticka</t>
        </is>
      </c>
      <c r="S143">
        <f>HYPERLINK("https://klasma.github.io/Logging_2582/artfynd/A 27804-2023 artfynd.xlsx", "A 27804-2023")</f>
        <v/>
      </c>
      <c r="T143">
        <f>HYPERLINK("https://klasma.github.io/Logging_2582/kartor/A 27804-2023 karta.png", "A 27804-2023")</f>
        <v/>
      </c>
      <c r="V143">
        <f>HYPERLINK("https://klasma.github.io/Logging_2582/klagomål/A 27804-2023 FSC-klagomål.docx", "A 27804-2023")</f>
        <v/>
      </c>
      <c r="W143">
        <f>HYPERLINK("https://klasma.github.io/Logging_2582/klagomålsmail/A 27804-2023 FSC-klagomål mail.docx", "A 27804-2023")</f>
        <v/>
      </c>
      <c r="X143">
        <f>HYPERLINK("https://klasma.github.io/Logging_2582/tillsyn/A 27804-2023 tillsynsbegäran.docx", "A 27804-2023")</f>
        <v/>
      </c>
      <c r="Y143">
        <f>HYPERLINK("https://klasma.github.io/Logging_2582/tillsynsmail/A 27804-2023 tillsynsbegäran mail.docx", "A 27804-2023")</f>
        <v/>
      </c>
    </row>
    <row r="144" ht="15" customHeight="1">
      <c r="A144" t="inlineStr">
        <is>
          <t>A 28772-2023</t>
        </is>
      </c>
      <c r="B144" s="1" t="n">
        <v>45104</v>
      </c>
      <c r="C144" s="1" t="n">
        <v>45849</v>
      </c>
      <c r="D144" t="inlineStr">
        <is>
          <t>NORRBOTTENS LÄN</t>
        </is>
      </c>
      <c r="E144" t="inlineStr">
        <is>
          <t>BODEN</t>
        </is>
      </c>
      <c r="F144" t="inlineStr">
        <is>
          <t>Sveaskog</t>
        </is>
      </c>
      <c r="G144" t="n">
        <v>9</v>
      </c>
      <c r="H144" t="n">
        <v>0</v>
      </c>
      <c r="I144" t="n">
        <v>1</v>
      </c>
      <c r="J144" t="n">
        <v>0</v>
      </c>
      <c r="K144" t="n">
        <v>0</v>
      </c>
      <c r="L144" t="n">
        <v>0</v>
      </c>
      <c r="M144" t="n">
        <v>0</v>
      </c>
      <c r="N144" t="n">
        <v>0</v>
      </c>
      <c r="O144" t="n">
        <v>0</v>
      </c>
      <c r="P144" t="n">
        <v>0</v>
      </c>
      <c r="Q144" t="n">
        <v>1</v>
      </c>
      <c r="R144" s="2" t="inlineStr">
        <is>
          <t>Bollvitmossa</t>
        </is>
      </c>
      <c r="S144">
        <f>HYPERLINK("https://klasma.github.io/Logging_2582/artfynd/A 28772-2023 artfynd.xlsx", "A 28772-2023")</f>
        <v/>
      </c>
      <c r="T144">
        <f>HYPERLINK("https://klasma.github.io/Logging_2582/kartor/A 28772-2023 karta.png", "A 28772-2023")</f>
        <v/>
      </c>
      <c r="V144">
        <f>HYPERLINK("https://klasma.github.io/Logging_2582/klagomål/A 28772-2023 FSC-klagomål.docx", "A 28772-2023")</f>
        <v/>
      </c>
      <c r="W144">
        <f>HYPERLINK("https://klasma.github.io/Logging_2582/klagomålsmail/A 28772-2023 FSC-klagomål mail.docx", "A 28772-2023")</f>
        <v/>
      </c>
      <c r="X144">
        <f>HYPERLINK("https://klasma.github.io/Logging_2582/tillsyn/A 28772-2023 tillsynsbegäran.docx", "A 28772-2023")</f>
        <v/>
      </c>
      <c r="Y144">
        <f>HYPERLINK("https://klasma.github.io/Logging_2582/tillsynsmail/A 28772-2023 tillsynsbegäran mail.docx", "A 28772-2023")</f>
        <v/>
      </c>
    </row>
    <row r="145" ht="15" customHeight="1">
      <c r="A145" t="inlineStr">
        <is>
          <t>A 39450-2023</t>
        </is>
      </c>
      <c r="B145" s="1" t="n">
        <v>45166</v>
      </c>
      <c r="C145" s="1" t="n">
        <v>45849</v>
      </c>
      <c r="D145" t="inlineStr">
        <is>
          <t>NORRBOTTENS LÄN</t>
        </is>
      </c>
      <c r="E145" t="inlineStr">
        <is>
          <t>BODEN</t>
        </is>
      </c>
      <c r="F145" t="inlineStr">
        <is>
          <t>Sveaskog</t>
        </is>
      </c>
      <c r="G145" t="n">
        <v>14.6</v>
      </c>
      <c r="H145" t="n">
        <v>0</v>
      </c>
      <c r="I145" t="n">
        <v>0</v>
      </c>
      <c r="J145" t="n">
        <v>1</v>
      </c>
      <c r="K145" t="n">
        <v>0</v>
      </c>
      <c r="L145" t="n">
        <v>0</v>
      </c>
      <c r="M145" t="n">
        <v>0</v>
      </c>
      <c r="N145" t="n">
        <v>0</v>
      </c>
      <c r="O145" t="n">
        <v>1</v>
      </c>
      <c r="P145" t="n">
        <v>0</v>
      </c>
      <c r="Q145" t="n">
        <v>1</v>
      </c>
      <c r="R145" s="2" t="inlineStr">
        <is>
          <t>Kolflarnlav</t>
        </is>
      </c>
      <c r="S145">
        <f>HYPERLINK("https://klasma.github.io/Logging_2582/artfynd/A 39450-2023 artfynd.xlsx", "A 39450-2023")</f>
        <v/>
      </c>
      <c r="T145">
        <f>HYPERLINK("https://klasma.github.io/Logging_2582/kartor/A 39450-2023 karta.png", "A 39450-2023")</f>
        <v/>
      </c>
      <c r="V145">
        <f>HYPERLINK("https://klasma.github.io/Logging_2582/klagomål/A 39450-2023 FSC-klagomål.docx", "A 39450-2023")</f>
        <v/>
      </c>
      <c r="W145">
        <f>HYPERLINK("https://klasma.github.io/Logging_2582/klagomålsmail/A 39450-2023 FSC-klagomål mail.docx", "A 39450-2023")</f>
        <v/>
      </c>
      <c r="X145">
        <f>HYPERLINK("https://klasma.github.io/Logging_2582/tillsyn/A 39450-2023 tillsynsbegäran.docx", "A 39450-2023")</f>
        <v/>
      </c>
      <c r="Y145">
        <f>HYPERLINK("https://klasma.github.io/Logging_2582/tillsynsmail/A 39450-2023 tillsynsbegäran mail.docx", "A 39450-2023")</f>
        <v/>
      </c>
    </row>
    <row r="146" ht="15" customHeight="1">
      <c r="A146" t="inlineStr">
        <is>
          <t>A 48418-2023</t>
        </is>
      </c>
      <c r="B146" s="1" t="n">
        <v>45205</v>
      </c>
      <c r="C146" s="1" t="n">
        <v>45849</v>
      </c>
      <c r="D146" t="inlineStr">
        <is>
          <t>NORRBOTTENS LÄN</t>
        </is>
      </c>
      <c r="E146" t="inlineStr">
        <is>
          <t>BODEN</t>
        </is>
      </c>
      <c r="F146" t="inlineStr">
        <is>
          <t>SCA</t>
        </is>
      </c>
      <c r="G146" t="n">
        <v>3.6</v>
      </c>
      <c r="H146" t="n">
        <v>1</v>
      </c>
      <c r="I146" t="n">
        <v>0</v>
      </c>
      <c r="J146" t="n">
        <v>1</v>
      </c>
      <c r="K146" t="n">
        <v>0</v>
      </c>
      <c r="L146" t="n">
        <v>0</v>
      </c>
      <c r="M146" t="n">
        <v>0</v>
      </c>
      <c r="N146" t="n">
        <v>0</v>
      </c>
      <c r="O146" t="n">
        <v>1</v>
      </c>
      <c r="P146" t="n">
        <v>0</v>
      </c>
      <c r="Q146" t="n">
        <v>1</v>
      </c>
      <c r="R146" s="2" t="inlineStr">
        <is>
          <t>Duvhök</t>
        </is>
      </c>
      <c r="S146">
        <f>HYPERLINK("https://klasma.github.io/Logging_2582/artfynd/A 48418-2023 artfynd.xlsx", "A 48418-2023")</f>
        <v/>
      </c>
      <c r="T146">
        <f>HYPERLINK("https://klasma.github.io/Logging_2582/kartor/A 48418-2023 karta.png", "A 48418-2023")</f>
        <v/>
      </c>
      <c r="V146">
        <f>HYPERLINK("https://klasma.github.io/Logging_2582/klagomål/A 48418-2023 FSC-klagomål.docx", "A 48418-2023")</f>
        <v/>
      </c>
      <c r="W146">
        <f>HYPERLINK("https://klasma.github.io/Logging_2582/klagomålsmail/A 48418-2023 FSC-klagomål mail.docx", "A 48418-2023")</f>
        <v/>
      </c>
      <c r="X146">
        <f>HYPERLINK("https://klasma.github.io/Logging_2582/tillsyn/A 48418-2023 tillsynsbegäran.docx", "A 48418-2023")</f>
        <v/>
      </c>
      <c r="Y146">
        <f>HYPERLINK("https://klasma.github.io/Logging_2582/tillsynsmail/A 48418-2023 tillsynsbegäran mail.docx", "A 48418-2023")</f>
        <v/>
      </c>
      <c r="Z146">
        <f>HYPERLINK("https://klasma.github.io/Logging_2582/fåglar/A 48418-2023 prioriterade fågelarter.docx", "A 48418-2023")</f>
        <v/>
      </c>
    </row>
    <row r="147" ht="15" customHeight="1">
      <c r="A147" t="inlineStr">
        <is>
          <t>A 52394-2023</t>
        </is>
      </c>
      <c r="B147" s="1" t="n">
        <v>45224</v>
      </c>
      <c r="C147" s="1" t="n">
        <v>45849</v>
      </c>
      <c r="D147" t="inlineStr">
        <is>
          <t>NORRBOTTENS LÄN</t>
        </is>
      </c>
      <c r="E147" t="inlineStr">
        <is>
          <t>BODEN</t>
        </is>
      </c>
      <c r="F147" t="inlineStr">
        <is>
          <t>SCA</t>
        </is>
      </c>
      <c r="G147" t="n">
        <v>6.3</v>
      </c>
      <c r="H147" t="n">
        <v>0</v>
      </c>
      <c r="I147" t="n">
        <v>0</v>
      </c>
      <c r="J147" t="n">
        <v>1</v>
      </c>
      <c r="K147" t="n">
        <v>0</v>
      </c>
      <c r="L147" t="n">
        <v>0</v>
      </c>
      <c r="M147" t="n">
        <v>0</v>
      </c>
      <c r="N147" t="n">
        <v>0</v>
      </c>
      <c r="O147" t="n">
        <v>1</v>
      </c>
      <c r="P147" t="n">
        <v>0</v>
      </c>
      <c r="Q147" t="n">
        <v>1</v>
      </c>
      <c r="R147" s="2" t="inlineStr">
        <is>
          <t>Koralltaggsvamp</t>
        </is>
      </c>
      <c r="S147">
        <f>HYPERLINK("https://klasma.github.io/Logging_2582/artfynd/A 52394-2023 artfynd.xlsx", "A 52394-2023")</f>
        <v/>
      </c>
      <c r="T147">
        <f>HYPERLINK("https://klasma.github.io/Logging_2582/kartor/A 52394-2023 karta.png", "A 52394-2023")</f>
        <v/>
      </c>
      <c r="V147">
        <f>HYPERLINK("https://klasma.github.io/Logging_2582/klagomål/A 52394-2023 FSC-klagomål.docx", "A 52394-2023")</f>
        <v/>
      </c>
      <c r="W147">
        <f>HYPERLINK("https://klasma.github.io/Logging_2582/klagomålsmail/A 52394-2023 FSC-klagomål mail.docx", "A 52394-2023")</f>
        <v/>
      </c>
      <c r="X147">
        <f>HYPERLINK("https://klasma.github.io/Logging_2582/tillsyn/A 52394-2023 tillsynsbegäran.docx", "A 52394-2023")</f>
        <v/>
      </c>
      <c r="Y147">
        <f>HYPERLINK("https://klasma.github.io/Logging_2582/tillsynsmail/A 52394-2023 tillsynsbegäran mail.docx", "A 52394-2023")</f>
        <v/>
      </c>
    </row>
    <row r="148" ht="15" customHeight="1">
      <c r="A148" t="inlineStr">
        <is>
          <t>A 2568-2024</t>
        </is>
      </c>
      <c r="B148" s="1" t="n">
        <v>45313</v>
      </c>
      <c r="C148" s="1" t="n">
        <v>45849</v>
      </c>
      <c r="D148" t="inlineStr">
        <is>
          <t>NORRBOTTENS LÄN</t>
        </is>
      </c>
      <c r="E148" t="inlineStr">
        <is>
          <t>BODEN</t>
        </is>
      </c>
      <c r="G148" t="n">
        <v>1.6</v>
      </c>
      <c r="H148" t="n">
        <v>0</v>
      </c>
      <c r="I148" t="n">
        <v>0</v>
      </c>
      <c r="J148" t="n">
        <v>1</v>
      </c>
      <c r="K148" t="n">
        <v>0</v>
      </c>
      <c r="L148" t="n">
        <v>0</v>
      </c>
      <c r="M148" t="n">
        <v>0</v>
      </c>
      <c r="N148" t="n">
        <v>0</v>
      </c>
      <c r="O148" t="n">
        <v>1</v>
      </c>
      <c r="P148" t="n">
        <v>0</v>
      </c>
      <c r="Q148" t="n">
        <v>1</v>
      </c>
      <c r="R148" s="2" t="inlineStr">
        <is>
          <t>Blå taggsvamp</t>
        </is>
      </c>
      <c r="S148">
        <f>HYPERLINK("https://klasma.github.io/Logging_2582/artfynd/A 2568-2024 artfynd.xlsx", "A 2568-2024")</f>
        <v/>
      </c>
      <c r="T148">
        <f>HYPERLINK("https://klasma.github.io/Logging_2582/kartor/A 2568-2024 karta.png", "A 2568-2024")</f>
        <v/>
      </c>
      <c r="V148">
        <f>HYPERLINK("https://klasma.github.io/Logging_2582/klagomål/A 2568-2024 FSC-klagomål.docx", "A 2568-2024")</f>
        <v/>
      </c>
      <c r="W148">
        <f>HYPERLINK("https://klasma.github.io/Logging_2582/klagomålsmail/A 2568-2024 FSC-klagomål mail.docx", "A 2568-2024")</f>
        <v/>
      </c>
      <c r="X148">
        <f>HYPERLINK("https://klasma.github.io/Logging_2582/tillsyn/A 2568-2024 tillsynsbegäran.docx", "A 2568-2024")</f>
        <v/>
      </c>
      <c r="Y148">
        <f>HYPERLINK("https://klasma.github.io/Logging_2582/tillsynsmail/A 2568-2024 tillsynsbegäran mail.docx", "A 2568-2024")</f>
        <v/>
      </c>
    </row>
    <row r="149" ht="15" customHeight="1">
      <c r="A149" t="inlineStr">
        <is>
          <t>A 11555-2024</t>
        </is>
      </c>
      <c r="B149" s="1" t="n">
        <v>45373</v>
      </c>
      <c r="C149" s="1" t="n">
        <v>45849</v>
      </c>
      <c r="D149" t="inlineStr">
        <is>
          <t>NORRBOTTENS LÄN</t>
        </is>
      </c>
      <c r="E149" t="inlineStr">
        <is>
          <t>BODEN</t>
        </is>
      </c>
      <c r="F149" t="inlineStr">
        <is>
          <t>SCA</t>
        </is>
      </c>
      <c r="G149" t="n">
        <v>1.6</v>
      </c>
      <c r="H149" t="n">
        <v>1</v>
      </c>
      <c r="I149" t="n">
        <v>0</v>
      </c>
      <c r="J149" t="n">
        <v>0</v>
      </c>
      <c r="K149" t="n">
        <v>0</v>
      </c>
      <c r="L149" t="n">
        <v>0</v>
      </c>
      <c r="M149" t="n">
        <v>0</v>
      </c>
      <c r="N149" t="n">
        <v>0</v>
      </c>
      <c r="O149" t="n">
        <v>0</v>
      </c>
      <c r="P149" t="n">
        <v>0</v>
      </c>
      <c r="Q149" t="n">
        <v>1</v>
      </c>
      <c r="R149" s="2" t="inlineStr">
        <is>
          <t>Grön flodtrollslända</t>
        </is>
      </c>
      <c r="S149">
        <f>HYPERLINK("https://klasma.github.io/Logging_2582/artfynd/A 11555-2024 artfynd.xlsx", "A 11555-2024")</f>
        <v/>
      </c>
      <c r="T149">
        <f>HYPERLINK("https://klasma.github.io/Logging_2582/kartor/A 11555-2024 karta.png", "A 11555-2024")</f>
        <v/>
      </c>
      <c r="V149">
        <f>HYPERLINK("https://klasma.github.io/Logging_2582/klagomål/A 11555-2024 FSC-klagomål.docx", "A 11555-2024")</f>
        <v/>
      </c>
      <c r="W149">
        <f>HYPERLINK("https://klasma.github.io/Logging_2582/klagomålsmail/A 11555-2024 FSC-klagomål mail.docx", "A 11555-2024")</f>
        <v/>
      </c>
      <c r="X149">
        <f>HYPERLINK("https://klasma.github.io/Logging_2582/tillsyn/A 11555-2024 tillsynsbegäran.docx", "A 11555-2024")</f>
        <v/>
      </c>
      <c r="Y149">
        <f>HYPERLINK("https://klasma.github.io/Logging_2582/tillsynsmail/A 11555-2024 tillsynsbegäran mail.docx", "A 11555-2024")</f>
        <v/>
      </c>
    </row>
    <row r="150" ht="15" customHeight="1">
      <c r="A150" t="inlineStr">
        <is>
          <t>A 16217-2024</t>
        </is>
      </c>
      <c r="B150" s="1" t="n">
        <v>45407</v>
      </c>
      <c r="C150" s="1" t="n">
        <v>45849</v>
      </c>
      <c r="D150" t="inlineStr">
        <is>
          <t>NORRBOTTENS LÄN</t>
        </is>
      </c>
      <c r="E150" t="inlineStr">
        <is>
          <t>BODEN</t>
        </is>
      </c>
      <c r="G150" t="n">
        <v>7.2</v>
      </c>
      <c r="H150" t="n">
        <v>1</v>
      </c>
      <c r="I150" t="n">
        <v>0</v>
      </c>
      <c r="J150" t="n">
        <v>1</v>
      </c>
      <c r="K150" t="n">
        <v>0</v>
      </c>
      <c r="L150" t="n">
        <v>0</v>
      </c>
      <c r="M150" t="n">
        <v>0</v>
      </c>
      <c r="N150" t="n">
        <v>0</v>
      </c>
      <c r="O150" t="n">
        <v>1</v>
      </c>
      <c r="P150" t="n">
        <v>0</v>
      </c>
      <c r="Q150" t="n">
        <v>1</v>
      </c>
      <c r="R150" s="2" t="inlineStr">
        <is>
          <t>Videsparv</t>
        </is>
      </c>
      <c r="S150">
        <f>HYPERLINK("https://klasma.github.io/Logging_2582/artfynd/A 16217-2024 artfynd.xlsx", "A 16217-2024")</f>
        <v/>
      </c>
      <c r="T150">
        <f>HYPERLINK("https://klasma.github.io/Logging_2582/kartor/A 16217-2024 karta.png", "A 16217-2024")</f>
        <v/>
      </c>
      <c r="V150">
        <f>HYPERLINK("https://klasma.github.io/Logging_2582/klagomål/A 16217-2024 FSC-klagomål.docx", "A 16217-2024")</f>
        <v/>
      </c>
      <c r="W150">
        <f>HYPERLINK("https://klasma.github.io/Logging_2582/klagomålsmail/A 16217-2024 FSC-klagomål mail.docx", "A 16217-2024")</f>
        <v/>
      </c>
      <c r="X150">
        <f>HYPERLINK("https://klasma.github.io/Logging_2582/tillsyn/A 16217-2024 tillsynsbegäran.docx", "A 16217-2024")</f>
        <v/>
      </c>
      <c r="Y150">
        <f>HYPERLINK("https://klasma.github.io/Logging_2582/tillsynsmail/A 16217-2024 tillsynsbegäran mail.docx", "A 16217-2024")</f>
        <v/>
      </c>
      <c r="Z150">
        <f>HYPERLINK("https://klasma.github.io/Logging_2582/fåglar/A 16217-2024 prioriterade fågelarter.docx", "A 16217-2024")</f>
        <v/>
      </c>
    </row>
    <row r="151" ht="15" customHeight="1">
      <c r="A151" t="inlineStr">
        <is>
          <t>A 21400-2024</t>
        </is>
      </c>
      <c r="B151" s="1" t="n">
        <v>45441</v>
      </c>
      <c r="C151" s="1" t="n">
        <v>45849</v>
      </c>
      <c r="D151" t="inlineStr">
        <is>
          <t>NORRBOTTENS LÄN</t>
        </is>
      </c>
      <c r="E151" t="inlineStr">
        <is>
          <t>BODEN</t>
        </is>
      </c>
      <c r="F151" t="inlineStr">
        <is>
          <t>Sveaskog</t>
        </is>
      </c>
      <c r="G151" t="n">
        <v>13.6</v>
      </c>
      <c r="H151" t="n">
        <v>0</v>
      </c>
      <c r="I151" t="n">
        <v>0</v>
      </c>
      <c r="J151" t="n">
        <v>1</v>
      </c>
      <c r="K151" t="n">
        <v>0</v>
      </c>
      <c r="L151" t="n">
        <v>0</v>
      </c>
      <c r="M151" t="n">
        <v>0</v>
      </c>
      <c r="N151" t="n">
        <v>0</v>
      </c>
      <c r="O151" t="n">
        <v>1</v>
      </c>
      <c r="P151" t="n">
        <v>0</v>
      </c>
      <c r="Q151" t="n">
        <v>1</v>
      </c>
      <c r="R151" s="2" t="inlineStr">
        <is>
          <t>Lunglav</t>
        </is>
      </c>
      <c r="S151">
        <f>HYPERLINK("https://klasma.github.io/Logging_2582/artfynd/A 21400-2024 artfynd.xlsx", "A 21400-2024")</f>
        <v/>
      </c>
      <c r="T151">
        <f>HYPERLINK("https://klasma.github.io/Logging_2582/kartor/A 21400-2024 karta.png", "A 21400-2024")</f>
        <v/>
      </c>
      <c r="V151">
        <f>HYPERLINK("https://klasma.github.io/Logging_2582/klagomål/A 21400-2024 FSC-klagomål.docx", "A 21400-2024")</f>
        <v/>
      </c>
      <c r="W151">
        <f>HYPERLINK("https://klasma.github.io/Logging_2582/klagomålsmail/A 21400-2024 FSC-klagomål mail.docx", "A 21400-2024")</f>
        <v/>
      </c>
      <c r="X151">
        <f>HYPERLINK("https://klasma.github.io/Logging_2582/tillsyn/A 21400-2024 tillsynsbegäran.docx", "A 21400-2024")</f>
        <v/>
      </c>
      <c r="Y151">
        <f>HYPERLINK("https://klasma.github.io/Logging_2582/tillsynsmail/A 21400-2024 tillsynsbegäran mail.docx", "A 21400-2024")</f>
        <v/>
      </c>
    </row>
    <row r="152" ht="15" customHeight="1">
      <c r="A152" t="inlineStr">
        <is>
          <t>A 21907-2024</t>
        </is>
      </c>
      <c r="B152" s="1" t="n">
        <v>45443</v>
      </c>
      <c r="C152" s="1" t="n">
        <v>45849</v>
      </c>
      <c r="D152" t="inlineStr">
        <is>
          <t>NORRBOTTENS LÄN</t>
        </is>
      </c>
      <c r="E152" t="inlineStr">
        <is>
          <t>BODEN</t>
        </is>
      </c>
      <c r="F152" t="inlineStr">
        <is>
          <t>Sveaskog</t>
        </is>
      </c>
      <c r="G152" t="n">
        <v>6</v>
      </c>
      <c r="H152" t="n">
        <v>0</v>
      </c>
      <c r="I152" t="n">
        <v>0</v>
      </c>
      <c r="J152" t="n">
        <v>1</v>
      </c>
      <c r="K152" t="n">
        <v>0</v>
      </c>
      <c r="L152" t="n">
        <v>0</v>
      </c>
      <c r="M152" t="n">
        <v>0</v>
      </c>
      <c r="N152" t="n">
        <v>0</v>
      </c>
      <c r="O152" t="n">
        <v>1</v>
      </c>
      <c r="P152" t="n">
        <v>0</v>
      </c>
      <c r="Q152" t="n">
        <v>1</v>
      </c>
      <c r="R152" s="2" t="inlineStr">
        <is>
          <t>Orange taggsvamp</t>
        </is>
      </c>
      <c r="S152">
        <f>HYPERLINK("https://klasma.github.io/Logging_2582/artfynd/A 21907-2024 artfynd.xlsx", "A 21907-2024")</f>
        <v/>
      </c>
      <c r="T152">
        <f>HYPERLINK("https://klasma.github.io/Logging_2582/kartor/A 21907-2024 karta.png", "A 21907-2024")</f>
        <v/>
      </c>
      <c r="V152">
        <f>HYPERLINK("https://klasma.github.io/Logging_2582/klagomål/A 21907-2024 FSC-klagomål.docx", "A 21907-2024")</f>
        <v/>
      </c>
      <c r="W152">
        <f>HYPERLINK("https://klasma.github.io/Logging_2582/klagomålsmail/A 21907-2024 FSC-klagomål mail.docx", "A 21907-2024")</f>
        <v/>
      </c>
      <c r="X152">
        <f>HYPERLINK("https://klasma.github.io/Logging_2582/tillsyn/A 21907-2024 tillsynsbegäran.docx", "A 21907-2024")</f>
        <v/>
      </c>
      <c r="Y152">
        <f>HYPERLINK("https://klasma.github.io/Logging_2582/tillsynsmail/A 21907-2024 tillsynsbegäran mail.docx", "A 21907-2024")</f>
        <v/>
      </c>
    </row>
    <row r="153" ht="15" customHeight="1">
      <c r="A153" t="inlineStr">
        <is>
          <t>A 22264-2024</t>
        </is>
      </c>
      <c r="B153" s="1" t="n">
        <v>45446</v>
      </c>
      <c r="C153" s="1" t="n">
        <v>45849</v>
      </c>
      <c r="D153" t="inlineStr">
        <is>
          <t>NORRBOTTENS LÄN</t>
        </is>
      </c>
      <c r="E153" t="inlineStr">
        <is>
          <t>BODEN</t>
        </is>
      </c>
      <c r="F153" t="inlineStr">
        <is>
          <t>Sveaskog</t>
        </is>
      </c>
      <c r="G153" t="n">
        <v>16.7</v>
      </c>
      <c r="H153" t="n">
        <v>0</v>
      </c>
      <c r="I153" t="n">
        <v>1</v>
      </c>
      <c r="J153" t="n">
        <v>0</v>
      </c>
      <c r="K153" t="n">
        <v>0</v>
      </c>
      <c r="L153" t="n">
        <v>0</v>
      </c>
      <c r="M153" t="n">
        <v>0</v>
      </c>
      <c r="N153" t="n">
        <v>0</v>
      </c>
      <c r="O153" t="n">
        <v>0</v>
      </c>
      <c r="P153" t="n">
        <v>0</v>
      </c>
      <c r="Q153" t="n">
        <v>1</v>
      </c>
      <c r="R153" s="2" t="inlineStr">
        <is>
          <t>Tibast</t>
        </is>
      </c>
      <c r="S153">
        <f>HYPERLINK("https://klasma.github.io/Logging_2582/artfynd/A 22264-2024 artfynd.xlsx", "A 22264-2024")</f>
        <v/>
      </c>
      <c r="T153">
        <f>HYPERLINK("https://klasma.github.io/Logging_2582/kartor/A 22264-2024 karta.png", "A 22264-2024")</f>
        <v/>
      </c>
      <c r="V153">
        <f>HYPERLINK("https://klasma.github.io/Logging_2582/klagomål/A 22264-2024 FSC-klagomål.docx", "A 22264-2024")</f>
        <v/>
      </c>
      <c r="W153">
        <f>HYPERLINK("https://klasma.github.io/Logging_2582/klagomålsmail/A 22264-2024 FSC-klagomål mail.docx", "A 22264-2024")</f>
        <v/>
      </c>
      <c r="X153">
        <f>HYPERLINK("https://klasma.github.io/Logging_2582/tillsyn/A 22264-2024 tillsynsbegäran.docx", "A 22264-2024")</f>
        <v/>
      </c>
      <c r="Y153">
        <f>HYPERLINK("https://klasma.github.io/Logging_2582/tillsynsmail/A 22264-2024 tillsynsbegäran mail.docx", "A 22264-2024")</f>
        <v/>
      </c>
    </row>
    <row r="154" ht="15" customHeight="1">
      <c r="A154" t="inlineStr">
        <is>
          <t>A 22865-2024</t>
        </is>
      </c>
      <c r="B154" s="1" t="n">
        <v>45448</v>
      </c>
      <c r="C154" s="1" t="n">
        <v>45849</v>
      </c>
      <c r="D154" t="inlineStr">
        <is>
          <t>NORRBOTTENS LÄN</t>
        </is>
      </c>
      <c r="E154" t="inlineStr">
        <is>
          <t>BODEN</t>
        </is>
      </c>
      <c r="F154" t="inlineStr">
        <is>
          <t>Sveaskog</t>
        </is>
      </c>
      <c r="G154" t="n">
        <v>7.2</v>
      </c>
      <c r="H154" t="n">
        <v>0</v>
      </c>
      <c r="I154" t="n">
        <v>0</v>
      </c>
      <c r="J154" t="n">
        <v>1</v>
      </c>
      <c r="K154" t="n">
        <v>0</v>
      </c>
      <c r="L154" t="n">
        <v>0</v>
      </c>
      <c r="M154" t="n">
        <v>0</v>
      </c>
      <c r="N154" t="n">
        <v>0</v>
      </c>
      <c r="O154" t="n">
        <v>1</v>
      </c>
      <c r="P154" t="n">
        <v>0</v>
      </c>
      <c r="Q154" t="n">
        <v>1</v>
      </c>
      <c r="R154" s="2" t="inlineStr">
        <is>
          <t>Lunglav</t>
        </is>
      </c>
      <c r="S154">
        <f>HYPERLINK("https://klasma.github.io/Logging_2582/artfynd/A 22865-2024 artfynd.xlsx", "A 22865-2024")</f>
        <v/>
      </c>
      <c r="T154">
        <f>HYPERLINK("https://klasma.github.io/Logging_2582/kartor/A 22865-2024 karta.png", "A 22865-2024")</f>
        <v/>
      </c>
      <c r="V154">
        <f>HYPERLINK("https://klasma.github.io/Logging_2582/klagomål/A 22865-2024 FSC-klagomål.docx", "A 22865-2024")</f>
        <v/>
      </c>
      <c r="W154">
        <f>HYPERLINK("https://klasma.github.io/Logging_2582/klagomålsmail/A 22865-2024 FSC-klagomål mail.docx", "A 22865-2024")</f>
        <v/>
      </c>
      <c r="X154">
        <f>HYPERLINK("https://klasma.github.io/Logging_2582/tillsyn/A 22865-2024 tillsynsbegäran.docx", "A 22865-2024")</f>
        <v/>
      </c>
      <c r="Y154">
        <f>HYPERLINK("https://klasma.github.io/Logging_2582/tillsynsmail/A 22865-2024 tillsynsbegäran mail.docx", "A 22865-2024")</f>
        <v/>
      </c>
    </row>
    <row r="155" ht="15" customHeight="1">
      <c r="A155" t="inlineStr">
        <is>
          <t>A 23096-2024</t>
        </is>
      </c>
      <c r="B155" s="1" t="n">
        <v>45450</v>
      </c>
      <c r="C155" s="1" t="n">
        <v>45849</v>
      </c>
      <c r="D155" t="inlineStr">
        <is>
          <t>NORRBOTTENS LÄN</t>
        </is>
      </c>
      <c r="E155" t="inlineStr">
        <is>
          <t>BODEN</t>
        </is>
      </c>
      <c r="F155" t="inlineStr">
        <is>
          <t>Sveaskog</t>
        </is>
      </c>
      <c r="G155" t="n">
        <v>13.5</v>
      </c>
      <c r="H155" t="n">
        <v>0</v>
      </c>
      <c r="I155" t="n">
        <v>0</v>
      </c>
      <c r="J155" t="n">
        <v>1</v>
      </c>
      <c r="K155" t="n">
        <v>0</v>
      </c>
      <c r="L155" t="n">
        <v>0</v>
      </c>
      <c r="M155" t="n">
        <v>0</v>
      </c>
      <c r="N155" t="n">
        <v>0</v>
      </c>
      <c r="O155" t="n">
        <v>1</v>
      </c>
      <c r="P155" t="n">
        <v>0</v>
      </c>
      <c r="Q155" t="n">
        <v>1</v>
      </c>
      <c r="R155" s="2" t="inlineStr">
        <is>
          <t>Lunglav</t>
        </is>
      </c>
      <c r="S155">
        <f>HYPERLINK("https://klasma.github.io/Logging_2582/artfynd/A 23096-2024 artfynd.xlsx", "A 23096-2024")</f>
        <v/>
      </c>
      <c r="T155">
        <f>HYPERLINK("https://klasma.github.io/Logging_2582/kartor/A 23096-2024 karta.png", "A 23096-2024")</f>
        <v/>
      </c>
      <c r="V155">
        <f>HYPERLINK("https://klasma.github.io/Logging_2582/klagomål/A 23096-2024 FSC-klagomål.docx", "A 23096-2024")</f>
        <v/>
      </c>
      <c r="W155">
        <f>HYPERLINK("https://klasma.github.io/Logging_2582/klagomålsmail/A 23096-2024 FSC-klagomål mail.docx", "A 23096-2024")</f>
        <v/>
      </c>
      <c r="X155">
        <f>HYPERLINK("https://klasma.github.io/Logging_2582/tillsyn/A 23096-2024 tillsynsbegäran.docx", "A 23096-2024")</f>
        <v/>
      </c>
      <c r="Y155">
        <f>HYPERLINK("https://klasma.github.io/Logging_2582/tillsynsmail/A 23096-2024 tillsynsbegäran mail.docx", "A 23096-2024")</f>
        <v/>
      </c>
    </row>
    <row r="156" ht="15" customHeight="1">
      <c r="A156" t="inlineStr">
        <is>
          <t>A 25609-2024</t>
        </is>
      </c>
      <c r="B156" s="1" t="n">
        <v>45463</v>
      </c>
      <c r="C156" s="1" t="n">
        <v>45849</v>
      </c>
      <c r="D156" t="inlineStr">
        <is>
          <t>NORRBOTTENS LÄN</t>
        </is>
      </c>
      <c r="E156" t="inlineStr">
        <is>
          <t>BODEN</t>
        </is>
      </c>
      <c r="F156" t="inlineStr">
        <is>
          <t>Sveaskog</t>
        </is>
      </c>
      <c r="G156" t="n">
        <v>13.4</v>
      </c>
      <c r="H156" t="n">
        <v>0</v>
      </c>
      <c r="I156" t="n">
        <v>0</v>
      </c>
      <c r="J156" t="n">
        <v>1</v>
      </c>
      <c r="K156" t="n">
        <v>0</v>
      </c>
      <c r="L156" t="n">
        <v>0</v>
      </c>
      <c r="M156" t="n">
        <v>0</v>
      </c>
      <c r="N156" t="n">
        <v>0</v>
      </c>
      <c r="O156" t="n">
        <v>1</v>
      </c>
      <c r="P156" t="n">
        <v>0</v>
      </c>
      <c r="Q156" t="n">
        <v>1</v>
      </c>
      <c r="R156" s="2" t="inlineStr">
        <is>
          <t>Lunglav</t>
        </is>
      </c>
      <c r="S156">
        <f>HYPERLINK("https://klasma.github.io/Logging_2582/artfynd/A 25609-2024 artfynd.xlsx", "A 25609-2024")</f>
        <v/>
      </c>
      <c r="T156">
        <f>HYPERLINK("https://klasma.github.io/Logging_2582/kartor/A 25609-2024 karta.png", "A 25609-2024")</f>
        <v/>
      </c>
      <c r="V156">
        <f>HYPERLINK("https://klasma.github.io/Logging_2582/klagomål/A 25609-2024 FSC-klagomål.docx", "A 25609-2024")</f>
        <v/>
      </c>
      <c r="W156">
        <f>HYPERLINK("https://klasma.github.io/Logging_2582/klagomålsmail/A 25609-2024 FSC-klagomål mail.docx", "A 25609-2024")</f>
        <v/>
      </c>
      <c r="X156">
        <f>HYPERLINK("https://klasma.github.io/Logging_2582/tillsyn/A 25609-2024 tillsynsbegäran.docx", "A 25609-2024")</f>
        <v/>
      </c>
      <c r="Y156">
        <f>HYPERLINK("https://klasma.github.io/Logging_2582/tillsynsmail/A 25609-2024 tillsynsbegäran mail.docx", "A 25609-2024")</f>
        <v/>
      </c>
    </row>
    <row r="157" ht="15" customHeight="1">
      <c r="A157" t="inlineStr">
        <is>
          <t>A 26595-2024</t>
        </is>
      </c>
      <c r="B157" s="1" t="n">
        <v>45469</v>
      </c>
      <c r="C157" s="1" t="n">
        <v>45849</v>
      </c>
      <c r="D157" t="inlineStr">
        <is>
          <t>NORRBOTTENS LÄN</t>
        </is>
      </c>
      <c r="E157" t="inlineStr">
        <is>
          <t>BODEN</t>
        </is>
      </c>
      <c r="F157" t="inlineStr">
        <is>
          <t>Sveaskog</t>
        </is>
      </c>
      <c r="G157" t="n">
        <v>32.7</v>
      </c>
      <c r="H157" t="n">
        <v>0</v>
      </c>
      <c r="I157" t="n">
        <v>0</v>
      </c>
      <c r="J157" t="n">
        <v>1</v>
      </c>
      <c r="K157" t="n">
        <v>0</v>
      </c>
      <c r="L157" t="n">
        <v>0</v>
      </c>
      <c r="M157" t="n">
        <v>0</v>
      </c>
      <c r="N157" t="n">
        <v>0</v>
      </c>
      <c r="O157" t="n">
        <v>1</v>
      </c>
      <c r="P157" t="n">
        <v>0</v>
      </c>
      <c r="Q157" t="n">
        <v>1</v>
      </c>
      <c r="R157" s="2" t="inlineStr">
        <is>
          <t>Lunglav</t>
        </is>
      </c>
      <c r="S157">
        <f>HYPERLINK("https://klasma.github.io/Logging_2582/artfynd/A 26595-2024 artfynd.xlsx", "A 26595-2024")</f>
        <v/>
      </c>
      <c r="T157">
        <f>HYPERLINK("https://klasma.github.io/Logging_2582/kartor/A 26595-2024 karta.png", "A 26595-2024")</f>
        <v/>
      </c>
      <c r="V157">
        <f>HYPERLINK("https://klasma.github.io/Logging_2582/klagomål/A 26595-2024 FSC-klagomål.docx", "A 26595-2024")</f>
        <v/>
      </c>
      <c r="W157">
        <f>HYPERLINK("https://klasma.github.io/Logging_2582/klagomålsmail/A 26595-2024 FSC-klagomål mail.docx", "A 26595-2024")</f>
        <v/>
      </c>
      <c r="X157">
        <f>HYPERLINK("https://klasma.github.io/Logging_2582/tillsyn/A 26595-2024 tillsynsbegäran.docx", "A 26595-2024")</f>
        <v/>
      </c>
      <c r="Y157">
        <f>HYPERLINK("https://klasma.github.io/Logging_2582/tillsynsmail/A 26595-2024 tillsynsbegäran mail.docx", "A 26595-2024")</f>
        <v/>
      </c>
    </row>
    <row r="158" ht="15" customHeight="1">
      <c r="A158" t="inlineStr">
        <is>
          <t>A 31272-2024</t>
        </is>
      </c>
      <c r="B158" s="1" t="n">
        <v>45504</v>
      </c>
      <c r="C158" s="1" t="n">
        <v>45849</v>
      </c>
      <c r="D158" t="inlineStr">
        <is>
          <t>NORRBOTTENS LÄN</t>
        </is>
      </c>
      <c r="E158" t="inlineStr">
        <is>
          <t>BODEN</t>
        </is>
      </c>
      <c r="F158" t="inlineStr">
        <is>
          <t>Sveaskog</t>
        </is>
      </c>
      <c r="G158" t="n">
        <v>24.2</v>
      </c>
      <c r="H158" t="n">
        <v>0</v>
      </c>
      <c r="I158" t="n">
        <v>1</v>
      </c>
      <c r="J158" t="n">
        <v>0</v>
      </c>
      <c r="K158" t="n">
        <v>0</v>
      </c>
      <c r="L158" t="n">
        <v>0</v>
      </c>
      <c r="M158" t="n">
        <v>0</v>
      </c>
      <c r="N158" t="n">
        <v>0</v>
      </c>
      <c r="O158" t="n">
        <v>0</v>
      </c>
      <c r="P158" t="n">
        <v>0</v>
      </c>
      <c r="Q158" t="n">
        <v>1</v>
      </c>
      <c r="R158" s="2" t="inlineStr">
        <is>
          <t>Skarp dropptaggsvamp</t>
        </is>
      </c>
      <c r="S158">
        <f>HYPERLINK("https://klasma.github.io/Logging_2582/artfynd/A 31272-2024 artfynd.xlsx", "A 31272-2024")</f>
        <v/>
      </c>
      <c r="T158">
        <f>HYPERLINK("https://klasma.github.io/Logging_2582/kartor/A 31272-2024 karta.png", "A 31272-2024")</f>
        <v/>
      </c>
      <c r="V158">
        <f>HYPERLINK("https://klasma.github.io/Logging_2582/klagomål/A 31272-2024 FSC-klagomål.docx", "A 31272-2024")</f>
        <v/>
      </c>
      <c r="W158">
        <f>HYPERLINK("https://klasma.github.io/Logging_2582/klagomålsmail/A 31272-2024 FSC-klagomål mail.docx", "A 31272-2024")</f>
        <v/>
      </c>
      <c r="X158">
        <f>HYPERLINK("https://klasma.github.io/Logging_2582/tillsyn/A 31272-2024 tillsynsbegäran.docx", "A 31272-2024")</f>
        <v/>
      </c>
      <c r="Y158">
        <f>HYPERLINK("https://klasma.github.io/Logging_2582/tillsynsmail/A 31272-2024 tillsynsbegäran mail.docx", "A 31272-2024")</f>
        <v/>
      </c>
    </row>
    <row r="159" ht="15" customHeight="1">
      <c r="A159" t="inlineStr">
        <is>
          <t>A 32600-2024</t>
        </is>
      </c>
      <c r="B159" s="1" t="n">
        <v>45513</v>
      </c>
      <c r="C159" s="1" t="n">
        <v>45849</v>
      </c>
      <c r="D159" t="inlineStr">
        <is>
          <t>NORRBOTTENS LÄN</t>
        </is>
      </c>
      <c r="E159" t="inlineStr">
        <is>
          <t>BODEN</t>
        </is>
      </c>
      <c r="G159" t="n">
        <v>2.5</v>
      </c>
      <c r="H159" t="n">
        <v>0</v>
      </c>
      <c r="I159" t="n">
        <v>0</v>
      </c>
      <c r="J159" t="n">
        <v>1</v>
      </c>
      <c r="K159" t="n">
        <v>0</v>
      </c>
      <c r="L159" t="n">
        <v>0</v>
      </c>
      <c r="M159" t="n">
        <v>0</v>
      </c>
      <c r="N159" t="n">
        <v>0</v>
      </c>
      <c r="O159" t="n">
        <v>1</v>
      </c>
      <c r="P159" t="n">
        <v>0</v>
      </c>
      <c r="Q159" t="n">
        <v>1</v>
      </c>
      <c r="R159" s="2" t="inlineStr">
        <is>
          <t>Lunglav</t>
        </is>
      </c>
      <c r="S159">
        <f>HYPERLINK("https://klasma.github.io/Logging_2582/artfynd/A 32600-2024 artfynd.xlsx", "A 32600-2024")</f>
        <v/>
      </c>
      <c r="T159">
        <f>HYPERLINK("https://klasma.github.io/Logging_2582/kartor/A 32600-2024 karta.png", "A 32600-2024")</f>
        <v/>
      </c>
      <c r="V159">
        <f>HYPERLINK("https://klasma.github.io/Logging_2582/klagomål/A 32600-2024 FSC-klagomål.docx", "A 32600-2024")</f>
        <v/>
      </c>
      <c r="W159">
        <f>HYPERLINK("https://klasma.github.io/Logging_2582/klagomålsmail/A 32600-2024 FSC-klagomål mail.docx", "A 32600-2024")</f>
        <v/>
      </c>
      <c r="X159">
        <f>HYPERLINK("https://klasma.github.io/Logging_2582/tillsyn/A 32600-2024 tillsynsbegäran.docx", "A 32600-2024")</f>
        <v/>
      </c>
      <c r="Y159">
        <f>HYPERLINK("https://klasma.github.io/Logging_2582/tillsynsmail/A 32600-2024 tillsynsbegäran mail.docx", "A 32600-2024")</f>
        <v/>
      </c>
    </row>
    <row r="160" ht="15" customHeight="1">
      <c r="A160" t="inlineStr">
        <is>
          <t>A 33674-2024</t>
        </is>
      </c>
      <c r="B160" s="1" t="n">
        <v>45520</v>
      </c>
      <c r="C160" s="1" t="n">
        <v>45849</v>
      </c>
      <c r="D160" t="inlineStr">
        <is>
          <t>NORRBOTTENS LÄN</t>
        </is>
      </c>
      <c r="E160" t="inlineStr">
        <is>
          <t>BODEN</t>
        </is>
      </c>
      <c r="F160" t="inlineStr">
        <is>
          <t>Sveaskog</t>
        </is>
      </c>
      <c r="G160" t="n">
        <v>6.6</v>
      </c>
      <c r="H160" t="n">
        <v>0</v>
      </c>
      <c r="I160" t="n">
        <v>0</v>
      </c>
      <c r="J160" t="n">
        <v>1</v>
      </c>
      <c r="K160" t="n">
        <v>0</v>
      </c>
      <c r="L160" t="n">
        <v>0</v>
      </c>
      <c r="M160" t="n">
        <v>0</v>
      </c>
      <c r="N160" t="n">
        <v>0</v>
      </c>
      <c r="O160" t="n">
        <v>1</v>
      </c>
      <c r="P160" t="n">
        <v>0</v>
      </c>
      <c r="Q160" t="n">
        <v>1</v>
      </c>
      <c r="R160" s="2" t="inlineStr">
        <is>
          <t>Blå taggsvamp</t>
        </is>
      </c>
      <c r="S160">
        <f>HYPERLINK("https://klasma.github.io/Logging_2582/artfynd/A 33674-2024 artfynd.xlsx", "A 33674-2024")</f>
        <v/>
      </c>
      <c r="T160">
        <f>HYPERLINK("https://klasma.github.io/Logging_2582/kartor/A 33674-2024 karta.png", "A 33674-2024")</f>
        <v/>
      </c>
      <c r="V160">
        <f>HYPERLINK("https://klasma.github.io/Logging_2582/klagomål/A 33674-2024 FSC-klagomål.docx", "A 33674-2024")</f>
        <v/>
      </c>
      <c r="W160">
        <f>HYPERLINK("https://klasma.github.io/Logging_2582/klagomålsmail/A 33674-2024 FSC-klagomål mail.docx", "A 33674-2024")</f>
        <v/>
      </c>
      <c r="X160">
        <f>HYPERLINK("https://klasma.github.io/Logging_2582/tillsyn/A 33674-2024 tillsynsbegäran.docx", "A 33674-2024")</f>
        <v/>
      </c>
      <c r="Y160">
        <f>HYPERLINK("https://klasma.github.io/Logging_2582/tillsynsmail/A 33674-2024 tillsynsbegäran mail.docx", "A 33674-2024")</f>
        <v/>
      </c>
    </row>
    <row r="161" ht="15" customHeight="1">
      <c r="A161" t="inlineStr">
        <is>
          <t>A 36743-2024</t>
        </is>
      </c>
      <c r="B161" s="1" t="n">
        <v>45538</v>
      </c>
      <c r="C161" s="1" t="n">
        <v>45849</v>
      </c>
      <c r="D161" t="inlineStr">
        <is>
          <t>NORRBOTTENS LÄN</t>
        </is>
      </c>
      <c r="E161" t="inlineStr">
        <is>
          <t>BODEN</t>
        </is>
      </c>
      <c r="F161" t="inlineStr">
        <is>
          <t>Sveaskog</t>
        </is>
      </c>
      <c r="G161" t="n">
        <v>1.7</v>
      </c>
      <c r="H161" t="n">
        <v>0</v>
      </c>
      <c r="I161" t="n">
        <v>0</v>
      </c>
      <c r="J161" t="n">
        <v>1</v>
      </c>
      <c r="K161" t="n">
        <v>0</v>
      </c>
      <c r="L161" t="n">
        <v>0</v>
      </c>
      <c r="M161" t="n">
        <v>0</v>
      </c>
      <c r="N161" t="n">
        <v>0</v>
      </c>
      <c r="O161" t="n">
        <v>1</v>
      </c>
      <c r="P161" t="n">
        <v>0</v>
      </c>
      <c r="Q161" t="n">
        <v>1</v>
      </c>
      <c r="R161" s="2" t="inlineStr">
        <is>
          <t>Lunglav</t>
        </is>
      </c>
      <c r="S161">
        <f>HYPERLINK("https://klasma.github.io/Logging_2582/artfynd/A 36743-2024 artfynd.xlsx", "A 36743-2024")</f>
        <v/>
      </c>
      <c r="T161">
        <f>HYPERLINK("https://klasma.github.io/Logging_2582/kartor/A 36743-2024 karta.png", "A 36743-2024")</f>
        <v/>
      </c>
      <c r="V161">
        <f>HYPERLINK("https://klasma.github.io/Logging_2582/klagomål/A 36743-2024 FSC-klagomål.docx", "A 36743-2024")</f>
        <v/>
      </c>
      <c r="W161">
        <f>HYPERLINK("https://klasma.github.io/Logging_2582/klagomålsmail/A 36743-2024 FSC-klagomål mail.docx", "A 36743-2024")</f>
        <v/>
      </c>
      <c r="X161">
        <f>HYPERLINK("https://klasma.github.io/Logging_2582/tillsyn/A 36743-2024 tillsynsbegäran.docx", "A 36743-2024")</f>
        <v/>
      </c>
      <c r="Y161">
        <f>HYPERLINK("https://klasma.github.io/Logging_2582/tillsynsmail/A 36743-2024 tillsynsbegäran mail.docx", "A 36743-2024")</f>
        <v/>
      </c>
    </row>
    <row r="162" ht="15" customHeight="1">
      <c r="A162" t="inlineStr">
        <is>
          <t>A 40533-2024</t>
        </is>
      </c>
      <c r="B162" s="1" t="n">
        <v>45555</v>
      </c>
      <c r="C162" s="1" t="n">
        <v>45849</v>
      </c>
      <c r="D162" t="inlineStr">
        <is>
          <t>NORRBOTTENS LÄN</t>
        </is>
      </c>
      <c r="E162" t="inlineStr">
        <is>
          <t>BODEN</t>
        </is>
      </c>
      <c r="F162" t="inlineStr">
        <is>
          <t>Sveaskog</t>
        </is>
      </c>
      <c r="G162" t="n">
        <v>32</v>
      </c>
      <c r="H162" t="n">
        <v>0</v>
      </c>
      <c r="I162" t="n">
        <v>0</v>
      </c>
      <c r="J162" t="n">
        <v>1</v>
      </c>
      <c r="K162" t="n">
        <v>0</v>
      </c>
      <c r="L162" t="n">
        <v>0</v>
      </c>
      <c r="M162" t="n">
        <v>0</v>
      </c>
      <c r="N162" t="n">
        <v>0</v>
      </c>
      <c r="O162" t="n">
        <v>1</v>
      </c>
      <c r="P162" t="n">
        <v>0</v>
      </c>
      <c r="Q162" t="n">
        <v>1</v>
      </c>
      <c r="R162" s="2" t="inlineStr">
        <is>
          <t>Lunglav</t>
        </is>
      </c>
      <c r="S162">
        <f>HYPERLINK("https://klasma.github.io/Logging_2582/artfynd/A 40533-2024 artfynd.xlsx", "A 40533-2024")</f>
        <v/>
      </c>
      <c r="T162">
        <f>HYPERLINK("https://klasma.github.io/Logging_2582/kartor/A 40533-2024 karta.png", "A 40533-2024")</f>
        <v/>
      </c>
      <c r="V162">
        <f>HYPERLINK("https://klasma.github.io/Logging_2582/klagomål/A 40533-2024 FSC-klagomål.docx", "A 40533-2024")</f>
        <v/>
      </c>
      <c r="W162">
        <f>HYPERLINK("https://klasma.github.io/Logging_2582/klagomålsmail/A 40533-2024 FSC-klagomål mail.docx", "A 40533-2024")</f>
        <v/>
      </c>
      <c r="X162">
        <f>HYPERLINK("https://klasma.github.io/Logging_2582/tillsyn/A 40533-2024 tillsynsbegäran.docx", "A 40533-2024")</f>
        <v/>
      </c>
      <c r="Y162">
        <f>HYPERLINK("https://klasma.github.io/Logging_2582/tillsynsmail/A 40533-2024 tillsynsbegäran mail.docx", "A 40533-2024")</f>
        <v/>
      </c>
    </row>
    <row r="163" ht="15" customHeight="1">
      <c r="A163" t="inlineStr">
        <is>
          <t>A 47018-2024</t>
        </is>
      </c>
      <c r="B163" s="1" t="n">
        <v>45586</v>
      </c>
      <c r="C163" s="1" t="n">
        <v>45849</v>
      </c>
      <c r="D163" t="inlineStr">
        <is>
          <t>NORRBOTTENS LÄN</t>
        </is>
      </c>
      <c r="E163" t="inlineStr">
        <is>
          <t>BODEN</t>
        </is>
      </c>
      <c r="F163" t="inlineStr">
        <is>
          <t>Sveaskog</t>
        </is>
      </c>
      <c r="G163" t="n">
        <v>18.1</v>
      </c>
      <c r="H163" t="n">
        <v>0</v>
      </c>
      <c r="I163" t="n">
        <v>0</v>
      </c>
      <c r="J163" t="n">
        <v>1</v>
      </c>
      <c r="K163" t="n">
        <v>0</v>
      </c>
      <c r="L163" t="n">
        <v>0</v>
      </c>
      <c r="M163" t="n">
        <v>0</v>
      </c>
      <c r="N163" t="n">
        <v>0</v>
      </c>
      <c r="O163" t="n">
        <v>1</v>
      </c>
      <c r="P163" t="n">
        <v>0</v>
      </c>
      <c r="Q163" t="n">
        <v>1</v>
      </c>
      <c r="R163" s="2" t="inlineStr">
        <is>
          <t>Blågrå svartspik</t>
        </is>
      </c>
      <c r="S163">
        <f>HYPERLINK("https://klasma.github.io/Logging_2582/artfynd/A 47018-2024 artfynd.xlsx", "A 47018-2024")</f>
        <v/>
      </c>
      <c r="T163">
        <f>HYPERLINK("https://klasma.github.io/Logging_2582/kartor/A 47018-2024 karta.png", "A 47018-2024")</f>
        <v/>
      </c>
      <c r="V163">
        <f>HYPERLINK("https://klasma.github.io/Logging_2582/klagomål/A 47018-2024 FSC-klagomål.docx", "A 47018-2024")</f>
        <v/>
      </c>
      <c r="W163">
        <f>HYPERLINK("https://klasma.github.io/Logging_2582/klagomålsmail/A 47018-2024 FSC-klagomål mail.docx", "A 47018-2024")</f>
        <v/>
      </c>
      <c r="X163">
        <f>HYPERLINK("https://klasma.github.io/Logging_2582/tillsyn/A 47018-2024 tillsynsbegäran.docx", "A 47018-2024")</f>
        <v/>
      </c>
      <c r="Y163">
        <f>HYPERLINK("https://klasma.github.io/Logging_2582/tillsynsmail/A 47018-2024 tillsynsbegäran mail.docx", "A 47018-2024")</f>
        <v/>
      </c>
    </row>
    <row r="164" ht="15" customHeight="1">
      <c r="A164" t="inlineStr">
        <is>
          <t>A 48899-2024</t>
        </is>
      </c>
      <c r="B164" s="1" t="n">
        <v>45594</v>
      </c>
      <c r="C164" s="1" t="n">
        <v>45849</v>
      </c>
      <c r="D164" t="inlineStr">
        <is>
          <t>NORRBOTTENS LÄN</t>
        </is>
      </c>
      <c r="E164" t="inlineStr">
        <is>
          <t>BODEN</t>
        </is>
      </c>
      <c r="F164" t="inlineStr">
        <is>
          <t>SCA</t>
        </is>
      </c>
      <c r="G164" t="n">
        <v>18</v>
      </c>
      <c r="H164" t="n">
        <v>1</v>
      </c>
      <c r="I164" t="n">
        <v>0</v>
      </c>
      <c r="J164" t="n">
        <v>0</v>
      </c>
      <c r="K164" t="n">
        <v>0</v>
      </c>
      <c r="L164" t="n">
        <v>0</v>
      </c>
      <c r="M164" t="n">
        <v>0</v>
      </c>
      <c r="N164" t="n">
        <v>0</v>
      </c>
      <c r="O164" t="n">
        <v>0</v>
      </c>
      <c r="P164" t="n">
        <v>0</v>
      </c>
      <c r="Q164" t="n">
        <v>1</v>
      </c>
      <c r="R164" s="2" t="inlineStr">
        <is>
          <t>Fläcknycklar</t>
        </is>
      </c>
      <c r="S164">
        <f>HYPERLINK("https://klasma.github.io/Logging_2582/artfynd/A 48899-2024 artfynd.xlsx", "A 48899-2024")</f>
        <v/>
      </c>
      <c r="T164">
        <f>HYPERLINK("https://klasma.github.io/Logging_2582/kartor/A 48899-2024 karta.png", "A 48899-2024")</f>
        <v/>
      </c>
      <c r="V164">
        <f>HYPERLINK("https://klasma.github.io/Logging_2582/klagomål/A 48899-2024 FSC-klagomål.docx", "A 48899-2024")</f>
        <v/>
      </c>
      <c r="W164">
        <f>HYPERLINK("https://klasma.github.io/Logging_2582/klagomålsmail/A 48899-2024 FSC-klagomål mail.docx", "A 48899-2024")</f>
        <v/>
      </c>
      <c r="X164">
        <f>HYPERLINK("https://klasma.github.io/Logging_2582/tillsyn/A 48899-2024 tillsynsbegäran.docx", "A 48899-2024")</f>
        <v/>
      </c>
      <c r="Y164">
        <f>HYPERLINK("https://klasma.github.io/Logging_2582/tillsynsmail/A 48899-2024 tillsynsbegäran mail.docx", "A 48899-2024")</f>
        <v/>
      </c>
    </row>
    <row r="165" ht="15" customHeight="1">
      <c r="A165" t="inlineStr">
        <is>
          <t>A 50912-2024</t>
        </is>
      </c>
      <c r="B165" s="1" t="n">
        <v>45602</v>
      </c>
      <c r="C165" s="1" t="n">
        <v>45849</v>
      </c>
      <c r="D165" t="inlineStr">
        <is>
          <t>NORRBOTTENS LÄN</t>
        </is>
      </c>
      <c r="E165" t="inlineStr">
        <is>
          <t>BODEN</t>
        </is>
      </c>
      <c r="G165" t="n">
        <v>3.5</v>
      </c>
      <c r="H165" t="n">
        <v>1</v>
      </c>
      <c r="I165" t="n">
        <v>0</v>
      </c>
      <c r="J165" t="n">
        <v>0</v>
      </c>
      <c r="K165" t="n">
        <v>0</v>
      </c>
      <c r="L165" t="n">
        <v>0</v>
      </c>
      <c r="M165" t="n">
        <v>0</v>
      </c>
      <c r="N165" t="n">
        <v>0</v>
      </c>
      <c r="O165" t="n">
        <v>0</v>
      </c>
      <c r="P165" t="n">
        <v>0</v>
      </c>
      <c r="Q165" t="n">
        <v>1</v>
      </c>
      <c r="R165" s="2" t="inlineStr">
        <is>
          <t>Revlummer</t>
        </is>
      </c>
      <c r="S165">
        <f>HYPERLINK("https://klasma.github.io/Logging_2582/artfynd/A 50912-2024 artfynd.xlsx", "A 50912-2024")</f>
        <v/>
      </c>
      <c r="T165">
        <f>HYPERLINK("https://klasma.github.io/Logging_2582/kartor/A 50912-2024 karta.png", "A 50912-2024")</f>
        <v/>
      </c>
      <c r="V165">
        <f>HYPERLINK("https://klasma.github.io/Logging_2582/klagomål/A 50912-2024 FSC-klagomål.docx", "A 50912-2024")</f>
        <v/>
      </c>
      <c r="W165">
        <f>HYPERLINK("https://klasma.github.io/Logging_2582/klagomålsmail/A 50912-2024 FSC-klagomål mail.docx", "A 50912-2024")</f>
        <v/>
      </c>
      <c r="X165">
        <f>HYPERLINK("https://klasma.github.io/Logging_2582/tillsyn/A 50912-2024 tillsynsbegäran.docx", "A 50912-2024")</f>
        <v/>
      </c>
      <c r="Y165">
        <f>HYPERLINK("https://klasma.github.io/Logging_2582/tillsynsmail/A 50912-2024 tillsynsbegäran mail.docx", "A 50912-2024")</f>
        <v/>
      </c>
    </row>
    <row r="166" ht="15" customHeight="1">
      <c r="A166" t="inlineStr">
        <is>
          <t>A 50866-2024</t>
        </is>
      </c>
      <c r="B166" s="1" t="n">
        <v>45602</v>
      </c>
      <c r="C166" s="1" t="n">
        <v>45849</v>
      </c>
      <c r="D166" t="inlineStr">
        <is>
          <t>NORRBOTTENS LÄN</t>
        </is>
      </c>
      <c r="E166" t="inlineStr">
        <is>
          <t>BODEN</t>
        </is>
      </c>
      <c r="F166" t="inlineStr">
        <is>
          <t>Sveaskog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HYPERLINK("https://klasma.github.io/Logging_2582/artfynd/A 50866-2024 artfynd.xlsx", "A 50866-2024")</f>
        <v/>
      </c>
      <c r="T166">
        <f>HYPERLINK("https://klasma.github.io/Logging_2582/kartor/A 50866-2024 karta.png", "A 50866-2024")</f>
        <v/>
      </c>
      <c r="V166">
        <f>HYPERLINK("https://klasma.github.io/Logging_2582/klagomål/A 50866-2024 FSC-klagomål.docx", "A 50866-2024")</f>
        <v/>
      </c>
      <c r="W166">
        <f>HYPERLINK("https://klasma.github.io/Logging_2582/klagomålsmail/A 50866-2024 FSC-klagomål mail.docx", "A 50866-2024")</f>
        <v/>
      </c>
      <c r="X166">
        <f>HYPERLINK("https://klasma.github.io/Logging_2582/tillsyn/A 50866-2024 tillsynsbegäran.docx", "A 50866-2024")</f>
        <v/>
      </c>
      <c r="Y166">
        <f>HYPERLINK("https://klasma.github.io/Logging_2582/tillsynsmail/A 50866-2024 tillsynsbegäran mail.docx", "A 50866-2024")</f>
        <v/>
      </c>
    </row>
    <row r="167" ht="15" customHeight="1">
      <c r="A167" t="inlineStr">
        <is>
          <t>A 53142-2024</t>
        </is>
      </c>
      <c r="B167" s="1" t="n">
        <v>45611</v>
      </c>
      <c r="C167" s="1" t="n">
        <v>45849</v>
      </c>
      <c r="D167" t="inlineStr">
        <is>
          <t>NORRBOTTENS LÄN</t>
        </is>
      </c>
      <c r="E167" t="inlineStr">
        <is>
          <t>BODEN</t>
        </is>
      </c>
      <c r="F167" t="inlineStr">
        <is>
          <t>Sveaskog</t>
        </is>
      </c>
      <c r="G167" t="n">
        <v>6.6</v>
      </c>
      <c r="H167" t="n">
        <v>1</v>
      </c>
      <c r="I167" t="n">
        <v>0</v>
      </c>
      <c r="J167" t="n">
        <v>0</v>
      </c>
      <c r="K167" t="n">
        <v>1</v>
      </c>
      <c r="L167" t="n">
        <v>0</v>
      </c>
      <c r="M167" t="n">
        <v>0</v>
      </c>
      <c r="N167" t="n">
        <v>0</v>
      </c>
      <c r="O167" t="n">
        <v>1</v>
      </c>
      <c r="P167" t="n">
        <v>1</v>
      </c>
      <c r="Q167" t="n">
        <v>1</v>
      </c>
      <c r="R167" s="2" t="inlineStr">
        <is>
          <t>Doftticka</t>
        </is>
      </c>
      <c r="S167">
        <f>HYPERLINK("https://klasma.github.io/Logging_2582/artfynd/A 53142-2024 artfynd.xlsx", "A 53142-2024")</f>
        <v/>
      </c>
      <c r="T167">
        <f>HYPERLINK("https://klasma.github.io/Logging_2582/kartor/A 53142-2024 karta.png", "A 53142-2024")</f>
        <v/>
      </c>
      <c r="V167">
        <f>HYPERLINK("https://klasma.github.io/Logging_2582/klagomål/A 53142-2024 FSC-klagomål.docx", "A 53142-2024")</f>
        <v/>
      </c>
      <c r="W167">
        <f>HYPERLINK("https://klasma.github.io/Logging_2582/klagomålsmail/A 53142-2024 FSC-klagomål mail.docx", "A 53142-2024")</f>
        <v/>
      </c>
      <c r="X167">
        <f>HYPERLINK("https://klasma.github.io/Logging_2582/tillsyn/A 53142-2024 tillsynsbegäran.docx", "A 53142-2024")</f>
        <v/>
      </c>
      <c r="Y167">
        <f>HYPERLINK("https://klasma.github.io/Logging_2582/tillsynsmail/A 53142-2024 tillsynsbegäran mail.docx", "A 53142-2024")</f>
        <v/>
      </c>
    </row>
    <row r="168" ht="15" customHeight="1">
      <c r="A168" t="inlineStr">
        <is>
          <t>A 59861-2024</t>
        </is>
      </c>
      <c r="B168" s="1" t="n">
        <v>45638</v>
      </c>
      <c r="C168" s="1" t="n">
        <v>45849</v>
      </c>
      <c r="D168" t="inlineStr">
        <is>
          <t>NORRBOTTENS LÄN</t>
        </is>
      </c>
      <c r="E168" t="inlineStr">
        <is>
          <t>BODEN</t>
        </is>
      </c>
      <c r="G168" t="n">
        <v>2.1</v>
      </c>
      <c r="H168" t="n">
        <v>0</v>
      </c>
      <c r="I168" t="n">
        <v>0</v>
      </c>
      <c r="J168" t="n">
        <v>1</v>
      </c>
      <c r="K168" t="n">
        <v>0</v>
      </c>
      <c r="L168" t="n">
        <v>0</v>
      </c>
      <c r="M168" t="n">
        <v>0</v>
      </c>
      <c r="N168" t="n">
        <v>0</v>
      </c>
      <c r="O168" t="n">
        <v>1</v>
      </c>
      <c r="P168" t="n">
        <v>0</v>
      </c>
      <c r="Q168" t="n">
        <v>1</v>
      </c>
      <c r="R168" s="2" t="inlineStr">
        <is>
          <t>Kolflarnlav</t>
        </is>
      </c>
      <c r="S168">
        <f>HYPERLINK("https://klasma.github.io/Logging_2582/artfynd/A 59861-2024 artfynd.xlsx", "A 59861-2024")</f>
        <v/>
      </c>
      <c r="T168">
        <f>HYPERLINK("https://klasma.github.io/Logging_2582/kartor/A 59861-2024 karta.png", "A 59861-2024")</f>
        <v/>
      </c>
      <c r="V168">
        <f>HYPERLINK("https://klasma.github.io/Logging_2582/klagomål/A 59861-2024 FSC-klagomål.docx", "A 59861-2024")</f>
        <v/>
      </c>
      <c r="W168">
        <f>HYPERLINK("https://klasma.github.io/Logging_2582/klagomålsmail/A 59861-2024 FSC-klagomål mail.docx", "A 59861-2024")</f>
        <v/>
      </c>
      <c r="X168">
        <f>HYPERLINK("https://klasma.github.io/Logging_2582/tillsyn/A 59861-2024 tillsynsbegäran.docx", "A 59861-2024")</f>
        <v/>
      </c>
      <c r="Y168">
        <f>HYPERLINK("https://klasma.github.io/Logging_2582/tillsynsmail/A 59861-2024 tillsynsbegäran mail.docx", "A 59861-2024")</f>
        <v/>
      </c>
    </row>
    <row r="169" ht="15" customHeight="1">
      <c r="A169" t="inlineStr">
        <is>
          <t>A 61219-2024</t>
        </is>
      </c>
      <c r="B169" s="1" t="n">
        <v>45645</v>
      </c>
      <c r="C169" s="1" t="n">
        <v>45849</v>
      </c>
      <c r="D169" t="inlineStr">
        <is>
          <t>NORRBOTTENS LÄN</t>
        </is>
      </c>
      <c r="E169" t="inlineStr">
        <is>
          <t>BODEN</t>
        </is>
      </c>
      <c r="F169" t="inlineStr">
        <is>
          <t>Sveaskog</t>
        </is>
      </c>
      <c r="G169" t="n">
        <v>1.5</v>
      </c>
      <c r="H169" t="n">
        <v>0</v>
      </c>
      <c r="I169" t="n">
        <v>0</v>
      </c>
      <c r="J169" t="n">
        <v>1</v>
      </c>
      <c r="K169" t="n">
        <v>0</v>
      </c>
      <c r="L169" t="n">
        <v>0</v>
      </c>
      <c r="M169" t="n">
        <v>0</v>
      </c>
      <c r="N169" t="n">
        <v>0</v>
      </c>
      <c r="O169" t="n">
        <v>1</v>
      </c>
      <c r="P169" t="n">
        <v>0</v>
      </c>
      <c r="Q169" t="n">
        <v>1</v>
      </c>
      <c r="R169" s="2" t="inlineStr">
        <is>
          <t>Tallticka</t>
        </is>
      </c>
      <c r="S169">
        <f>HYPERLINK("https://klasma.github.io/Logging_2582/artfynd/A 61219-2024 artfynd.xlsx", "A 61219-2024")</f>
        <v/>
      </c>
      <c r="T169">
        <f>HYPERLINK("https://klasma.github.io/Logging_2582/kartor/A 61219-2024 karta.png", "A 61219-2024")</f>
        <v/>
      </c>
      <c r="V169">
        <f>HYPERLINK("https://klasma.github.io/Logging_2582/klagomål/A 61219-2024 FSC-klagomål.docx", "A 61219-2024")</f>
        <v/>
      </c>
      <c r="W169">
        <f>HYPERLINK("https://klasma.github.io/Logging_2582/klagomålsmail/A 61219-2024 FSC-klagomål mail.docx", "A 61219-2024")</f>
        <v/>
      </c>
      <c r="X169">
        <f>HYPERLINK("https://klasma.github.io/Logging_2582/tillsyn/A 61219-2024 tillsynsbegäran.docx", "A 61219-2024")</f>
        <v/>
      </c>
      <c r="Y169">
        <f>HYPERLINK("https://klasma.github.io/Logging_2582/tillsynsmail/A 61219-2024 tillsynsbegäran mail.docx", "A 61219-2024")</f>
        <v/>
      </c>
    </row>
    <row r="170" ht="15" customHeight="1">
      <c r="A170" t="inlineStr">
        <is>
          <t>A 18678-2025</t>
        </is>
      </c>
      <c r="B170" s="1" t="n">
        <v>45763</v>
      </c>
      <c r="C170" s="1" t="n">
        <v>45849</v>
      </c>
      <c r="D170" t="inlineStr">
        <is>
          <t>NORRBOTTENS LÄN</t>
        </is>
      </c>
      <c r="E170" t="inlineStr">
        <is>
          <t>BODEN</t>
        </is>
      </c>
      <c r="G170" t="n">
        <v>1.6</v>
      </c>
      <c r="H170" t="n">
        <v>0</v>
      </c>
      <c r="I170" t="n">
        <v>0</v>
      </c>
      <c r="J170" t="n">
        <v>1</v>
      </c>
      <c r="K170" t="n">
        <v>0</v>
      </c>
      <c r="L170" t="n">
        <v>0</v>
      </c>
      <c r="M170" t="n">
        <v>0</v>
      </c>
      <c r="N170" t="n">
        <v>0</v>
      </c>
      <c r="O170" t="n">
        <v>1</v>
      </c>
      <c r="P170" t="n">
        <v>0</v>
      </c>
      <c r="Q170" t="n">
        <v>1</v>
      </c>
      <c r="R170" s="2" t="inlineStr">
        <is>
          <t>Garnlav</t>
        </is>
      </c>
      <c r="S170">
        <f>HYPERLINK("https://klasma.github.io/Logging_252582/artfynd/A 18678-2025 artfynd.xlsx", "A 18678-2025")</f>
        <v/>
      </c>
      <c r="T170">
        <f>HYPERLINK("https://klasma.github.io/Logging_252582/kartor/A 18678-2025 karta.png", "A 18678-2025")</f>
        <v/>
      </c>
      <c r="V170">
        <f>HYPERLINK("https://klasma.github.io/Logging_252582/klagomål/A 18678-2025 FSC-klagomål.docx", "A 18678-2025")</f>
        <v/>
      </c>
      <c r="W170">
        <f>HYPERLINK("https://klasma.github.io/Logging_252582/klagomålsmail/A 18678-2025 FSC-klagomål mail.docx", "A 18678-2025")</f>
        <v/>
      </c>
      <c r="X170">
        <f>HYPERLINK("https://klasma.github.io/Logging_252582/tillsyn/A 18678-2025 tillsynsbegäran.docx", "A 18678-2025")</f>
        <v/>
      </c>
      <c r="Y170">
        <f>HYPERLINK("https://klasma.github.io/Logging_252582/tillsynsmail/A 18678-2025 tillsynsbegäran mail.docx", "A 18678-2025")</f>
        <v/>
      </c>
    </row>
    <row r="171" ht="15" customHeight="1">
      <c r="A171" t="inlineStr">
        <is>
          <t>A 20260-2025</t>
        </is>
      </c>
      <c r="B171" s="1" t="n">
        <v>45773</v>
      </c>
      <c r="C171" s="1" t="n">
        <v>45849</v>
      </c>
      <c r="D171" t="inlineStr">
        <is>
          <t>NORRBOTTENS LÄN</t>
        </is>
      </c>
      <c r="E171" t="inlineStr">
        <is>
          <t>BODEN</t>
        </is>
      </c>
      <c r="F171" t="inlineStr">
        <is>
          <t>SCA</t>
        </is>
      </c>
      <c r="G171" t="n">
        <v>3.3</v>
      </c>
      <c r="H171" t="n">
        <v>1</v>
      </c>
      <c r="I171" t="n">
        <v>0</v>
      </c>
      <c r="J171" t="n">
        <v>0</v>
      </c>
      <c r="K171" t="n">
        <v>0</v>
      </c>
      <c r="L171" t="n">
        <v>0</v>
      </c>
      <c r="M171" t="n">
        <v>0</v>
      </c>
      <c r="N171" t="n">
        <v>0</v>
      </c>
      <c r="O171" t="n">
        <v>0</v>
      </c>
      <c r="P171" t="n">
        <v>0</v>
      </c>
      <c r="Q171" t="n">
        <v>1</v>
      </c>
      <c r="R171" s="2" t="inlineStr">
        <is>
          <t>Grön flodtrollslända</t>
        </is>
      </c>
      <c r="S171">
        <f>HYPERLINK("https://klasma.github.io/Logging_252582/artfynd/A 20260-2025 artfynd.xlsx", "A 20260-2025")</f>
        <v/>
      </c>
      <c r="T171">
        <f>HYPERLINK("https://klasma.github.io/Logging_252582/kartor/A 20260-2025 karta.png", "A 20260-2025")</f>
        <v/>
      </c>
      <c r="V171">
        <f>HYPERLINK("https://klasma.github.io/Logging_252582/klagomål/A 20260-2025 FSC-klagomål.docx", "A 20260-2025")</f>
        <v/>
      </c>
      <c r="W171">
        <f>HYPERLINK("https://klasma.github.io/Logging_252582/klagomålsmail/A 20260-2025 FSC-klagomål mail.docx", "A 20260-2025")</f>
        <v/>
      </c>
      <c r="X171">
        <f>HYPERLINK("https://klasma.github.io/Logging_252582/tillsyn/A 20260-2025 tillsynsbegäran.docx", "A 20260-2025")</f>
        <v/>
      </c>
      <c r="Y171">
        <f>HYPERLINK("https://klasma.github.io/Logging_252582/tillsynsmail/A 20260-2025 tillsynsbegäran mail.docx", "A 20260-2025")</f>
        <v/>
      </c>
    </row>
    <row r="172" ht="15" customHeight="1">
      <c r="A172" t="inlineStr">
        <is>
          <t>A 23096-2025</t>
        </is>
      </c>
      <c r="B172" s="1" t="n">
        <v>45791</v>
      </c>
      <c r="C172" s="1" t="n">
        <v>45849</v>
      </c>
      <c r="D172" t="inlineStr">
        <is>
          <t>NORRBOTTENS LÄN</t>
        </is>
      </c>
      <c r="E172" t="inlineStr">
        <is>
          <t>BODEN</t>
        </is>
      </c>
      <c r="F172" t="inlineStr">
        <is>
          <t>SCA</t>
        </is>
      </c>
      <c r="G172" t="n">
        <v>1.8</v>
      </c>
      <c r="H172" t="n">
        <v>0</v>
      </c>
      <c r="I172" t="n">
        <v>0</v>
      </c>
      <c r="J172" t="n">
        <v>1</v>
      </c>
      <c r="K172" t="n">
        <v>0</v>
      </c>
      <c r="L172" t="n">
        <v>0</v>
      </c>
      <c r="M172" t="n">
        <v>0</v>
      </c>
      <c r="N172" t="n">
        <v>0</v>
      </c>
      <c r="O172" t="n">
        <v>1</v>
      </c>
      <c r="P172" t="n">
        <v>0</v>
      </c>
      <c r="Q172" t="n">
        <v>1</v>
      </c>
      <c r="R172" s="2" t="inlineStr">
        <is>
          <t>Garnlav</t>
        </is>
      </c>
      <c r="S172">
        <f>HYPERLINK("https://klasma.github.io/Logging_252582/artfynd/A 23096-2025 artfynd.xlsx", "A 23096-2025")</f>
        <v/>
      </c>
      <c r="T172">
        <f>HYPERLINK("https://klasma.github.io/Logging_252582/kartor/A 23096-2025 karta.png", "A 23096-2025")</f>
        <v/>
      </c>
      <c r="V172">
        <f>HYPERLINK("https://klasma.github.io/Logging_252582/klagomål/A 23096-2025 FSC-klagomål.docx", "A 23096-2025")</f>
        <v/>
      </c>
      <c r="W172">
        <f>HYPERLINK("https://klasma.github.io/Logging_252582/klagomålsmail/A 23096-2025 FSC-klagomål mail.docx", "A 23096-2025")</f>
        <v/>
      </c>
      <c r="X172">
        <f>HYPERLINK("https://klasma.github.io/Logging_252582/tillsyn/A 23096-2025 tillsynsbegäran.docx", "A 23096-2025")</f>
        <v/>
      </c>
      <c r="Y172">
        <f>HYPERLINK("https://klasma.github.io/Logging_252582/tillsynsmail/A 23096-2025 tillsynsbegäran mail.docx", "A 23096-2025")</f>
        <v/>
      </c>
    </row>
    <row r="173" ht="15" customHeight="1">
      <c r="A173" t="inlineStr">
        <is>
          <t>A 23849-2025</t>
        </is>
      </c>
      <c r="B173" s="1" t="n">
        <v>45793</v>
      </c>
      <c r="C173" s="1" t="n">
        <v>45849</v>
      </c>
      <c r="D173" t="inlineStr">
        <is>
          <t>NORRBOTTENS LÄN</t>
        </is>
      </c>
      <c r="E173" t="inlineStr">
        <is>
          <t>BODEN</t>
        </is>
      </c>
      <c r="F173" t="inlineStr">
        <is>
          <t>Sveaskog</t>
        </is>
      </c>
      <c r="G173" t="n">
        <v>2.9</v>
      </c>
      <c r="H173" t="n">
        <v>0</v>
      </c>
      <c r="I173" t="n">
        <v>0</v>
      </c>
      <c r="J173" t="n">
        <v>1</v>
      </c>
      <c r="K173" t="n">
        <v>0</v>
      </c>
      <c r="L173" t="n">
        <v>0</v>
      </c>
      <c r="M173" t="n">
        <v>0</v>
      </c>
      <c r="N173" t="n">
        <v>0</v>
      </c>
      <c r="O173" t="n">
        <v>1</v>
      </c>
      <c r="P173" t="n">
        <v>0</v>
      </c>
      <c r="Q173" t="n">
        <v>1</v>
      </c>
      <c r="R173" s="2" t="inlineStr">
        <is>
          <t>Kolflarnlav</t>
        </is>
      </c>
      <c r="S173">
        <f>HYPERLINK("https://klasma.github.io/Logging_252582/artfynd/A 23849-2025 artfynd.xlsx", "A 23849-2025")</f>
        <v/>
      </c>
      <c r="T173">
        <f>HYPERLINK("https://klasma.github.io/Logging_252582/kartor/A 23849-2025 karta.png", "A 23849-2025")</f>
        <v/>
      </c>
      <c r="V173">
        <f>HYPERLINK("https://klasma.github.io/Logging_252582/klagomål/A 23849-2025 FSC-klagomål.docx", "A 23849-2025")</f>
        <v/>
      </c>
      <c r="W173">
        <f>HYPERLINK("https://klasma.github.io/Logging_252582/klagomålsmail/A 23849-2025 FSC-klagomål mail.docx", "A 23849-2025")</f>
        <v/>
      </c>
      <c r="X173">
        <f>HYPERLINK("https://klasma.github.io/Logging_252582/tillsyn/A 23849-2025 tillsynsbegäran.docx", "A 23849-2025")</f>
        <v/>
      </c>
      <c r="Y173">
        <f>HYPERLINK("https://klasma.github.io/Logging_252582/tillsynsmail/A 23849-2025 tillsynsbegäran mail.docx", "A 23849-2025")</f>
        <v/>
      </c>
    </row>
    <row r="174" ht="15" customHeight="1">
      <c r="A174" t="inlineStr">
        <is>
          <t>A 25700-2025</t>
        </is>
      </c>
      <c r="B174" s="1" t="n">
        <v>45803</v>
      </c>
      <c r="C174" s="1" t="n">
        <v>45849</v>
      </c>
      <c r="D174" t="inlineStr">
        <is>
          <t>NORRBOTTENS LÄN</t>
        </is>
      </c>
      <c r="E174" t="inlineStr">
        <is>
          <t>BODEN</t>
        </is>
      </c>
      <c r="F174" t="inlineStr">
        <is>
          <t>Sveaskog</t>
        </is>
      </c>
      <c r="G174" t="n">
        <v>17.3</v>
      </c>
      <c r="H174" t="n">
        <v>0</v>
      </c>
      <c r="I174" t="n">
        <v>0</v>
      </c>
      <c r="J174" t="n">
        <v>1</v>
      </c>
      <c r="K174" t="n">
        <v>0</v>
      </c>
      <c r="L174" t="n">
        <v>0</v>
      </c>
      <c r="M174" t="n">
        <v>0</v>
      </c>
      <c r="N174" t="n">
        <v>0</v>
      </c>
      <c r="O174" t="n">
        <v>1</v>
      </c>
      <c r="P174" t="n">
        <v>0</v>
      </c>
      <c r="Q174" t="n">
        <v>1</v>
      </c>
      <c r="R174" s="2" t="inlineStr">
        <is>
          <t>Lunglav</t>
        </is>
      </c>
      <c r="S174">
        <f>HYPERLINK("https://klasma.github.io/Logging_252582/artfynd/A 25700-2025 artfynd.xlsx", "A 25700-2025")</f>
        <v/>
      </c>
      <c r="T174">
        <f>HYPERLINK("https://klasma.github.io/Logging_252582/kartor/A 25700-2025 karta.png", "A 25700-2025")</f>
        <v/>
      </c>
      <c r="V174">
        <f>HYPERLINK("https://klasma.github.io/Logging_252582/klagomål/A 25700-2025 FSC-klagomål.docx", "A 25700-2025")</f>
        <v/>
      </c>
      <c r="W174">
        <f>HYPERLINK("https://klasma.github.io/Logging_252582/klagomålsmail/A 25700-2025 FSC-klagomål mail.docx", "A 25700-2025")</f>
        <v/>
      </c>
      <c r="X174">
        <f>HYPERLINK("https://klasma.github.io/Logging_252582/tillsyn/A 25700-2025 tillsynsbegäran.docx", "A 25700-2025")</f>
        <v/>
      </c>
      <c r="Y174">
        <f>HYPERLINK("https://klasma.github.io/Logging_252582/tillsynsmail/A 25700-2025 tillsynsbegäran mail.docx", "A 25700-2025")</f>
        <v/>
      </c>
    </row>
    <row r="175" ht="15" customHeight="1">
      <c r="A175" t="inlineStr">
        <is>
          <t>A 25701-2025</t>
        </is>
      </c>
      <c r="B175" s="1" t="n">
        <v>45803</v>
      </c>
      <c r="C175" s="1" t="n">
        <v>45849</v>
      </c>
      <c r="D175" t="inlineStr">
        <is>
          <t>NORRBOTTENS LÄN</t>
        </is>
      </c>
      <c r="E175" t="inlineStr">
        <is>
          <t>BODEN</t>
        </is>
      </c>
      <c r="F175" t="inlineStr">
        <is>
          <t>Sveaskog</t>
        </is>
      </c>
      <c r="G175" t="n">
        <v>8.800000000000001</v>
      </c>
      <c r="H175" t="n">
        <v>0</v>
      </c>
      <c r="I175" t="n">
        <v>0</v>
      </c>
      <c r="J175" t="n">
        <v>1</v>
      </c>
      <c r="K175" t="n">
        <v>0</v>
      </c>
      <c r="L175" t="n">
        <v>0</v>
      </c>
      <c r="M175" t="n">
        <v>0</v>
      </c>
      <c r="N175" t="n">
        <v>0</v>
      </c>
      <c r="O175" t="n">
        <v>1</v>
      </c>
      <c r="P175" t="n">
        <v>0</v>
      </c>
      <c r="Q175" t="n">
        <v>1</v>
      </c>
      <c r="R175" s="2" t="inlineStr">
        <is>
          <t>Lunglav</t>
        </is>
      </c>
      <c r="S175">
        <f>HYPERLINK("https://klasma.github.io/Logging_252582/artfynd/A 25701-2025 artfynd.xlsx", "A 25701-2025")</f>
        <v/>
      </c>
      <c r="T175">
        <f>HYPERLINK("https://klasma.github.io/Logging_252582/kartor/A 25701-2025 karta.png", "A 25701-2025")</f>
        <v/>
      </c>
      <c r="V175">
        <f>HYPERLINK("https://klasma.github.io/Logging_252582/klagomål/A 25701-2025 FSC-klagomål.docx", "A 25701-2025")</f>
        <v/>
      </c>
      <c r="W175">
        <f>HYPERLINK("https://klasma.github.io/Logging_252582/klagomålsmail/A 25701-2025 FSC-klagomål mail.docx", "A 25701-2025")</f>
        <v/>
      </c>
      <c r="X175">
        <f>HYPERLINK("https://klasma.github.io/Logging_252582/tillsyn/A 25701-2025 tillsynsbegäran.docx", "A 25701-2025")</f>
        <v/>
      </c>
      <c r="Y175">
        <f>HYPERLINK("https://klasma.github.io/Logging_252582/tillsynsmail/A 25701-2025 tillsynsbegäran mail.docx", "A 25701-2025")</f>
        <v/>
      </c>
    </row>
    <row r="176" ht="15" customHeight="1">
      <c r="A176" t="inlineStr">
        <is>
          <t>A 31079-2025</t>
        </is>
      </c>
      <c r="B176" s="1" t="n">
        <v>45832</v>
      </c>
      <c r="C176" s="1" t="n">
        <v>45849</v>
      </c>
      <c r="D176" t="inlineStr">
        <is>
          <t>NORRBOTTENS LÄN</t>
        </is>
      </c>
      <c r="E176" t="inlineStr">
        <is>
          <t>BODEN</t>
        </is>
      </c>
      <c r="F176" t="inlineStr">
        <is>
          <t>Sveaskog</t>
        </is>
      </c>
      <c r="G176" t="n">
        <v>21.5</v>
      </c>
      <c r="H176" t="n">
        <v>1</v>
      </c>
      <c r="I176" t="n">
        <v>0</v>
      </c>
      <c r="J176" t="n">
        <v>0</v>
      </c>
      <c r="K176" t="n">
        <v>0</v>
      </c>
      <c r="L176" t="n">
        <v>0</v>
      </c>
      <c r="M176" t="n">
        <v>0</v>
      </c>
      <c r="N176" t="n">
        <v>0</v>
      </c>
      <c r="O176" t="n">
        <v>0</v>
      </c>
      <c r="P176" t="n">
        <v>0</v>
      </c>
      <c r="Q176" t="n">
        <v>1</v>
      </c>
      <c r="R176" s="2" t="inlineStr">
        <is>
          <t>Fläcknycklar</t>
        </is>
      </c>
      <c r="S176">
        <f>HYPERLINK("https://klasma.github.io/Logging_252582/artfynd/A 31079-2025 artfynd.xlsx", "A 31079-2025")</f>
        <v/>
      </c>
      <c r="T176">
        <f>HYPERLINK("https://klasma.github.io/Logging_252582/kartor/A 31079-2025 karta.png", "A 31079-2025")</f>
        <v/>
      </c>
      <c r="V176">
        <f>HYPERLINK("https://klasma.github.io/Logging_252582/klagomål/A 31079-2025 FSC-klagomål.docx", "A 31079-2025")</f>
        <v/>
      </c>
      <c r="W176">
        <f>HYPERLINK("https://klasma.github.io/Logging_252582/klagomålsmail/A 31079-2025 FSC-klagomål mail.docx", "A 31079-2025")</f>
        <v/>
      </c>
      <c r="X176">
        <f>HYPERLINK("https://klasma.github.io/Logging_252582/tillsyn/A 31079-2025 tillsynsbegäran.docx", "A 31079-2025")</f>
        <v/>
      </c>
      <c r="Y176">
        <f>HYPERLINK("https://klasma.github.io/Logging_252582/tillsynsmail/A 31079-2025 tillsynsbegäran mail.docx", "A 31079-2025")</f>
        <v/>
      </c>
    </row>
    <row r="177" ht="15" customHeight="1">
      <c r="A177" t="inlineStr">
        <is>
          <t>A 31487-2025</t>
        </is>
      </c>
      <c r="B177" s="1" t="n">
        <v>45833</v>
      </c>
      <c r="C177" s="1" t="n">
        <v>45849</v>
      </c>
      <c r="D177" t="inlineStr">
        <is>
          <t>NORRBOTTENS LÄN</t>
        </is>
      </c>
      <c r="E177" t="inlineStr">
        <is>
          <t>BODEN</t>
        </is>
      </c>
      <c r="F177" t="inlineStr">
        <is>
          <t>Övriga Aktiebolag</t>
        </is>
      </c>
      <c r="G177" t="n">
        <v>9.800000000000001</v>
      </c>
      <c r="H177" t="n">
        <v>1</v>
      </c>
      <c r="I177" t="n">
        <v>1</v>
      </c>
      <c r="J177" t="n">
        <v>0</v>
      </c>
      <c r="K177" t="n">
        <v>0</v>
      </c>
      <c r="L177" t="n">
        <v>0</v>
      </c>
      <c r="M177" t="n">
        <v>0</v>
      </c>
      <c r="N177" t="n">
        <v>0</v>
      </c>
      <c r="O177" t="n">
        <v>0</v>
      </c>
      <c r="P177" t="n">
        <v>0</v>
      </c>
      <c r="Q177" t="n">
        <v>1</v>
      </c>
      <c r="R177" s="2" t="inlineStr">
        <is>
          <t>Plattlummer</t>
        </is>
      </c>
      <c r="S177">
        <f>HYPERLINK("https://klasma.github.io/Logging_252582/artfynd/A 31487-2025 artfynd.xlsx", "A 31487-2025")</f>
        <v/>
      </c>
      <c r="T177">
        <f>HYPERLINK("https://klasma.github.io/Logging_252582/kartor/A 31487-2025 karta.png", "A 31487-2025")</f>
        <v/>
      </c>
      <c r="V177">
        <f>HYPERLINK("https://klasma.github.io/Logging_252582/klagomål/A 31487-2025 FSC-klagomål.docx", "A 31487-2025")</f>
        <v/>
      </c>
      <c r="W177">
        <f>HYPERLINK("https://klasma.github.io/Logging_252582/klagomålsmail/A 31487-2025 FSC-klagomål mail.docx", "A 31487-2025")</f>
        <v/>
      </c>
      <c r="X177">
        <f>HYPERLINK("https://klasma.github.io/Logging_252582/tillsyn/A 31487-2025 tillsynsbegäran.docx", "A 31487-2025")</f>
        <v/>
      </c>
      <c r="Y177">
        <f>HYPERLINK("https://klasma.github.io/Logging_252582/tillsynsmail/A 31487-2025 tillsynsbegäran mail.docx", "A 31487-2025")</f>
        <v/>
      </c>
    </row>
    <row r="178" ht="15" customHeight="1">
      <c r="A178" t="inlineStr">
        <is>
          <t>A 32119-2025</t>
        </is>
      </c>
      <c r="B178" s="1" t="n">
        <v>45835</v>
      </c>
      <c r="C178" s="1" t="n">
        <v>45849</v>
      </c>
      <c r="D178" t="inlineStr">
        <is>
          <t>NORRBOTTENS LÄN</t>
        </is>
      </c>
      <c r="E178" t="inlineStr">
        <is>
          <t>BODEN</t>
        </is>
      </c>
      <c r="F178" t="inlineStr">
        <is>
          <t>Sveaskog</t>
        </is>
      </c>
      <c r="G178" t="n">
        <v>2</v>
      </c>
      <c r="H178" t="n">
        <v>0</v>
      </c>
      <c r="I178" t="n">
        <v>1</v>
      </c>
      <c r="J178" t="n">
        <v>0</v>
      </c>
      <c r="K178" t="n">
        <v>0</v>
      </c>
      <c r="L178" t="n">
        <v>0</v>
      </c>
      <c r="M178" t="n">
        <v>0</v>
      </c>
      <c r="N178" t="n">
        <v>0</v>
      </c>
      <c r="O178" t="n">
        <v>0</v>
      </c>
      <c r="P178" t="n">
        <v>0</v>
      </c>
      <c r="Q178" t="n">
        <v>1</v>
      </c>
      <c r="R178" s="2" t="inlineStr">
        <is>
          <t>Grönpyrola</t>
        </is>
      </c>
      <c r="S178">
        <f>HYPERLINK("https://klasma.github.io/Logging_252582/artfynd/A 32119-2025 artfynd.xlsx", "A 32119-2025")</f>
        <v/>
      </c>
      <c r="T178">
        <f>HYPERLINK("https://klasma.github.io/Logging_252582/kartor/A 32119-2025 karta.png", "A 32119-2025")</f>
        <v/>
      </c>
      <c r="V178">
        <f>HYPERLINK("https://klasma.github.io/Logging_252582/klagomål/A 32119-2025 FSC-klagomål.docx", "A 32119-2025")</f>
        <v/>
      </c>
      <c r="W178">
        <f>HYPERLINK("https://klasma.github.io/Logging_252582/klagomålsmail/A 32119-2025 FSC-klagomål mail.docx", "A 32119-2025")</f>
        <v/>
      </c>
      <c r="X178">
        <f>HYPERLINK("https://klasma.github.io/Logging_252582/tillsyn/A 32119-2025 tillsynsbegäran.docx", "A 32119-2025")</f>
        <v/>
      </c>
      <c r="Y178">
        <f>HYPERLINK("https://klasma.github.io/Logging_252582/tillsynsmail/A 32119-2025 tillsynsbegäran mail.docx", "A 32119-2025")</f>
        <v/>
      </c>
    </row>
    <row r="179" ht="15" customHeight="1">
      <c r="A179" t="inlineStr">
        <is>
          <t>A 18176-2019</t>
        </is>
      </c>
      <c r="B179" s="1" t="n">
        <v>43558</v>
      </c>
      <c r="C179" s="1" t="n">
        <v>45849</v>
      </c>
      <c r="D179" t="inlineStr">
        <is>
          <t>NORRBOTTENS LÄN</t>
        </is>
      </c>
      <c r="E179" t="inlineStr">
        <is>
          <t>BODEN</t>
        </is>
      </c>
      <c r="F179" t="inlineStr">
        <is>
          <t>Sveaskog</t>
        </is>
      </c>
      <c r="G179" t="n">
        <v>27.5</v>
      </c>
      <c r="H179" t="n">
        <v>0</v>
      </c>
      <c r="I179" t="n">
        <v>0</v>
      </c>
      <c r="J179" t="n">
        <v>0</v>
      </c>
      <c r="K179" t="n">
        <v>0</v>
      </c>
      <c r="L179" t="n">
        <v>0</v>
      </c>
      <c r="M179" t="n">
        <v>0</v>
      </c>
      <c r="N179" t="n">
        <v>0</v>
      </c>
      <c r="O179" t="n">
        <v>0</v>
      </c>
      <c r="P179" t="n">
        <v>0</v>
      </c>
      <c r="Q179" t="n">
        <v>0</v>
      </c>
      <c r="R179" s="2" t="inlineStr"/>
    </row>
    <row r="180" ht="15" customHeight="1">
      <c r="A180" t="inlineStr">
        <is>
          <t>A 18939-2019</t>
        </is>
      </c>
      <c r="B180" s="1" t="n">
        <v>43563</v>
      </c>
      <c r="C180" s="1" t="n">
        <v>45849</v>
      </c>
      <c r="D180" t="inlineStr">
        <is>
          <t>NORRBOTTENS LÄN</t>
        </is>
      </c>
      <c r="E180" t="inlineStr">
        <is>
          <t>BODEN</t>
        </is>
      </c>
      <c r="G180" t="n">
        <v>0.9</v>
      </c>
      <c r="H180" t="n">
        <v>0</v>
      </c>
      <c r="I180" t="n">
        <v>0</v>
      </c>
      <c r="J180" t="n">
        <v>0</v>
      </c>
      <c r="K180" t="n">
        <v>0</v>
      </c>
      <c r="L180" t="n">
        <v>0</v>
      </c>
      <c r="M180" t="n">
        <v>0</v>
      </c>
      <c r="N180" t="n">
        <v>0</v>
      </c>
      <c r="O180" t="n">
        <v>0</v>
      </c>
      <c r="P180" t="n">
        <v>0</v>
      </c>
      <c r="Q180" t="n">
        <v>0</v>
      </c>
      <c r="R180" s="2" t="inlineStr"/>
    </row>
    <row r="181" ht="15" customHeight="1">
      <c r="A181" t="inlineStr">
        <is>
          <t>A 19558-2019</t>
        </is>
      </c>
      <c r="B181" s="1" t="n">
        <v>43565</v>
      </c>
      <c r="C181" s="1" t="n">
        <v>45849</v>
      </c>
      <c r="D181" t="inlineStr">
        <is>
          <t>NORRBOTTENS LÄN</t>
        </is>
      </c>
      <c r="E181" t="inlineStr">
        <is>
          <t>BODEN</t>
        </is>
      </c>
      <c r="F181" t="inlineStr">
        <is>
          <t>SCA</t>
        </is>
      </c>
      <c r="G181" t="n">
        <v>2.7</v>
      </c>
      <c r="H181" t="n">
        <v>0</v>
      </c>
      <c r="I181" t="n">
        <v>0</v>
      </c>
      <c r="J181" t="n">
        <v>0</v>
      </c>
      <c r="K181" t="n">
        <v>0</v>
      </c>
      <c r="L181" t="n">
        <v>0</v>
      </c>
      <c r="M181" t="n">
        <v>0</v>
      </c>
      <c r="N181" t="n">
        <v>0</v>
      </c>
      <c r="O181" t="n">
        <v>0</v>
      </c>
      <c r="P181" t="n">
        <v>0</v>
      </c>
      <c r="Q181" t="n">
        <v>0</v>
      </c>
      <c r="R181" s="2" t="inlineStr"/>
    </row>
    <row r="182" ht="15" customHeight="1">
      <c r="A182" t="inlineStr">
        <is>
          <t>A 20295-2019</t>
        </is>
      </c>
      <c r="B182" s="1" t="n">
        <v>43567</v>
      </c>
      <c r="C182" s="1" t="n">
        <v>45849</v>
      </c>
      <c r="D182" t="inlineStr">
        <is>
          <t>NORRBOTTENS LÄN</t>
        </is>
      </c>
      <c r="E182" t="inlineStr">
        <is>
          <t>BODEN</t>
        </is>
      </c>
      <c r="G182" t="n">
        <v>1.6</v>
      </c>
      <c r="H182" t="n">
        <v>0</v>
      </c>
      <c r="I182" t="n">
        <v>0</v>
      </c>
      <c r="J182" t="n">
        <v>0</v>
      </c>
      <c r="K182" t="n">
        <v>0</v>
      </c>
      <c r="L182" t="n">
        <v>0</v>
      </c>
      <c r="M182" t="n">
        <v>0</v>
      </c>
      <c r="N182" t="n">
        <v>0</v>
      </c>
      <c r="O182" t="n">
        <v>0</v>
      </c>
      <c r="P182" t="n">
        <v>0</v>
      </c>
      <c r="Q182" t="n">
        <v>0</v>
      </c>
      <c r="R182" s="2" t="inlineStr"/>
    </row>
    <row r="183" ht="15" customHeight="1">
      <c r="A183" t="inlineStr">
        <is>
          <t>A 20903-2019</t>
        </is>
      </c>
      <c r="B183" s="1" t="n">
        <v>43573</v>
      </c>
      <c r="C183" s="1" t="n">
        <v>45849</v>
      </c>
      <c r="D183" t="inlineStr">
        <is>
          <t>NORRBOTTENS LÄN</t>
        </is>
      </c>
      <c r="E183" t="inlineStr">
        <is>
          <t>BODEN</t>
        </is>
      </c>
      <c r="G183" t="n">
        <v>0.7</v>
      </c>
      <c r="H183" t="n">
        <v>0</v>
      </c>
      <c r="I183" t="n">
        <v>0</v>
      </c>
      <c r="J183" t="n">
        <v>0</v>
      </c>
      <c r="K183" t="n">
        <v>0</v>
      </c>
      <c r="L183" t="n">
        <v>0</v>
      </c>
      <c r="M183" t="n">
        <v>0</v>
      </c>
      <c r="N183" t="n">
        <v>0</v>
      </c>
      <c r="O183" t="n">
        <v>0</v>
      </c>
      <c r="P183" t="n">
        <v>0</v>
      </c>
      <c r="Q183" t="n">
        <v>0</v>
      </c>
      <c r="R183" s="2" t="inlineStr"/>
    </row>
    <row r="184" ht="15" customHeight="1">
      <c r="A184" t="inlineStr">
        <is>
          <t>A 20916-2019</t>
        </is>
      </c>
      <c r="B184" s="1" t="n">
        <v>43573</v>
      </c>
      <c r="C184" s="1" t="n">
        <v>45849</v>
      </c>
      <c r="D184" t="inlineStr">
        <is>
          <t>NORRBOTTENS LÄN</t>
        </is>
      </c>
      <c r="E184" t="inlineStr">
        <is>
          <t>BODEN</t>
        </is>
      </c>
      <c r="G184" t="n">
        <v>2.2</v>
      </c>
      <c r="H184" t="n">
        <v>0</v>
      </c>
      <c r="I184" t="n">
        <v>0</v>
      </c>
      <c r="J184" t="n">
        <v>0</v>
      </c>
      <c r="K184" t="n">
        <v>0</v>
      </c>
      <c r="L184" t="n">
        <v>0</v>
      </c>
      <c r="M184" t="n">
        <v>0</v>
      </c>
      <c r="N184" t="n">
        <v>0</v>
      </c>
      <c r="O184" t="n">
        <v>0</v>
      </c>
      <c r="P184" t="n">
        <v>0</v>
      </c>
      <c r="Q184" t="n">
        <v>0</v>
      </c>
      <c r="R184" s="2" t="inlineStr"/>
    </row>
    <row r="185" ht="15" customHeight="1">
      <c r="A185" t="inlineStr">
        <is>
          <t>A 21129-2019</t>
        </is>
      </c>
      <c r="B185" s="1" t="n">
        <v>43579</v>
      </c>
      <c r="C185" s="1" t="n">
        <v>45849</v>
      </c>
      <c r="D185" t="inlineStr">
        <is>
          <t>NORRBOTTENS LÄN</t>
        </is>
      </c>
      <c r="E185" t="inlineStr">
        <is>
          <t>BODEN</t>
        </is>
      </c>
      <c r="F185" t="inlineStr">
        <is>
          <t>Sveaskog</t>
        </is>
      </c>
      <c r="G185" t="n">
        <v>10.5</v>
      </c>
      <c r="H185" t="n">
        <v>0</v>
      </c>
      <c r="I185" t="n">
        <v>0</v>
      </c>
      <c r="J185" t="n">
        <v>0</v>
      </c>
      <c r="K185" t="n">
        <v>0</v>
      </c>
      <c r="L185" t="n">
        <v>0</v>
      </c>
      <c r="M185" t="n">
        <v>0</v>
      </c>
      <c r="N185" t="n">
        <v>0</v>
      </c>
      <c r="O185" t="n">
        <v>0</v>
      </c>
      <c r="P185" t="n">
        <v>0</v>
      </c>
      <c r="Q185" t="n">
        <v>0</v>
      </c>
      <c r="R185" s="2" t="inlineStr"/>
    </row>
    <row r="186" ht="15" customHeight="1">
      <c r="A186" t="inlineStr">
        <is>
          <t>A 21953-2019</t>
        </is>
      </c>
      <c r="B186" s="1" t="n">
        <v>43584</v>
      </c>
      <c r="C186" s="1" t="n">
        <v>45849</v>
      </c>
      <c r="D186" t="inlineStr">
        <is>
          <t>NORRBOTTENS LÄN</t>
        </is>
      </c>
      <c r="E186" t="inlineStr">
        <is>
          <t>BODEN</t>
        </is>
      </c>
      <c r="G186" t="n">
        <v>1.2</v>
      </c>
      <c r="H186" t="n">
        <v>0</v>
      </c>
      <c r="I186" t="n">
        <v>0</v>
      </c>
      <c r="J186" t="n">
        <v>0</v>
      </c>
      <c r="K186" t="n">
        <v>0</v>
      </c>
      <c r="L186" t="n">
        <v>0</v>
      </c>
      <c r="M186" t="n">
        <v>0</v>
      </c>
      <c r="N186" t="n">
        <v>0</v>
      </c>
      <c r="O186" t="n">
        <v>0</v>
      </c>
      <c r="P186" t="n">
        <v>0</v>
      </c>
      <c r="Q186" t="n">
        <v>0</v>
      </c>
      <c r="R186" s="2" t="inlineStr"/>
    </row>
    <row r="187" ht="15" customHeight="1">
      <c r="A187" t="inlineStr">
        <is>
          <t>A 22330-2019</t>
        </is>
      </c>
      <c r="B187" s="1" t="n">
        <v>43586</v>
      </c>
      <c r="C187" s="1" t="n">
        <v>45849</v>
      </c>
      <c r="D187" t="inlineStr">
        <is>
          <t>NORRBOTTENS LÄN</t>
        </is>
      </c>
      <c r="E187" t="inlineStr">
        <is>
          <t>BODEN</t>
        </is>
      </c>
      <c r="G187" t="n">
        <v>7.4</v>
      </c>
      <c r="H187" t="n">
        <v>0</v>
      </c>
      <c r="I187" t="n">
        <v>0</v>
      </c>
      <c r="J187" t="n">
        <v>0</v>
      </c>
      <c r="K187" t="n">
        <v>0</v>
      </c>
      <c r="L187" t="n">
        <v>0</v>
      </c>
      <c r="M187" t="n">
        <v>0</v>
      </c>
      <c r="N187" t="n">
        <v>0</v>
      </c>
      <c r="O187" t="n">
        <v>0</v>
      </c>
      <c r="P187" t="n">
        <v>0</v>
      </c>
      <c r="Q187" t="n">
        <v>0</v>
      </c>
      <c r="R187" s="2" t="inlineStr"/>
    </row>
    <row r="188" ht="15" customHeight="1">
      <c r="A188" t="inlineStr">
        <is>
          <t>A 22907-2019</t>
        </is>
      </c>
      <c r="B188" s="1" t="n">
        <v>43591</v>
      </c>
      <c r="C188" s="1" t="n">
        <v>45849</v>
      </c>
      <c r="D188" t="inlineStr">
        <is>
          <t>NORRBOTTENS LÄN</t>
        </is>
      </c>
      <c r="E188" t="inlineStr">
        <is>
          <t>BODEN</t>
        </is>
      </c>
      <c r="F188" t="inlineStr">
        <is>
          <t>Övriga Aktiebolag</t>
        </is>
      </c>
      <c r="G188" t="n">
        <v>4.1</v>
      </c>
      <c r="H188" t="n">
        <v>0</v>
      </c>
      <c r="I188" t="n">
        <v>0</v>
      </c>
      <c r="J188" t="n">
        <v>0</v>
      </c>
      <c r="K188" t="n">
        <v>0</v>
      </c>
      <c r="L188" t="n">
        <v>0</v>
      </c>
      <c r="M188" t="n">
        <v>0</v>
      </c>
      <c r="N188" t="n">
        <v>0</v>
      </c>
      <c r="O188" t="n">
        <v>0</v>
      </c>
      <c r="P188" t="n">
        <v>0</v>
      </c>
      <c r="Q188" t="n">
        <v>0</v>
      </c>
      <c r="R188" s="2" t="inlineStr"/>
    </row>
    <row r="189" ht="15" customHeight="1">
      <c r="A189" t="inlineStr">
        <is>
          <t>A 23082-2019</t>
        </is>
      </c>
      <c r="B189" s="1" t="n">
        <v>43591</v>
      </c>
      <c r="C189" s="1" t="n">
        <v>45849</v>
      </c>
      <c r="D189" t="inlineStr">
        <is>
          <t>NORRBOTTENS LÄN</t>
        </is>
      </c>
      <c r="E189" t="inlineStr">
        <is>
          <t>BODEN</t>
        </is>
      </c>
      <c r="F189" t="inlineStr">
        <is>
          <t>SCA</t>
        </is>
      </c>
      <c r="G189" t="n">
        <v>7.9</v>
      </c>
      <c r="H189" t="n">
        <v>0</v>
      </c>
      <c r="I189" t="n">
        <v>0</v>
      </c>
      <c r="J189" t="n">
        <v>0</v>
      </c>
      <c r="K189" t="n">
        <v>0</v>
      </c>
      <c r="L189" t="n">
        <v>0</v>
      </c>
      <c r="M189" t="n">
        <v>0</v>
      </c>
      <c r="N189" t="n">
        <v>0</v>
      </c>
      <c r="O189" t="n">
        <v>0</v>
      </c>
      <c r="P189" t="n">
        <v>0</v>
      </c>
      <c r="Q189" t="n">
        <v>0</v>
      </c>
      <c r="R189" s="2" t="inlineStr"/>
    </row>
    <row r="190" ht="15" customHeight="1">
      <c r="A190" t="inlineStr">
        <is>
          <t>A 23152-2019</t>
        </is>
      </c>
      <c r="B190" s="1" t="n">
        <v>43591</v>
      </c>
      <c r="C190" s="1" t="n">
        <v>45849</v>
      </c>
      <c r="D190" t="inlineStr">
        <is>
          <t>NORRBOTTENS LÄN</t>
        </is>
      </c>
      <c r="E190" t="inlineStr">
        <is>
          <t>BODEN</t>
        </is>
      </c>
      <c r="G190" t="n">
        <v>53</v>
      </c>
      <c r="H190" t="n">
        <v>0</v>
      </c>
      <c r="I190" t="n">
        <v>0</v>
      </c>
      <c r="J190" t="n">
        <v>0</v>
      </c>
      <c r="K190" t="n">
        <v>0</v>
      </c>
      <c r="L190" t="n">
        <v>0</v>
      </c>
      <c r="M190" t="n">
        <v>0</v>
      </c>
      <c r="N190" t="n">
        <v>0</v>
      </c>
      <c r="O190" t="n">
        <v>0</v>
      </c>
      <c r="P190" t="n">
        <v>0</v>
      </c>
      <c r="Q190" t="n">
        <v>0</v>
      </c>
      <c r="R190" s="2" t="inlineStr"/>
    </row>
    <row r="191" ht="15" customHeight="1">
      <c r="A191" t="inlineStr">
        <is>
          <t>A 23312-2019</t>
        </is>
      </c>
      <c r="B191" s="1" t="n">
        <v>43593</v>
      </c>
      <c r="C191" s="1" t="n">
        <v>45849</v>
      </c>
      <c r="D191" t="inlineStr">
        <is>
          <t>NORRBOTTENS LÄN</t>
        </is>
      </c>
      <c r="E191" t="inlineStr">
        <is>
          <t>BODEN</t>
        </is>
      </c>
      <c r="F191" t="inlineStr">
        <is>
          <t>Övriga Aktiebolag</t>
        </is>
      </c>
      <c r="G191" t="n">
        <v>2.7</v>
      </c>
      <c r="H191" t="n">
        <v>0</v>
      </c>
      <c r="I191" t="n">
        <v>0</v>
      </c>
      <c r="J191" t="n">
        <v>0</v>
      </c>
      <c r="K191" t="n">
        <v>0</v>
      </c>
      <c r="L191" t="n">
        <v>0</v>
      </c>
      <c r="M191" t="n">
        <v>0</v>
      </c>
      <c r="N191" t="n">
        <v>0</v>
      </c>
      <c r="O191" t="n">
        <v>0</v>
      </c>
      <c r="P191" t="n">
        <v>0</v>
      </c>
      <c r="Q191" t="n">
        <v>0</v>
      </c>
      <c r="R191" s="2" t="inlineStr"/>
      <c r="U191">
        <f>HYPERLINK("https://klasma.github.io/Logging_2582/knärot/A 23312-2019 karta knärot.png", "A 23312-2019")</f>
        <v/>
      </c>
      <c r="V191">
        <f>HYPERLINK("https://klasma.github.io/Logging_2582/klagomål/A 23312-2019 FSC-klagomål.docx", "A 23312-2019")</f>
        <v/>
      </c>
      <c r="W191">
        <f>HYPERLINK("https://klasma.github.io/Logging_2582/klagomålsmail/A 23312-2019 FSC-klagomål mail.docx", "A 23312-2019")</f>
        <v/>
      </c>
      <c r="X191">
        <f>HYPERLINK("https://klasma.github.io/Logging_2582/tillsyn/A 23312-2019 tillsynsbegäran.docx", "A 23312-2019")</f>
        <v/>
      </c>
      <c r="Y191">
        <f>HYPERLINK("https://klasma.github.io/Logging_2582/tillsynsmail/A 23312-2019 tillsynsbegäran mail.docx", "A 23312-2019")</f>
        <v/>
      </c>
    </row>
    <row r="192" ht="15" customHeight="1">
      <c r="A192" t="inlineStr">
        <is>
          <t>A 24156-2019</t>
        </is>
      </c>
      <c r="B192" s="1" t="n">
        <v>43598</v>
      </c>
      <c r="C192" s="1" t="n">
        <v>45849</v>
      </c>
      <c r="D192" t="inlineStr">
        <is>
          <t>NORRBOTTENS LÄN</t>
        </is>
      </c>
      <c r="E192" t="inlineStr">
        <is>
          <t>BODEN</t>
        </is>
      </c>
      <c r="G192" t="n">
        <v>8.6</v>
      </c>
      <c r="H192" t="n">
        <v>0</v>
      </c>
      <c r="I192" t="n">
        <v>0</v>
      </c>
      <c r="J192" t="n">
        <v>0</v>
      </c>
      <c r="K192" t="n">
        <v>0</v>
      </c>
      <c r="L192" t="n">
        <v>0</v>
      </c>
      <c r="M192" t="n">
        <v>0</v>
      </c>
      <c r="N192" t="n">
        <v>0</v>
      </c>
      <c r="O192" t="n">
        <v>0</v>
      </c>
      <c r="P192" t="n">
        <v>0</v>
      </c>
      <c r="Q192" t="n">
        <v>0</v>
      </c>
      <c r="R192" s="2" t="inlineStr"/>
    </row>
    <row r="193" ht="15" customHeight="1">
      <c r="A193" t="inlineStr">
        <is>
          <t>A 24564-2019</t>
        </is>
      </c>
      <c r="B193" s="1" t="n">
        <v>43600</v>
      </c>
      <c r="C193" s="1" t="n">
        <v>45849</v>
      </c>
      <c r="D193" t="inlineStr">
        <is>
          <t>NORRBOTTENS LÄN</t>
        </is>
      </c>
      <c r="E193" t="inlineStr">
        <is>
          <t>BODEN</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24837-2019</t>
        </is>
      </c>
      <c r="B194" s="1" t="n">
        <v>43602</v>
      </c>
      <c r="C194" s="1" t="n">
        <v>45849</v>
      </c>
      <c r="D194" t="inlineStr">
        <is>
          <t>NORRBOTTENS LÄN</t>
        </is>
      </c>
      <c r="E194" t="inlineStr">
        <is>
          <t>BODEN</t>
        </is>
      </c>
      <c r="F194" t="inlineStr">
        <is>
          <t>Övriga Aktiebolag</t>
        </is>
      </c>
      <c r="G194" t="n">
        <v>24.6</v>
      </c>
      <c r="H194" t="n">
        <v>0</v>
      </c>
      <c r="I194" t="n">
        <v>0</v>
      </c>
      <c r="J194" t="n">
        <v>0</v>
      </c>
      <c r="K194" t="n">
        <v>0</v>
      </c>
      <c r="L194" t="n">
        <v>0</v>
      </c>
      <c r="M194" t="n">
        <v>0</v>
      </c>
      <c r="N194" t="n">
        <v>0</v>
      </c>
      <c r="O194" t="n">
        <v>0</v>
      </c>
      <c r="P194" t="n">
        <v>0</v>
      </c>
      <c r="Q194" t="n">
        <v>0</v>
      </c>
      <c r="R194" s="2" t="inlineStr"/>
    </row>
    <row r="195" ht="15" customHeight="1">
      <c r="A195" t="inlineStr">
        <is>
          <t>A 24838-2019</t>
        </is>
      </c>
      <c r="B195" s="1" t="n">
        <v>43602</v>
      </c>
      <c r="C195" s="1" t="n">
        <v>45849</v>
      </c>
      <c r="D195" t="inlineStr">
        <is>
          <t>NORRBOTTENS LÄN</t>
        </is>
      </c>
      <c r="E195" t="inlineStr">
        <is>
          <t>BODEN</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26137-2019</t>
        </is>
      </c>
      <c r="B196" s="1" t="n">
        <v>43609</v>
      </c>
      <c r="C196" s="1" t="n">
        <v>45849</v>
      </c>
      <c r="D196" t="inlineStr">
        <is>
          <t>NORRBOTTENS LÄN</t>
        </is>
      </c>
      <c r="E196" t="inlineStr">
        <is>
          <t>BODEN</t>
        </is>
      </c>
      <c r="G196" t="n">
        <v>3.9</v>
      </c>
      <c r="H196" t="n">
        <v>0</v>
      </c>
      <c r="I196" t="n">
        <v>0</v>
      </c>
      <c r="J196" t="n">
        <v>0</v>
      </c>
      <c r="K196" t="n">
        <v>0</v>
      </c>
      <c r="L196" t="n">
        <v>0</v>
      </c>
      <c r="M196" t="n">
        <v>0</v>
      </c>
      <c r="N196" t="n">
        <v>0</v>
      </c>
      <c r="O196" t="n">
        <v>0</v>
      </c>
      <c r="P196" t="n">
        <v>0</v>
      </c>
      <c r="Q196" t="n">
        <v>0</v>
      </c>
      <c r="R196" s="2" t="inlineStr"/>
    </row>
    <row r="197" ht="15" customHeight="1">
      <c r="A197" t="inlineStr">
        <is>
          <t>A 26139-2019</t>
        </is>
      </c>
      <c r="B197" s="1" t="n">
        <v>43609</v>
      </c>
      <c r="C197" s="1" t="n">
        <v>45849</v>
      </c>
      <c r="D197" t="inlineStr">
        <is>
          <t>NORRBOTTENS LÄN</t>
        </is>
      </c>
      <c r="E197" t="inlineStr">
        <is>
          <t>BODEN</t>
        </is>
      </c>
      <c r="G197" t="n">
        <v>5.1</v>
      </c>
      <c r="H197" t="n">
        <v>0</v>
      </c>
      <c r="I197" t="n">
        <v>0</v>
      </c>
      <c r="J197" t="n">
        <v>0</v>
      </c>
      <c r="K197" t="n">
        <v>0</v>
      </c>
      <c r="L197" t="n">
        <v>0</v>
      </c>
      <c r="M197" t="n">
        <v>0</v>
      </c>
      <c r="N197" t="n">
        <v>0</v>
      </c>
      <c r="O197" t="n">
        <v>0</v>
      </c>
      <c r="P197" t="n">
        <v>0</v>
      </c>
      <c r="Q197" t="n">
        <v>0</v>
      </c>
      <c r="R197" s="2" t="inlineStr"/>
    </row>
    <row r="198" ht="15" customHeight="1">
      <c r="A198" t="inlineStr">
        <is>
          <t>A 26209-2019</t>
        </is>
      </c>
      <c r="B198" s="1" t="n">
        <v>43609</v>
      </c>
      <c r="C198" s="1" t="n">
        <v>45849</v>
      </c>
      <c r="D198" t="inlineStr">
        <is>
          <t>NORRBOTTENS LÄN</t>
        </is>
      </c>
      <c r="E198" t="inlineStr">
        <is>
          <t>BODEN</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28698-2019</t>
        </is>
      </c>
      <c r="B199" s="1" t="n">
        <v>43614</v>
      </c>
      <c r="C199" s="1" t="n">
        <v>45849</v>
      </c>
      <c r="D199" t="inlineStr">
        <is>
          <t>NORRBOTTENS LÄN</t>
        </is>
      </c>
      <c r="E199" t="inlineStr">
        <is>
          <t>BODEN</t>
        </is>
      </c>
      <c r="G199" t="n">
        <v>2.3</v>
      </c>
      <c r="H199" t="n">
        <v>0</v>
      </c>
      <c r="I199" t="n">
        <v>0</v>
      </c>
      <c r="J199" t="n">
        <v>0</v>
      </c>
      <c r="K199" t="n">
        <v>0</v>
      </c>
      <c r="L199" t="n">
        <v>0</v>
      </c>
      <c r="M199" t="n">
        <v>0</v>
      </c>
      <c r="N199" t="n">
        <v>0</v>
      </c>
      <c r="O199" t="n">
        <v>0</v>
      </c>
      <c r="P199" t="n">
        <v>0</v>
      </c>
      <c r="Q199" t="n">
        <v>0</v>
      </c>
      <c r="R199" s="2" t="inlineStr"/>
    </row>
    <row r="200" ht="15" customHeight="1">
      <c r="A200" t="inlineStr">
        <is>
          <t>A 27389-2019</t>
        </is>
      </c>
      <c r="B200" s="1" t="n">
        <v>43616</v>
      </c>
      <c r="C200" s="1" t="n">
        <v>45849</v>
      </c>
      <c r="D200" t="inlineStr">
        <is>
          <t>NORRBOTTENS LÄN</t>
        </is>
      </c>
      <c r="E200" t="inlineStr">
        <is>
          <t>BODEN</t>
        </is>
      </c>
      <c r="G200" t="n">
        <v>0.4</v>
      </c>
      <c r="H200" t="n">
        <v>0</v>
      </c>
      <c r="I200" t="n">
        <v>0</v>
      </c>
      <c r="J200" t="n">
        <v>0</v>
      </c>
      <c r="K200" t="n">
        <v>0</v>
      </c>
      <c r="L200" t="n">
        <v>0</v>
      </c>
      <c r="M200" t="n">
        <v>0</v>
      </c>
      <c r="N200" t="n">
        <v>0</v>
      </c>
      <c r="O200" t="n">
        <v>0</v>
      </c>
      <c r="P200" t="n">
        <v>0</v>
      </c>
      <c r="Q200" t="n">
        <v>0</v>
      </c>
      <c r="R200" s="2" t="inlineStr"/>
    </row>
    <row r="201" ht="15" customHeight="1">
      <c r="A201" t="inlineStr">
        <is>
          <t>A 28881-2019</t>
        </is>
      </c>
      <c r="B201" s="1" t="n">
        <v>43616</v>
      </c>
      <c r="C201" s="1" t="n">
        <v>45849</v>
      </c>
      <c r="D201" t="inlineStr">
        <is>
          <t>NORRBOTTENS LÄN</t>
        </is>
      </c>
      <c r="E201" t="inlineStr">
        <is>
          <t>BODEN</t>
        </is>
      </c>
      <c r="G201" t="n">
        <v>6.7</v>
      </c>
      <c r="H201" t="n">
        <v>0</v>
      </c>
      <c r="I201" t="n">
        <v>0</v>
      </c>
      <c r="J201" t="n">
        <v>0</v>
      </c>
      <c r="K201" t="n">
        <v>0</v>
      </c>
      <c r="L201" t="n">
        <v>0</v>
      </c>
      <c r="M201" t="n">
        <v>0</v>
      </c>
      <c r="N201" t="n">
        <v>0</v>
      </c>
      <c r="O201" t="n">
        <v>0</v>
      </c>
      <c r="P201" t="n">
        <v>0</v>
      </c>
      <c r="Q201" t="n">
        <v>0</v>
      </c>
      <c r="R201" s="2" t="inlineStr"/>
    </row>
    <row r="202" ht="15" customHeight="1">
      <c r="A202" t="inlineStr">
        <is>
          <t>A 28886-2019</t>
        </is>
      </c>
      <c r="B202" s="1" t="n">
        <v>43616</v>
      </c>
      <c r="C202" s="1" t="n">
        <v>45849</v>
      </c>
      <c r="D202" t="inlineStr">
        <is>
          <t>NORRBOTTENS LÄN</t>
        </is>
      </c>
      <c r="E202" t="inlineStr">
        <is>
          <t>BODEN</t>
        </is>
      </c>
      <c r="G202" t="n">
        <v>2.5</v>
      </c>
      <c r="H202" t="n">
        <v>0</v>
      </c>
      <c r="I202" t="n">
        <v>0</v>
      </c>
      <c r="J202" t="n">
        <v>0</v>
      </c>
      <c r="K202" t="n">
        <v>0</v>
      </c>
      <c r="L202" t="n">
        <v>0</v>
      </c>
      <c r="M202" t="n">
        <v>0</v>
      </c>
      <c r="N202" t="n">
        <v>0</v>
      </c>
      <c r="O202" t="n">
        <v>0</v>
      </c>
      <c r="P202" t="n">
        <v>0</v>
      </c>
      <c r="Q202" t="n">
        <v>0</v>
      </c>
      <c r="R202" s="2" t="inlineStr"/>
    </row>
    <row r="203" ht="15" customHeight="1">
      <c r="A203" t="inlineStr">
        <is>
          <t>A 28223-2019</t>
        </is>
      </c>
      <c r="B203" s="1" t="n">
        <v>43621</v>
      </c>
      <c r="C203" s="1" t="n">
        <v>45849</v>
      </c>
      <c r="D203" t="inlineStr">
        <is>
          <t>NORRBOTTENS LÄN</t>
        </is>
      </c>
      <c r="E203" t="inlineStr">
        <is>
          <t>BODEN</t>
        </is>
      </c>
      <c r="F203" t="inlineStr">
        <is>
          <t>SCA</t>
        </is>
      </c>
      <c r="G203" t="n">
        <v>38.1</v>
      </c>
      <c r="H203" t="n">
        <v>0</v>
      </c>
      <c r="I203" t="n">
        <v>0</v>
      </c>
      <c r="J203" t="n">
        <v>0</v>
      </c>
      <c r="K203" t="n">
        <v>0</v>
      </c>
      <c r="L203" t="n">
        <v>0</v>
      </c>
      <c r="M203" t="n">
        <v>0</v>
      </c>
      <c r="N203" t="n">
        <v>0</v>
      </c>
      <c r="O203" t="n">
        <v>0</v>
      </c>
      <c r="P203" t="n">
        <v>0</v>
      </c>
      <c r="Q203" t="n">
        <v>0</v>
      </c>
      <c r="R203" s="2" t="inlineStr"/>
      <c r="U203">
        <f>HYPERLINK("https://klasma.github.io/Logging_2582/knärot/A 28223-2019 karta knärot.png", "A 28223-2019")</f>
        <v/>
      </c>
      <c r="V203">
        <f>HYPERLINK("https://klasma.github.io/Logging_2582/klagomål/A 28223-2019 FSC-klagomål.docx", "A 28223-2019")</f>
        <v/>
      </c>
      <c r="W203">
        <f>HYPERLINK("https://klasma.github.io/Logging_2582/klagomålsmail/A 28223-2019 FSC-klagomål mail.docx", "A 28223-2019")</f>
        <v/>
      </c>
      <c r="X203">
        <f>HYPERLINK("https://klasma.github.io/Logging_2582/tillsyn/A 28223-2019 tillsynsbegäran.docx", "A 28223-2019")</f>
        <v/>
      </c>
      <c r="Y203">
        <f>HYPERLINK("https://klasma.github.io/Logging_2582/tillsynsmail/A 28223-2019 tillsynsbegäran mail.docx", "A 28223-2019")</f>
        <v/>
      </c>
    </row>
    <row r="204" ht="15" customHeight="1">
      <c r="A204" t="inlineStr">
        <is>
          <t>A 28224-2019</t>
        </is>
      </c>
      <c r="B204" s="1" t="n">
        <v>43621</v>
      </c>
      <c r="C204" s="1" t="n">
        <v>45849</v>
      </c>
      <c r="D204" t="inlineStr">
        <is>
          <t>NORRBOTTENS LÄN</t>
        </is>
      </c>
      <c r="E204" t="inlineStr">
        <is>
          <t>BODEN</t>
        </is>
      </c>
      <c r="F204" t="inlineStr">
        <is>
          <t>SCA</t>
        </is>
      </c>
      <c r="G204" t="n">
        <v>42.7</v>
      </c>
      <c r="H204" t="n">
        <v>0</v>
      </c>
      <c r="I204" t="n">
        <v>0</v>
      </c>
      <c r="J204" t="n">
        <v>0</v>
      </c>
      <c r="K204" t="n">
        <v>0</v>
      </c>
      <c r="L204" t="n">
        <v>0</v>
      </c>
      <c r="M204" t="n">
        <v>0</v>
      </c>
      <c r="N204" t="n">
        <v>0</v>
      </c>
      <c r="O204" t="n">
        <v>0</v>
      </c>
      <c r="P204" t="n">
        <v>0</v>
      </c>
      <c r="Q204" t="n">
        <v>0</v>
      </c>
      <c r="R204" s="2" t="inlineStr"/>
    </row>
    <row r="205" ht="15" customHeight="1">
      <c r="A205" t="inlineStr">
        <is>
          <t>A 28632-2019</t>
        </is>
      </c>
      <c r="B205" s="1" t="n">
        <v>43621</v>
      </c>
      <c r="C205" s="1" t="n">
        <v>45849</v>
      </c>
      <c r="D205" t="inlineStr">
        <is>
          <t>NORRBOTTENS LÄN</t>
        </is>
      </c>
      <c r="E205" t="inlineStr">
        <is>
          <t>BODEN</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28827-2019</t>
        </is>
      </c>
      <c r="B206" s="1" t="n">
        <v>43627</v>
      </c>
      <c r="C206" s="1" t="n">
        <v>45849</v>
      </c>
      <c r="D206" t="inlineStr">
        <is>
          <t>NORRBOTTENS LÄN</t>
        </is>
      </c>
      <c r="E206" t="inlineStr">
        <is>
          <t>BODEN</t>
        </is>
      </c>
      <c r="F206" t="inlineStr">
        <is>
          <t>Sveaskog</t>
        </is>
      </c>
      <c r="G206" t="n">
        <v>12.5</v>
      </c>
      <c r="H206" t="n">
        <v>0</v>
      </c>
      <c r="I206" t="n">
        <v>0</v>
      </c>
      <c r="J206" t="n">
        <v>0</v>
      </c>
      <c r="K206" t="n">
        <v>0</v>
      </c>
      <c r="L206" t="n">
        <v>0</v>
      </c>
      <c r="M206" t="n">
        <v>0</v>
      </c>
      <c r="N206" t="n">
        <v>0</v>
      </c>
      <c r="O206" t="n">
        <v>0</v>
      </c>
      <c r="P206" t="n">
        <v>0</v>
      </c>
      <c r="Q206" t="n">
        <v>0</v>
      </c>
      <c r="R206" s="2" t="inlineStr"/>
    </row>
    <row r="207" ht="15" customHeight="1">
      <c r="A207" t="inlineStr">
        <is>
          <t>A 29606-2019</t>
        </is>
      </c>
      <c r="B207" s="1" t="n">
        <v>43628</v>
      </c>
      <c r="C207" s="1" t="n">
        <v>45849</v>
      </c>
      <c r="D207" t="inlineStr">
        <is>
          <t>NORRBOTTENS LÄN</t>
        </is>
      </c>
      <c r="E207" t="inlineStr">
        <is>
          <t>BODEN</t>
        </is>
      </c>
      <c r="G207" t="n">
        <v>0.6</v>
      </c>
      <c r="H207" t="n">
        <v>0</v>
      </c>
      <c r="I207" t="n">
        <v>0</v>
      </c>
      <c r="J207" t="n">
        <v>0</v>
      </c>
      <c r="K207" t="n">
        <v>0</v>
      </c>
      <c r="L207" t="n">
        <v>0</v>
      </c>
      <c r="M207" t="n">
        <v>0</v>
      </c>
      <c r="N207" t="n">
        <v>0</v>
      </c>
      <c r="O207" t="n">
        <v>0</v>
      </c>
      <c r="P207" t="n">
        <v>0</v>
      </c>
      <c r="Q207" t="n">
        <v>0</v>
      </c>
      <c r="R207" s="2" t="inlineStr"/>
    </row>
    <row r="208" ht="15" customHeight="1">
      <c r="A208" t="inlineStr">
        <is>
          <t>A 29600-2019</t>
        </is>
      </c>
      <c r="B208" s="1" t="n">
        <v>43628</v>
      </c>
      <c r="C208" s="1" t="n">
        <v>45849</v>
      </c>
      <c r="D208" t="inlineStr">
        <is>
          <t>NORRBOTTENS LÄN</t>
        </is>
      </c>
      <c r="E208" t="inlineStr">
        <is>
          <t>BODEN</t>
        </is>
      </c>
      <c r="G208" t="n">
        <v>6.3</v>
      </c>
      <c r="H208" t="n">
        <v>0</v>
      </c>
      <c r="I208" t="n">
        <v>0</v>
      </c>
      <c r="J208" t="n">
        <v>0</v>
      </c>
      <c r="K208" t="n">
        <v>0</v>
      </c>
      <c r="L208" t="n">
        <v>0</v>
      </c>
      <c r="M208" t="n">
        <v>0</v>
      </c>
      <c r="N208" t="n">
        <v>0</v>
      </c>
      <c r="O208" t="n">
        <v>0</v>
      </c>
      <c r="P208" t="n">
        <v>0</v>
      </c>
      <c r="Q208" t="n">
        <v>0</v>
      </c>
      <c r="R208" s="2" t="inlineStr"/>
    </row>
    <row r="209" ht="15" customHeight="1">
      <c r="A209" t="inlineStr">
        <is>
          <t>A 29586-2019</t>
        </is>
      </c>
      <c r="B209" s="1" t="n">
        <v>43630</v>
      </c>
      <c r="C209" s="1" t="n">
        <v>45849</v>
      </c>
      <c r="D209" t="inlineStr">
        <is>
          <t>NORRBOTTENS LÄN</t>
        </is>
      </c>
      <c r="E209" t="inlineStr">
        <is>
          <t>BODEN</t>
        </is>
      </c>
      <c r="F209" t="inlineStr">
        <is>
          <t>Sveaskog</t>
        </is>
      </c>
      <c r="G209" t="n">
        <v>18.6</v>
      </c>
      <c r="H209" t="n">
        <v>0</v>
      </c>
      <c r="I209" t="n">
        <v>0</v>
      </c>
      <c r="J209" t="n">
        <v>0</v>
      </c>
      <c r="K209" t="n">
        <v>0</v>
      </c>
      <c r="L209" t="n">
        <v>0</v>
      </c>
      <c r="M209" t="n">
        <v>0</v>
      </c>
      <c r="N209" t="n">
        <v>0</v>
      </c>
      <c r="O209" t="n">
        <v>0</v>
      </c>
      <c r="P209" t="n">
        <v>0</v>
      </c>
      <c r="Q209" t="n">
        <v>0</v>
      </c>
      <c r="R209" s="2" t="inlineStr"/>
    </row>
    <row r="210" ht="15" customHeight="1">
      <c r="A210" t="inlineStr">
        <is>
          <t>A 30736-2019</t>
        </is>
      </c>
      <c r="B210" s="1" t="n">
        <v>43636</v>
      </c>
      <c r="C210" s="1" t="n">
        <v>45849</v>
      </c>
      <c r="D210" t="inlineStr">
        <is>
          <t>NORRBOTTENS LÄN</t>
        </is>
      </c>
      <c r="E210" t="inlineStr">
        <is>
          <t>BODEN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30794-2019</t>
        </is>
      </c>
      <c r="B211" s="1" t="n">
        <v>43636</v>
      </c>
      <c r="C211" s="1" t="n">
        <v>45849</v>
      </c>
      <c r="D211" t="inlineStr">
        <is>
          <t>NORRBOTTENS LÄN</t>
        </is>
      </c>
      <c r="E211" t="inlineStr">
        <is>
          <t>BODEN</t>
        </is>
      </c>
      <c r="G211" t="n">
        <v>16.6</v>
      </c>
      <c r="H211" t="n">
        <v>0</v>
      </c>
      <c r="I211" t="n">
        <v>0</v>
      </c>
      <c r="J211" t="n">
        <v>0</v>
      </c>
      <c r="K211" t="n">
        <v>0</v>
      </c>
      <c r="L211" t="n">
        <v>0</v>
      </c>
      <c r="M211" t="n">
        <v>0</v>
      </c>
      <c r="N211" t="n">
        <v>0</v>
      </c>
      <c r="O211" t="n">
        <v>0</v>
      </c>
      <c r="P211" t="n">
        <v>0</v>
      </c>
      <c r="Q211" t="n">
        <v>0</v>
      </c>
      <c r="R211" s="2" t="inlineStr"/>
    </row>
    <row r="212" ht="15" customHeight="1">
      <c r="A212" t="inlineStr">
        <is>
          <t>A 30801-2019</t>
        </is>
      </c>
      <c r="B212" s="1" t="n">
        <v>43636</v>
      </c>
      <c r="C212" s="1" t="n">
        <v>45849</v>
      </c>
      <c r="D212" t="inlineStr">
        <is>
          <t>NORRBOTTENS LÄN</t>
        </is>
      </c>
      <c r="E212" t="inlineStr">
        <is>
          <t>BODEN</t>
        </is>
      </c>
      <c r="G212" t="n">
        <v>14.4</v>
      </c>
      <c r="H212" t="n">
        <v>0</v>
      </c>
      <c r="I212" t="n">
        <v>0</v>
      </c>
      <c r="J212" t="n">
        <v>0</v>
      </c>
      <c r="K212" t="n">
        <v>0</v>
      </c>
      <c r="L212" t="n">
        <v>0</v>
      </c>
      <c r="M212" t="n">
        <v>0</v>
      </c>
      <c r="N212" t="n">
        <v>0</v>
      </c>
      <c r="O212" t="n">
        <v>0</v>
      </c>
      <c r="P212" t="n">
        <v>0</v>
      </c>
      <c r="Q212" t="n">
        <v>0</v>
      </c>
      <c r="R212" s="2" t="inlineStr"/>
    </row>
    <row r="213" ht="15" customHeight="1">
      <c r="A213" t="inlineStr">
        <is>
          <t>A 30957-2019</t>
        </is>
      </c>
      <c r="B213" s="1" t="n">
        <v>43639</v>
      </c>
      <c r="C213" s="1" t="n">
        <v>45849</v>
      </c>
      <c r="D213" t="inlineStr">
        <is>
          <t>NORRBOTTENS LÄN</t>
        </is>
      </c>
      <c r="E213" t="inlineStr">
        <is>
          <t>BODEN</t>
        </is>
      </c>
      <c r="G213" t="n">
        <v>7.5</v>
      </c>
      <c r="H213" t="n">
        <v>0</v>
      </c>
      <c r="I213" t="n">
        <v>0</v>
      </c>
      <c r="J213" t="n">
        <v>0</v>
      </c>
      <c r="K213" t="n">
        <v>0</v>
      </c>
      <c r="L213" t="n">
        <v>0</v>
      </c>
      <c r="M213" t="n">
        <v>0</v>
      </c>
      <c r="N213" t="n">
        <v>0</v>
      </c>
      <c r="O213" t="n">
        <v>0</v>
      </c>
      <c r="P213" t="n">
        <v>0</v>
      </c>
      <c r="Q213" t="n">
        <v>0</v>
      </c>
      <c r="R213" s="2" t="inlineStr"/>
    </row>
    <row r="214" ht="15" customHeight="1">
      <c r="A214" t="inlineStr">
        <is>
          <t>A 31295-2019</t>
        </is>
      </c>
      <c r="B214" s="1" t="n">
        <v>43640</v>
      </c>
      <c r="C214" s="1" t="n">
        <v>45849</v>
      </c>
      <c r="D214" t="inlineStr">
        <is>
          <t>NORRBOTTENS LÄN</t>
        </is>
      </c>
      <c r="E214" t="inlineStr">
        <is>
          <t>BODEN</t>
        </is>
      </c>
      <c r="G214" t="n">
        <v>0.9</v>
      </c>
      <c r="H214" t="n">
        <v>0</v>
      </c>
      <c r="I214" t="n">
        <v>0</v>
      </c>
      <c r="J214" t="n">
        <v>0</v>
      </c>
      <c r="K214" t="n">
        <v>0</v>
      </c>
      <c r="L214" t="n">
        <v>0</v>
      </c>
      <c r="M214" t="n">
        <v>0</v>
      </c>
      <c r="N214" t="n">
        <v>0</v>
      </c>
      <c r="O214" t="n">
        <v>0</v>
      </c>
      <c r="P214" t="n">
        <v>0</v>
      </c>
      <c r="Q214" t="n">
        <v>0</v>
      </c>
      <c r="R214" s="2" t="inlineStr"/>
    </row>
    <row r="215" ht="15" customHeight="1">
      <c r="A215" t="inlineStr">
        <is>
          <t>A 31864-2019</t>
        </is>
      </c>
      <c r="B215" s="1" t="n">
        <v>43641</v>
      </c>
      <c r="C215" s="1" t="n">
        <v>45849</v>
      </c>
      <c r="D215" t="inlineStr">
        <is>
          <t>NORRBOTTENS LÄN</t>
        </is>
      </c>
      <c r="E215" t="inlineStr">
        <is>
          <t>BODEN</t>
        </is>
      </c>
      <c r="G215" t="n">
        <v>12.4</v>
      </c>
      <c r="H215" t="n">
        <v>0</v>
      </c>
      <c r="I215" t="n">
        <v>0</v>
      </c>
      <c r="J215" t="n">
        <v>0</v>
      </c>
      <c r="K215" t="n">
        <v>0</v>
      </c>
      <c r="L215" t="n">
        <v>0</v>
      </c>
      <c r="M215" t="n">
        <v>0</v>
      </c>
      <c r="N215" t="n">
        <v>0</v>
      </c>
      <c r="O215" t="n">
        <v>0</v>
      </c>
      <c r="P215" t="n">
        <v>0</v>
      </c>
      <c r="Q215" t="n">
        <v>0</v>
      </c>
      <c r="R215" s="2" t="inlineStr"/>
    </row>
    <row r="216" ht="15" customHeight="1">
      <c r="A216" t="inlineStr">
        <is>
          <t>A 32161-2019</t>
        </is>
      </c>
      <c r="B216" s="1" t="n">
        <v>43643</v>
      </c>
      <c r="C216" s="1" t="n">
        <v>45849</v>
      </c>
      <c r="D216" t="inlineStr">
        <is>
          <t>NORRBOTTENS LÄN</t>
        </is>
      </c>
      <c r="E216" t="inlineStr">
        <is>
          <t>BODEN</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33707-2019</t>
        </is>
      </c>
      <c r="B217" s="1" t="n">
        <v>43644</v>
      </c>
      <c r="C217" s="1" t="n">
        <v>45849</v>
      </c>
      <c r="D217" t="inlineStr">
        <is>
          <t>NORRBOTTENS LÄN</t>
        </is>
      </c>
      <c r="E217" t="inlineStr">
        <is>
          <t>BODEN</t>
        </is>
      </c>
      <c r="F217" t="inlineStr">
        <is>
          <t>Kommuner</t>
        </is>
      </c>
      <c r="G217" t="n">
        <v>21.2</v>
      </c>
      <c r="H217" t="n">
        <v>0</v>
      </c>
      <c r="I217" t="n">
        <v>0</v>
      </c>
      <c r="J217" t="n">
        <v>0</v>
      </c>
      <c r="K217" t="n">
        <v>0</v>
      </c>
      <c r="L217" t="n">
        <v>0</v>
      </c>
      <c r="M217" t="n">
        <v>0</v>
      </c>
      <c r="N217" t="n">
        <v>0</v>
      </c>
      <c r="O217" t="n">
        <v>0</v>
      </c>
      <c r="P217" t="n">
        <v>0</v>
      </c>
      <c r="Q217" t="n">
        <v>0</v>
      </c>
      <c r="R217" s="2" t="inlineStr"/>
    </row>
    <row r="218" ht="15" customHeight="1">
      <c r="A218" t="inlineStr">
        <is>
          <t>A 34375-2019</t>
        </is>
      </c>
      <c r="B218" s="1" t="n">
        <v>43647</v>
      </c>
      <c r="C218" s="1" t="n">
        <v>45849</v>
      </c>
      <c r="D218" t="inlineStr">
        <is>
          <t>NORRBOTTENS LÄN</t>
        </is>
      </c>
      <c r="E218" t="inlineStr">
        <is>
          <t>BODEN</t>
        </is>
      </c>
      <c r="G218" t="n">
        <v>0.2</v>
      </c>
      <c r="H218" t="n">
        <v>0</v>
      </c>
      <c r="I218" t="n">
        <v>0</v>
      </c>
      <c r="J218" t="n">
        <v>0</v>
      </c>
      <c r="K218" t="n">
        <v>0</v>
      </c>
      <c r="L218" t="n">
        <v>0</v>
      </c>
      <c r="M218" t="n">
        <v>0</v>
      </c>
      <c r="N218" t="n">
        <v>0</v>
      </c>
      <c r="O218" t="n">
        <v>0</v>
      </c>
      <c r="P218" t="n">
        <v>0</v>
      </c>
      <c r="Q218" t="n">
        <v>0</v>
      </c>
      <c r="R218" s="2" t="inlineStr"/>
    </row>
    <row r="219" ht="15" customHeight="1">
      <c r="A219" t="inlineStr">
        <is>
          <t>A 33447-2019</t>
        </is>
      </c>
      <c r="B219" s="1" t="n">
        <v>43650</v>
      </c>
      <c r="C219" s="1" t="n">
        <v>45849</v>
      </c>
      <c r="D219" t="inlineStr">
        <is>
          <t>NORRBOTTENS LÄN</t>
        </is>
      </c>
      <c r="E219" t="inlineStr">
        <is>
          <t>BODEN</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33278-2019</t>
        </is>
      </c>
      <c r="B220" s="1" t="n">
        <v>43650</v>
      </c>
      <c r="C220" s="1" t="n">
        <v>45849</v>
      </c>
      <c r="D220" t="inlineStr">
        <is>
          <t>NORRBOTTENS LÄN</t>
        </is>
      </c>
      <c r="E220" t="inlineStr">
        <is>
          <t>BODEN</t>
        </is>
      </c>
      <c r="G220" t="n">
        <v>2.8</v>
      </c>
      <c r="H220" t="n">
        <v>0</v>
      </c>
      <c r="I220" t="n">
        <v>0</v>
      </c>
      <c r="J220" t="n">
        <v>0</v>
      </c>
      <c r="K220" t="n">
        <v>0</v>
      </c>
      <c r="L220" t="n">
        <v>0</v>
      </c>
      <c r="M220" t="n">
        <v>0</v>
      </c>
      <c r="N220" t="n">
        <v>0</v>
      </c>
      <c r="O220" t="n">
        <v>0</v>
      </c>
      <c r="P220" t="n">
        <v>0</v>
      </c>
      <c r="Q220" t="n">
        <v>0</v>
      </c>
      <c r="R220" s="2" t="inlineStr"/>
    </row>
    <row r="221" ht="15" customHeight="1">
      <c r="A221" t="inlineStr">
        <is>
          <t>A 34015-2019</t>
        </is>
      </c>
      <c r="B221" s="1" t="n">
        <v>43654</v>
      </c>
      <c r="C221" s="1" t="n">
        <v>45849</v>
      </c>
      <c r="D221" t="inlineStr">
        <is>
          <t>NORRBOTTENS LÄN</t>
        </is>
      </c>
      <c r="E221" t="inlineStr">
        <is>
          <t>BODEN</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34264-2019</t>
        </is>
      </c>
      <c r="B222" s="1" t="n">
        <v>43655</v>
      </c>
      <c r="C222" s="1" t="n">
        <v>45849</v>
      </c>
      <c r="D222" t="inlineStr">
        <is>
          <t>NORRBOTTENS LÄN</t>
        </is>
      </c>
      <c r="E222" t="inlineStr">
        <is>
          <t>BODEN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36050-2019</t>
        </is>
      </c>
      <c r="B223" s="1" t="n">
        <v>43657</v>
      </c>
      <c r="C223" s="1" t="n">
        <v>45849</v>
      </c>
      <c r="D223" t="inlineStr">
        <is>
          <t>NORRBOTTENS LÄN</t>
        </is>
      </c>
      <c r="E223" t="inlineStr">
        <is>
          <t>BODEN</t>
        </is>
      </c>
      <c r="G223" t="n">
        <v>32.3</v>
      </c>
      <c r="H223" t="n">
        <v>0</v>
      </c>
      <c r="I223" t="n">
        <v>0</v>
      </c>
      <c r="J223" t="n">
        <v>0</v>
      </c>
      <c r="K223" t="n">
        <v>0</v>
      </c>
      <c r="L223" t="n">
        <v>0</v>
      </c>
      <c r="M223" t="n">
        <v>0</v>
      </c>
      <c r="N223" t="n">
        <v>0</v>
      </c>
      <c r="O223" t="n">
        <v>0</v>
      </c>
      <c r="P223" t="n">
        <v>0</v>
      </c>
      <c r="Q223" t="n">
        <v>0</v>
      </c>
      <c r="R223" s="2" t="inlineStr"/>
    </row>
    <row r="224" ht="15" customHeight="1">
      <c r="A224" t="inlineStr">
        <is>
          <t>A 36052-2019</t>
        </is>
      </c>
      <c r="B224" s="1" t="n">
        <v>43657</v>
      </c>
      <c r="C224" s="1" t="n">
        <v>45849</v>
      </c>
      <c r="D224" t="inlineStr">
        <is>
          <t>NORRBOTTENS LÄN</t>
        </is>
      </c>
      <c r="E224" t="inlineStr">
        <is>
          <t>BODEN</t>
        </is>
      </c>
      <c r="G224" t="n">
        <v>0.9</v>
      </c>
      <c r="H224" t="n">
        <v>0</v>
      </c>
      <c r="I224" t="n">
        <v>0</v>
      </c>
      <c r="J224" t="n">
        <v>0</v>
      </c>
      <c r="K224" t="n">
        <v>0</v>
      </c>
      <c r="L224" t="n">
        <v>0</v>
      </c>
      <c r="M224" t="n">
        <v>0</v>
      </c>
      <c r="N224" t="n">
        <v>0</v>
      </c>
      <c r="O224" t="n">
        <v>0</v>
      </c>
      <c r="P224" t="n">
        <v>0</v>
      </c>
      <c r="Q224" t="n">
        <v>0</v>
      </c>
      <c r="R224" s="2" t="inlineStr"/>
    </row>
    <row r="225" ht="15" customHeight="1">
      <c r="A225" t="inlineStr">
        <is>
          <t>A 35103-2019</t>
        </is>
      </c>
      <c r="B225" s="1" t="n">
        <v>43661</v>
      </c>
      <c r="C225" s="1" t="n">
        <v>45849</v>
      </c>
      <c r="D225" t="inlineStr">
        <is>
          <t>NORRBOTTENS LÄN</t>
        </is>
      </c>
      <c r="E225" t="inlineStr">
        <is>
          <t>BODEN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35100-2019</t>
        </is>
      </c>
      <c r="B226" s="1" t="n">
        <v>43661</v>
      </c>
      <c r="C226" s="1" t="n">
        <v>45849</v>
      </c>
      <c r="D226" t="inlineStr">
        <is>
          <t>NORRBOTTENS LÄN</t>
        </is>
      </c>
      <c r="E226" t="inlineStr">
        <is>
          <t>BODEN</t>
        </is>
      </c>
      <c r="F226" t="inlineStr">
        <is>
          <t>Sveaskog</t>
        </is>
      </c>
      <c r="G226" t="n">
        <v>4</v>
      </c>
      <c r="H226" t="n">
        <v>0</v>
      </c>
      <c r="I226" t="n">
        <v>0</v>
      </c>
      <c r="J226" t="n">
        <v>0</v>
      </c>
      <c r="K226" t="n">
        <v>0</v>
      </c>
      <c r="L226" t="n">
        <v>0</v>
      </c>
      <c r="M226" t="n">
        <v>0</v>
      </c>
      <c r="N226" t="n">
        <v>0</v>
      </c>
      <c r="O226" t="n">
        <v>0</v>
      </c>
      <c r="P226" t="n">
        <v>0</v>
      </c>
      <c r="Q226" t="n">
        <v>0</v>
      </c>
      <c r="R226" s="2" t="inlineStr"/>
    </row>
    <row r="227" ht="15" customHeight="1">
      <c r="A227" t="inlineStr">
        <is>
          <t>A 35336-2019</t>
        </is>
      </c>
      <c r="B227" s="1" t="n">
        <v>43663</v>
      </c>
      <c r="C227" s="1" t="n">
        <v>45849</v>
      </c>
      <c r="D227" t="inlineStr">
        <is>
          <t>NORRBOTTENS LÄN</t>
        </is>
      </c>
      <c r="E227" t="inlineStr">
        <is>
          <t>BODEN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35338-2019</t>
        </is>
      </c>
      <c r="B228" s="1" t="n">
        <v>43663</v>
      </c>
      <c r="C228" s="1" t="n">
        <v>45849</v>
      </c>
      <c r="D228" t="inlineStr">
        <is>
          <t>NORRBOTTENS LÄN</t>
        </is>
      </c>
      <c r="E228" t="inlineStr">
        <is>
          <t>BODEN</t>
        </is>
      </c>
      <c r="F228" t="inlineStr">
        <is>
          <t>Sveaskog</t>
        </is>
      </c>
      <c r="G228" t="n">
        <v>7.3</v>
      </c>
      <c r="H228" t="n">
        <v>0</v>
      </c>
      <c r="I228" t="n">
        <v>0</v>
      </c>
      <c r="J228" t="n">
        <v>0</v>
      </c>
      <c r="K228" t="n">
        <v>0</v>
      </c>
      <c r="L228" t="n">
        <v>0</v>
      </c>
      <c r="M228" t="n">
        <v>0</v>
      </c>
      <c r="N228" t="n">
        <v>0</v>
      </c>
      <c r="O228" t="n">
        <v>0</v>
      </c>
      <c r="P228" t="n">
        <v>0</v>
      </c>
      <c r="Q228" t="n">
        <v>0</v>
      </c>
      <c r="R228" s="2" t="inlineStr"/>
    </row>
    <row r="229" ht="15" customHeight="1">
      <c r="A229" t="inlineStr">
        <is>
          <t>A 36399-2019</t>
        </is>
      </c>
      <c r="B229" s="1" t="n">
        <v>43663</v>
      </c>
      <c r="C229" s="1" t="n">
        <v>45849</v>
      </c>
      <c r="D229" t="inlineStr">
        <is>
          <t>NORRBOTTENS LÄN</t>
        </is>
      </c>
      <c r="E229" t="inlineStr">
        <is>
          <t>BODEN</t>
        </is>
      </c>
      <c r="G229" t="n">
        <v>1.7</v>
      </c>
      <c r="H229" t="n">
        <v>0</v>
      </c>
      <c r="I229" t="n">
        <v>0</v>
      </c>
      <c r="J229" t="n">
        <v>0</v>
      </c>
      <c r="K229" t="n">
        <v>0</v>
      </c>
      <c r="L229" t="n">
        <v>0</v>
      </c>
      <c r="M229" t="n">
        <v>0</v>
      </c>
      <c r="N229" t="n">
        <v>0</v>
      </c>
      <c r="O229" t="n">
        <v>0</v>
      </c>
      <c r="P229" t="n">
        <v>0</v>
      </c>
      <c r="Q229" t="n">
        <v>0</v>
      </c>
      <c r="R229" s="2" t="inlineStr"/>
    </row>
    <row r="230" ht="15" customHeight="1">
      <c r="A230" t="inlineStr">
        <is>
          <t>A 35692-2019</t>
        </is>
      </c>
      <c r="B230" s="1" t="n">
        <v>43664</v>
      </c>
      <c r="C230" s="1" t="n">
        <v>45849</v>
      </c>
      <c r="D230" t="inlineStr">
        <is>
          <t>NORRBOTTENS LÄN</t>
        </is>
      </c>
      <c r="E230" t="inlineStr">
        <is>
          <t>BODEN</t>
        </is>
      </c>
      <c r="F230" t="inlineStr">
        <is>
          <t>Sveaskog</t>
        </is>
      </c>
      <c r="G230" t="n">
        <v>16.6</v>
      </c>
      <c r="H230" t="n">
        <v>0</v>
      </c>
      <c r="I230" t="n">
        <v>0</v>
      </c>
      <c r="J230" t="n">
        <v>0</v>
      </c>
      <c r="K230" t="n">
        <v>0</v>
      </c>
      <c r="L230" t="n">
        <v>0</v>
      </c>
      <c r="M230" t="n">
        <v>0</v>
      </c>
      <c r="N230" t="n">
        <v>0</v>
      </c>
      <c r="O230" t="n">
        <v>0</v>
      </c>
      <c r="P230" t="n">
        <v>0</v>
      </c>
      <c r="Q230" t="n">
        <v>0</v>
      </c>
      <c r="R230" s="2" t="inlineStr"/>
    </row>
    <row r="231" ht="15" customHeight="1">
      <c r="A231" t="inlineStr">
        <is>
          <t>A 37428-2019</t>
        </is>
      </c>
      <c r="B231" s="1" t="n">
        <v>43678</v>
      </c>
      <c r="C231" s="1" t="n">
        <v>45849</v>
      </c>
      <c r="D231" t="inlineStr">
        <is>
          <t>NORRBOTTENS LÄN</t>
        </is>
      </c>
      <c r="E231" t="inlineStr">
        <is>
          <t>BODEN</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38529-2019</t>
        </is>
      </c>
      <c r="B232" s="1" t="n">
        <v>43685</v>
      </c>
      <c r="C232" s="1" t="n">
        <v>45849</v>
      </c>
      <c r="D232" t="inlineStr">
        <is>
          <t>NORRBOTTENS LÄN</t>
        </is>
      </c>
      <c r="E232" t="inlineStr">
        <is>
          <t>BODEN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38974-2019</t>
        </is>
      </c>
      <c r="B233" s="1" t="n">
        <v>43689</v>
      </c>
      <c r="C233" s="1" t="n">
        <v>45849</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38980-2019</t>
        </is>
      </c>
      <c r="B234" s="1" t="n">
        <v>43689</v>
      </c>
      <c r="C234" s="1" t="n">
        <v>45849</v>
      </c>
      <c r="D234" t="inlineStr">
        <is>
          <t>NORRBOTTENS LÄN</t>
        </is>
      </c>
      <c r="E234" t="inlineStr">
        <is>
          <t>BODEN</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39892-2019</t>
        </is>
      </c>
      <c r="B235" s="1" t="n">
        <v>43692</v>
      </c>
      <c r="C235" s="1" t="n">
        <v>45849</v>
      </c>
      <c r="D235" t="inlineStr">
        <is>
          <t>NORRBOTTENS LÄN</t>
        </is>
      </c>
      <c r="E235" t="inlineStr">
        <is>
          <t>BODEN</t>
        </is>
      </c>
      <c r="G235" t="n">
        <v>43.5</v>
      </c>
      <c r="H235" t="n">
        <v>0</v>
      </c>
      <c r="I235" t="n">
        <v>0</v>
      </c>
      <c r="J235" t="n">
        <v>0</v>
      </c>
      <c r="K235" t="n">
        <v>0</v>
      </c>
      <c r="L235" t="n">
        <v>0</v>
      </c>
      <c r="M235" t="n">
        <v>0</v>
      </c>
      <c r="N235" t="n">
        <v>0</v>
      </c>
      <c r="O235" t="n">
        <v>0</v>
      </c>
      <c r="P235" t="n">
        <v>0</v>
      </c>
      <c r="Q235" t="n">
        <v>0</v>
      </c>
      <c r="R235" s="2" t="inlineStr"/>
    </row>
    <row r="236" ht="15" customHeight="1">
      <c r="A236" t="inlineStr">
        <is>
          <t>A 39947-2019</t>
        </is>
      </c>
      <c r="B236" s="1" t="n">
        <v>43692</v>
      </c>
      <c r="C236" s="1" t="n">
        <v>45849</v>
      </c>
      <c r="D236" t="inlineStr">
        <is>
          <t>NORRBOTTENS LÄN</t>
        </is>
      </c>
      <c r="E236" t="inlineStr">
        <is>
          <t>BODEN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39966-2019</t>
        </is>
      </c>
      <c r="B237" s="1" t="n">
        <v>43692</v>
      </c>
      <c r="C237" s="1" t="n">
        <v>45849</v>
      </c>
      <c r="D237" t="inlineStr">
        <is>
          <t>NORRBOTTENS LÄN</t>
        </is>
      </c>
      <c r="E237" t="inlineStr">
        <is>
          <t>BODEN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40631-2019</t>
        </is>
      </c>
      <c r="B238" s="1" t="n">
        <v>43696</v>
      </c>
      <c r="C238" s="1" t="n">
        <v>45849</v>
      </c>
      <c r="D238" t="inlineStr">
        <is>
          <t>NORRBOTTENS LÄN</t>
        </is>
      </c>
      <c r="E238" t="inlineStr">
        <is>
          <t>BODEN</t>
        </is>
      </c>
      <c r="F238" t="inlineStr">
        <is>
          <t>Sveaskog</t>
        </is>
      </c>
      <c r="G238" t="n">
        <v>3.6</v>
      </c>
      <c r="H238" t="n">
        <v>0</v>
      </c>
      <c r="I238" t="n">
        <v>0</v>
      </c>
      <c r="J238" t="n">
        <v>0</v>
      </c>
      <c r="K238" t="n">
        <v>0</v>
      </c>
      <c r="L238" t="n">
        <v>0</v>
      </c>
      <c r="M238" t="n">
        <v>0</v>
      </c>
      <c r="N238" t="n">
        <v>0</v>
      </c>
      <c r="O238" t="n">
        <v>0</v>
      </c>
      <c r="P238" t="n">
        <v>0</v>
      </c>
      <c r="Q238" t="n">
        <v>0</v>
      </c>
      <c r="R238" s="2" t="inlineStr"/>
    </row>
    <row r="239" ht="15" customHeight="1">
      <c r="A239" t="inlineStr">
        <is>
          <t>A 41351-2019</t>
        </is>
      </c>
      <c r="B239" s="1" t="n">
        <v>43698</v>
      </c>
      <c r="C239" s="1" t="n">
        <v>45849</v>
      </c>
      <c r="D239" t="inlineStr">
        <is>
          <t>NORRBOTTENS LÄN</t>
        </is>
      </c>
      <c r="E239" t="inlineStr">
        <is>
          <t>BODEN</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42403-2019</t>
        </is>
      </c>
      <c r="B240" s="1" t="n">
        <v>43703</v>
      </c>
      <c r="C240" s="1" t="n">
        <v>45849</v>
      </c>
      <c r="D240" t="inlineStr">
        <is>
          <t>NORRBOTTENS LÄN</t>
        </is>
      </c>
      <c r="E240" t="inlineStr">
        <is>
          <t>BODEN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42404-2019</t>
        </is>
      </c>
      <c r="B241" s="1" t="n">
        <v>43703</v>
      </c>
      <c r="C241" s="1" t="n">
        <v>45849</v>
      </c>
      <c r="D241" t="inlineStr">
        <is>
          <t>NORRBOTTENS LÄN</t>
        </is>
      </c>
      <c r="E241" t="inlineStr">
        <is>
          <t>BODEN</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42492-2019</t>
        </is>
      </c>
      <c r="B242" s="1" t="n">
        <v>43704</v>
      </c>
      <c r="C242" s="1" t="n">
        <v>45849</v>
      </c>
      <c r="D242" t="inlineStr">
        <is>
          <t>NORRBOTTENS LÄN</t>
        </is>
      </c>
      <c r="E242" t="inlineStr">
        <is>
          <t>BODEN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43937-2019</t>
        </is>
      </c>
      <c r="B243" s="1" t="n">
        <v>43707</v>
      </c>
      <c r="C243" s="1" t="n">
        <v>45849</v>
      </c>
      <c r="D243" t="inlineStr">
        <is>
          <t>NORRBOTTENS LÄN</t>
        </is>
      </c>
      <c r="E243" t="inlineStr">
        <is>
          <t>BODEN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44894-2019</t>
        </is>
      </c>
      <c r="B244" s="1" t="n">
        <v>43712</v>
      </c>
      <c r="C244" s="1" t="n">
        <v>45849</v>
      </c>
      <c r="D244" t="inlineStr">
        <is>
          <t>NORRBOTTENS LÄN</t>
        </is>
      </c>
      <c r="E244" t="inlineStr">
        <is>
          <t>BODEN</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45186-2019</t>
        </is>
      </c>
      <c r="B245" s="1" t="n">
        <v>43713</v>
      </c>
      <c r="C245" s="1" t="n">
        <v>45849</v>
      </c>
      <c r="D245" t="inlineStr">
        <is>
          <t>NORRBOTTENS LÄN</t>
        </is>
      </c>
      <c r="E245" t="inlineStr">
        <is>
          <t>BODEN</t>
        </is>
      </c>
      <c r="G245" t="n">
        <v>9.9</v>
      </c>
      <c r="H245" t="n">
        <v>0</v>
      </c>
      <c r="I245" t="n">
        <v>0</v>
      </c>
      <c r="J245" t="n">
        <v>0</v>
      </c>
      <c r="K245" t="n">
        <v>0</v>
      </c>
      <c r="L245" t="n">
        <v>0</v>
      </c>
      <c r="M245" t="n">
        <v>0</v>
      </c>
      <c r="N245" t="n">
        <v>0</v>
      </c>
      <c r="O245" t="n">
        <v>0</v>
      </c>
      <c r="P245" t="n">
        <v>0</v>
      </c>
      <c r="Q245" t="n">
        <v>0</v>
      </c>
      <c r="R245" s="2" t="inlineStr"/>
    </row>
    <row r="246" ht="15" customHeight="1">
      <c r="A246" t="inlineStr">
        <is>
          <t>A 46517-2019</t>
        </is>
      </c>
      <c r="B246" s="1" t="n">
        <v>43719</v>
      </c>
      <c r="C246" s="1" t="n">
        <v>45849</v>
      </c>
      <c r="D246" t="inlineStr">
        <is>
          <t>NORRBOTTENS LÄN</t>
        </is>
      </c>
      <c r="E246" t="inlineStr">
        <is>
          <t>BODEN</t>
        </is>
      </c>
      <c r="F246" t="inlineStr">
        <is>
          <t>Sveaskog</t>
        </is>
      </c>
      <c r="G246" t="n">
        <v>10.6</v>
      </c>
      <c r="H246" t="n">
        <v>0</v>
      </c>
      <c r="I246" t="n">
        <v>0</v>
      </c>
      <c r="J246" t="n">
        <v>0</v>
      </c>
      <c r="K246" t="n">
        <v>0</v>
      </c>
      <c r="L246" t="n">
        <v>0</v>
      </c>
      <c r="M246" t="n">
        <v>0</v>
      </c>
      <c r="N246" t="n">
        <v>0</v>
      </c>
      <c r="O246" t="n">
        <v>0</v>
      </c>
      <c r="P246" t="n">
        <v>0</v>
      </c>
      <c r="Q246" t="n">
        <v>0</v>
      </c>
      <c r="R246" s="2" t="inlineStr"/>
    </row>
    <row r="247" ht="15" customHeight="1">
      <c r="A247" t="inlineStr">
        <is>
          <t>A 46622-2019</t>
        </is>
      </c>
      <c r="B247" s="1" t="n">
        <v>43719</v>
      </c>
      <c r="C247" s="1" t="n">
        <v>45849</v>
      </c>
      <c r="D247" t="inlineStr">
        <is>
          <t>NORRBOTTENS LÄN</t>
        </is>
      </c>
      <c r="E247" t="inlineStr">
        <is>
          <t>BODEN</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46720-2019</t>
        </is>
      </c>
      <c r="B248" s="1" t="n">
        <v>43719</v>
      </c>
      <c r="C248" s="1" t="n">
        <v>45849</v>
      </c>
      <c r="D248" t="inlineStr">
        <is>
          <t>NORRBOTTENS LÄN</t>
        </is>
      </c>
      <c r="E248" t="inlineStr">
        <is>
          <t>BODEN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46888-2019</t>
        </is>
      </c>
      <c r="B249" s="1" t="n">
        <v>43719</v>
      </c>
      <c r="C249" s="1" t="n">
        <v>45849</v>
      </c>
      <c r="D249" t="inlineStr">
        <is>
          <t>NORRBOTTENS LÄN</t>
        </is>
      </c>
      <c r="E249" t="inlineStr">
        <is>
          <t>BODEN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46721-2019</t>
        </is>
      </c>
      <c r="B250" s="1" t="n">
        <v>43719</v>
      </c>
      <c r="C250" s="1" t="n">
        <v>45849</v>
      </c>
      <c r="D250" t="inlineStr">
        <is>
          <t>NORRBOTTENS LÄN</t>
        </is>
      </c>
      <c r="E250" t="inlineStr">
        <is>
          <t>BODEN</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46385-2019</t>
        </is>
      </c>
      <c r="B251" s="1" t="n">
        <v>43719</v>
      </c>
      <c r="C251" s="1" t="n">
        <v>45849</v>
      </c>
      <c r="D251" t="inlineStr">
        <is>
          <t>NORRBOTTENS LÄN</t>
        </is>
      </c>
      <c r="E251" t="inlineStr">
        <is>
          <t>BODEN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46766-2019</t>
        </is>
      </c>
      <c r="B252" s="1" t="n">
        <v>43720</v>
      </c>
      <c r="C252" s="1" t="n">
        <v>45849</v>
      </c>
      <c r="D252" t="inlineStr">
        <is>
          <t>NORRBOTTENS LÄN</t>
        </is>
      </c>
      <c r="E252" t="inlineStr">
        <is>
          <t>BODEN</t>
        </is>
      </c>
      <c r="F252" t="inlineStr">
        <is>
          <t>Sveaskog</t>
        </is>
      </c>
      <c r="G252" t="n">
        <v>2.3</v>
      </c>
      <c r="H252" t="n">
        <v>0</v>
      </c>
      <c r="I252" t="n">
        <v>0</v>
      </c>
      <c r="J252" t="n">
        <v>0</v>
      </c>
      <c r="K252" t="n">
        <v>0</v>
      </c>
      <c r="L252" t="n">
        <v>0</v>
      </c>
      <c r="M252" t="n">
        <v>0</v>
      </c>
      <c r="N252" t="n">
        <v>0</v>
      </c>
      <c r="O252" t="n">
        <v>0</v>
      </c>
      <c r="P252" t="n">
        <v>0</v>
      </c>
      <c r="Q252" t="n">
        <v>0</v>
      </c>
      <c r="R252" s="2" t="inlineStr"/>
    </row>
    <row r="253" ht="15" customHeight="1">
      <c r="A253" t="inlineStr">
        <is>
          <t>A 47100-2019</t>
        </is>
      </c>
      <c r="B253" s="1" t="n">
        <v>43721</v>
      </c>
      <c r="C253" s="1" t="n">
        <v>45849</v>
      </c>
      <c r="D253" t="inlineStr">
        <is>
          <t>NORRBOTTENS LÄN</t>
        </is>
      </c>
      <c r="E253" t="inlineStr">
        <is>
          <t>BODEN</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47821-2019</t>
        </is>
      </c>
      <c r="B254" s="1" t="n">
        <v>43725</v>
      </c>
      <c r="C254" s="1" t="n">
        <v>45849</v>
      </c>
      <c r="D254" t="inlineStr">
        <is>
          <t>NORRBOTTENS LÄN</t>
        </is>
      </c>
      <c r="E254" t="inlineStr">
        <is>
          <t>BODEN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48023-2019</t>
        </is>
      </c>
      <c r="B255" s="1" t="n">
        <v>43725</v>
      </c>
      <c r="C255" s="1" t="n">
        <v>45849</v>
      </c>
      <c r="D255" t="inlineStr">
        <is>
          <t>NORRBOTTENS LÄN</t>
        </is>
      </c>
      <c r="E255" t="inlineStr">
        <is>
          <t>BODEN</t>
        </is>
      </c>
      <c r="G255" t="n">
        <v>2.5</v>
      </c>
      <c r="H255" t="n">
        <v>0</v>
      </c>
      <c r="I255" t="n">
        <v>0</v>
      </c>
      <c r="J255" t="n">
        <v>0</v>
      </c>
      <c r="K255" t="n">
        <v>0</v>
      </c>
      <c r="L255" t="n">
        <v>0</v>
      </c>
      <c r="M255" t="n">
        <v>0</v>
      </c>
      <c r="N255" t="n">
        <v>0</v>
      </c>
      <c r="O255" t="n">
        <v>0</v>
      </c>
      <c r="P255" t="n">
        <v>0</v>
      </c>
      <c r="Q255" t="n">
        <v>0</v>
      </c>
      <c r="R255" s="2" t="inlineStr"/>
    </row>
    <row r="256" ht="15" customHeight="1">
      <c r="A256" t="inlineStr">
        <is>
          <t>A 48586-2019</t>
        </is>
      </c>
      <c r="B256" s="1" t="n">
        <v>43727</v>
      </c>
      <c r="C256" s="1" t="n">
        <v>45849</v>
      </c>
      <c r="D256" t="inlineStr">
        <is>
          <t>NORRBOTTENS LÄN</t>
        </is>
      </c>
      <c r="E256" t="inlineStr">
        <is>
          <t>BODEN</t>
        </is>
      </c>
      <c r="F256" t="inlineStr">
        <is>
          <t>Sveaskog</t>
        </is>
      </c>
      <c r="G256" t="n">
        <v>5.8</v>
      </c>
      <c r="H256" t="n">
        <v>0</v>
      </c>
      <c r="I256" t="n">
        <v>0</v>
      </c>
      <c r="J256" t="n">
        <v>0</v>
      </c>
      <c r="K256" t="n">
        <v>0</v>
      </c>
      <c r="L256" t="n">
        <v>0</v>
      </c>
      <c r="M256" t="n">
        <v>0</v>
      </c>
      <c r="N256" t="n">
        <v>0</v>
      </c>
      <c r="O256" t="n">
        <v>0</v>
      </c>
      <c r="P256" t="n">
        <v>0</v>
      </c>
      <c r="Q256" t="n">
        <v>0</v>
      </c>
      <c r="R256" s="2" t="inlineStr"/>
    </row>
    <row r="257" ht="15" customHeight="1">
      <c r="A257" t="inlineStr">
        <is>
          <t>A 48796-2019</t>
        </is>
      </c>
      <c r="B257" s="1" t="n">
        <v>43727</v>
      </c>
      <c r="C257" s="1" t="n">
        <v>45849</v>
      </c>
      <c r="D257" t="inlineStr">
        <is>
          <t>NORRBOTTENS LÄN</t>
        </is>
      </c>
      <c r="E257" t="inlineStr">
        <is>
          <t>BODEN</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48627-2019</t>
        </is>
      </c>
      <c r="B258" s="1" t="n">
        <v>43727</v>
      </c>
      <c r="C258" s="1" t="n">
        <v>45849</v>
      </c>
      <c r="D258" t="inlineStr">
        <is>
          <t>NORRBOTTENS LÄN</t>
        </is>
      </c>
      <c r="E258" t="inlineStr">
        <is>
          <t>BODEN</t>
        </is>
      </c>
      <c r="G258" t="n">
        <v>8.9</v>
      </c>
      <c r="H258" t="n">
        <v>0</v>
      </c>
      <c r="I258" t="n">
        <v>0</v>
      </c>
      <c r="J258" t="n">
        <v>0</v>
      </c>
      <c r="K258" t="n">
        <v>0</v>
      </c>
      <c r="L258" t="n">
        <v>0</v>
      </c>
      <c r="M258" t="n">
        <v>0</v>
      </c>
      <c r="N258" t="n">
        <v>0</v>
      </c>
      <c r="O258" t="n">
        <v>0</v>
      </c>
      <c r="P258" t="n">
        <v>0</v>
      </c>
      <c r="Q258" t="n">
        <v>0</v>
      </c>
      <c r="R258" s="2" t="inlineStr"/>
    </row>
    <row r="259" ht="15" customHeight="1">
      <c r="A259" t="inlineStr">
        <is>
          <t>A 49655-2019</t>
        </is>
      </c>
      <c r="B259" s="1" t="n">
        <v>43732</v>
      </c>
      <c r="C259" s="1" t="n">
        <v>45849</v>
      </c>
      <c r="D259" t="inlineStr">
        <is>
          <t>NORRBOTTENS LÄN</t>
        </is>
      </c>
      <c r="E259" t="inlineStr">
        <is>
          <t>BODEN</t>
        </is>
      </c>
      <c r="F259" t="inlineStr">
        <is>
          <t>Sveaskog</t>
        </is>
      </c>
      <c r="G259" t="n">
        <v>25</v>
      </c>
      <c r="H259" t="n">
        <v>0</v>
      </c>
      <c r="I259" t="n">
        <v>0</v>
      </c>
      <c r="J259" t="n">
        <v>0</v>
      </c>
      <c r="K259" t="n">
        <v>0</v>
      </c>
      <c r="L259" t="n">
        <v>0</v>
      </c>
      <c r="M259" t="n">
        <v>0</v>
      </c>
      <c r="N259" t="n">
        <v>0</v>
      </c>
      <c r="O259" t="n">
        <v>0</v>
      </c>
      <c r="P259" t="n">
        <v>0</v>
      </c>
      <c r="Q259" t="n">
        <v>0</v>
      </c>
      <c r="R259" s="2" t="inlineStr"/>
    </row>
    <row r="260" ht="15" customHeight="1">
      <c r="A260" t="inlineStr">
        <is>
          <t>A 51207-2019</t>
        </is>
      </c>
      <c r="B260" s="1" t="n">
        <v>43732</v>
      </c>
      <c r="C260" s="1" t="n">
        <v>45849</v>
      </c>
      <c r="D260" t="inlineStr">
        <is>
          <t>NORRBOTTENS LÄN</t>
        </is>
      </c>
      <c r="E260" t="inlineStr">
        <is>
          <t>BODEN</t>
        </is>
      </c>
      <c r="G260" t="n">
        <v>5.9</v>
      </c>
      <c r="H260" t="n">
        <v>0</v>
      </c>
      <c r="I260" t="n">
        <v>0</v>
      </c>
      <c r="J260" t="n">
        <v>0</v>
      </c>
      <c r="K260" t="n">
        <v>0</v>
      </c>
      <c r="L260" t="n">
        <v>0</v>
      </c>
      <c r="M260" t="n">
        <v>0</v>
      </c>
      <c r="N260" t="n">
        <v>0</v>
      </c>
      <c r="O260" t="n">
        <v>0</v>
      </c>
      <c r="P260" t="n">
        <v>0</v>
      </c>
      <c r="Q260" t="n">
        <v>0</v>
      </c>
      <c r="R260" s="2" t="inlineStr"/>
    </row>
    <row r="261" ht="15" customHeight="1">
      <c r="A261" t="inlineStr">
        <is>
          <t>A 51177-2019</t>
        </is>
      </c>
      <c r="B261" s="1" t="n">
        <v>43732</v>
      </c>
      <c r="C261" s="1" t="n">
        <v>45849</v>
      </c>
      <c r="D261" t="inlineStr">
        <is>
          <t>NORRBOTTENS LÄN</t>
        </is>
      </c>
      <c r="E261" t="inlineStr">
        <is>
          <t>BODEN</t>
        </is>
      </c>
      <c r="G261" t="n">
        <v>26.5</v>
      </c>
      <c r="H261" t="n">
        <v>0</v>
      </c>
      <c r="I261" t="n">
        <v>0</v>
      </c>
      <c r="J261" t="n">
        <v>0</v>
      </c>
      <c r="K261" t="n">
        <v>0</v>
      </c>
      <c r="L261" t="n">
        <v>0</v>
      </c>
      <c r="M261" t="n">
        <v>0</v>
      </c>
      <c r="N261" t="n">
        <v>0</v>
      </c>
      <c r="O261" t="n">
        <v>0</v>
      </c>
      <c r="P261" t="n">
        <v>0</v>
      </c>
      <c r="Q261" t="n">
        <v>0</v>
      </c>
      <c r="R261" s="2" t="inlineStr"/>
    </row>
    <row r="262" ht="15" customHeight="1">
      <c r="A262" t="inlineStr">
        <is>
          <t>A 49903-2019</t>
        </is>
      </c>
      <c r="B262" s="1" t="n">
        <v>43733</v>
      </c>
      <c r="C262" s="1" t="n">
        <v>45849</v>
      </c>
      <c r="D262" t="inlineStr">
        <is>
          <t>NORRBOTTENS LÄN</t>
        </is>
      </c>
      <c r="E262" t="inlineStr">
        <is>
          <t>BODEN</t>
        </is>
      </c>
      <c r="F262" t="inlineStr">
        <is>
          <t>Sveaskog</t>
        </is>
      </c>
      <c r="G262" t="n">
        <v>7.4</v>
      </c>
      <c r="H262" t="n">
        <v>0</v>
      </c>
      <c r="I262" t="n">
        <v>0</v>
      </c>
      <c r="J262" t="n">
        <v>0</v>
      </c>
      <c r="K262" t="n">
        <v>0</v>
      </c>
      <c r="L262" t="n">
        <v>0</v>
      </c>
      <c r="M262" t="n">
        <v>0</v>
      </c>
      <c r="N262" t="n">
        <v>0</v>
      </c>
      <c r="O262" t="n">
        <v>0</v>
      </c>
      <c r="P262" t="n">
        <v>0</v>
      </c>
      <c r="Q262" t="n">
        <v>0</v>
      </c>
      <c r="R262" s="2" t="inlineStr"/>
    </row>
    <row r="263" ht="15" customHeight="1">
      <c r="A263" t="inlineStr">
        <is>
          <t>A 50819-2019</t>
        </is>
      </c>
      <c r="B263" s="1" t="n">
        <v>43738</v>
      </c>
      <c r="C263" s="1" t="n">
        <v>45849</v>
      </c>
      <c r="D263" t="inlineStr">
        <is>
          <t>NORRBOTTENS LÄN</t>
        </is>
      </c>
      <c r="E263" t="inlineStr">
        <is>
          <t>BODEN</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52225-2019</t>
        </is>
      </c>
      <c r="B264" s="1" t="n">
        <v>43742</v>
      </c>
      <c r="C264" s="1" t="n">
        <v>45849</v>
      </c>
      <c r="D264" t="inlineStr">
        <is>
          <t>NORRBOTTENS LÄN</t>
        </is>
      </c>
      <c r="E264" t="inlineStr">
        <is>
          <t>BODEN</t>
        </is>
      </c>
      <c r="G264" t="n">
        <v>1.6</v>
      </c>
      <c r="H264" t="n">
        <v>0</v>
      </c>
      <c r="I264" t="n">
        <v>0</v>
      </c>
      <c r="J264" t="n">
        <v>0</v>
      </c>
      <c r="K264" t="n">
        <v>0</v>
      </c>
      <c r="L264" t="n">
        <v>0</v>
      </c>
      <c r="M264" t="n">
        <v>0</v>
      </c>
      <c r="N264" t="n">
        <v>0</v>
      </c>
      <c r="O264" t="n">
        <v>0</v>
      </c>
      <c r="P264" t="n">
        <v>0</v>
      </c>
      <c r="Q264" t="n">
        <v>0</v>
      </c>
      <c r="R264" s="2" t="inlineStr"/>
    </row>
    <row r="265" ht="15" customHeight="1">
      <c r="A265" t="inlineStr">
        <is>
          <t>A 52223-2019</t>
        </is>
      </c>
      <c r="B265" s="1" t="n">
        <v>43742</v>
      </c>
      <c r="C265" s="1" t="n">
        <v>45849</v>
      </c>
      <c r="D265" t="inlineStr">
        <is>
          <t>NORRBOTTENS LÄN</t>
        </is>
      </c>
      <c r="E265" t="inlineStr">
        <is>
          <t>BODEN</t>
        </is>
      </c>
      <c r="G265" t="n">
        <v>1.1</v>
      </c>
      <c r="H265" t="n">
        <v>0</v>
      </c>
      <c r="I265" t="n">
        <v>0</v>
      </c>
      <c r="J265" t="n">
        <v>0</v>
      </c>
      <c r="K265" t="n">
        <v>0</v>
      </c>
      <c r="L265" t="n">
        <v>0</v>
      </c>
      <c r="M265" t="n">
        <v>0</v>
      </c>
      <c r="N265" t="n">
        <v>0</v>
      </c>
      <c r="O265" t="n">
        <v>0</v>
      </c>
      <c r="P265" t="n">
        <v>0</v>
      </c>
      <c r="Q265" t="n">
        <v>0</v>
      </c>
      <c r="R265" s="2" t="inlineStr"/>
    </row>
    <row r="266" ht="15" customHeight="1">
      <c r="A266" t="inlineStr">
        <is>
          <t>A 52229-2019</t>
        </is>
      </c>
      <c r="B266" s="1" t="n">
        <v>43742</v>
      </c>
      <c r="C266" s="1" t="n">
        <v>45849</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52228-2019</t>
        </is>
      </c>
      <c r="B267" s="1" t="n">
        <v>43742</v>
      </c>
      <c r="C267" s="1" t="n">
        <v>45849</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52220-2019</t>
        </is>
      </c>
      <c r="B268" s="1" t="n">
        <v>43742</v>
      </c>
      <c r="C268" s="1" t="n">
        <v>45849</v>
      </c>
      <c r="D268" t="inlineStr">
        <is>
          <t>NORRBOTTENS LÄN</t>
        </is>
      </c>
      <c r="E268" t="inlineStr">
        <is>
          <t>BODEN</t>
        </is>
      </c>
      <c r="G268" t="n">
        <v>0.6</v>
      </c>
      <c r="H268" t="n">
        <v>0</v>
      </c>
      <c r="I268" t="n">
        <v>0</v>
      </c>
      <c r="J268" t="n">
        <v>0</v>
      </c>
      <c r="K268" t="n">
        <v>0</v>
      </c>
      <c r="L268" t="n">
        <v>0</v>
      </c>
      <c r="M268" t="n">
        <v>0</v>
      </c>
      <c r="N268" t="n">
        <v>0</v>
      </c>
      <c r="O268" t="n">
        <v>0</v>
      </c>
      <c r="P268" t="n">
        <v>0</v>
      </c>
      <c r="Q268" t="n">
        <v>0</v>
      </c>
      <c r="R268" s="2" t="inlineStr"/>
    </row>
    <row r="269" ht="15" customHeight="1">
      <c r="A269" t="inlineStr">
        <is>
          <t>A 52207-2019</t>
        </is>
      </c>
      <c r="B269" s="1" t="n">
        <v>43742</v>
      </c>
      <c r="C269" s="1" t="n">
        <v>45849</v>
      </c>
      <c r="D269" t="inlineStr">
        <is>
          <t>NORRBOTTENS LÄN</t>
        </is>
      </c>
      <c r="E269" t="inlineStr">
        <is>
          <t>BODEN</t>
        </is>
      </c>
      <c r="G269" t="n">
        <v>2.7</v>
      </c>
      <c r="H269" t="n">
        <v>0</v>
      </c>
      <c r="I269" t="n">
        <v>0</v>
      </c>
      <c r="J269" t="n">
        <v>0</v>
      </c>
      <c r="K269" t="n">
        <v>0</v>
      </c>
      <c r="L269" t="n">
        <v>0</v>
      </c>
      <c r="M269" t="n">
        <v>0</v>
      </c>
      <c r="N269" t="n">
        <v>0</v>
      </c>
      <c r="O269" t="n">
        <v>0</v>
      </c>
      <c r="P269" t="n">
        <v>0</v>
      </c>
      <c r="Q269" t="n">
        <v>0</v>
      </c>
      <c r="R269" s="2" t="inlineStr"/>
    </row>
    <row r="270" ht="15" customHeight="1">
      <c r="A270" t="inlineStr">
        <is>
          <t>A 52224-2019</t>
        </is>
      </c>
      <c r="B270" s="1" t="n">
        <v>43742</v>
      </c>
      <c r="C270" s="1" t="n">
        <v>45849</v>
      </c>
      <c r="D270" t="inlineStr">
        <is>
          <t>NORRBOTTENS LÄN</t>
        </is>
      </c>
      <c r="E270" t="inlineStr">
        <is>
          <t>BODEN</t>
        </is>
      </c>
      <c r="G270" t="n">
        <v>1.8</v>
      </c>
      <c r="H270" t="n">
        <v>0</v>
      </c>
      <c r="I270" t="n">
        <v>0</v>
      </c>
      <c r="J270" t="n">
        <v>0</v>
      </c>
      <c r="K270" t="n">
        <v>0</v>
      </c>
      <c r="L270" t="n">
        <v>0</v>
      </c>
      <c r="M270" t="n">
        <v>0</v>
      </c>
      <c r="N270" t="n">
        <v>0</v>
      </c>
      <c r="O270" t="n">
        <v>0</v>
      </c>
      <c r="P270" t="n">
        <v>0</v>
      </c>
      <c r="Q270" t="n">
        <v>0</v>
      </c>
      <c r="R270" s="2" t="inlineStr"/>
    </row>
    <row r="271" ht="15" customHeight="1">
      <c r="A271" t="inlineStr">
        <is>
          <t>A 54419-2019</t>
        </is>
      </c>
      <c r="B271" s="1" t="n">
        <v>43753</v>
      </c>
      <c r="C271" s="1" t="n">
        <v>45849</v>
      </c>
      <c r="D271" t="inlineStr">
        <is>
          <t>NORRBOTTENS LÄN</t>
        </is>
      </c>
      <c r="E271" t="inlineStr">
        <is>
          <t>BODEN</t>
        </is>
      </c>
      <c r="G271" t="n">
        <v>0.9</v>
      </c>
      <c r="H271" t="n">
        <v>0</v>
      </c>
      <c r="I271" t="n">
        <v>0</v>
      </c>
      <c r="J271" t="n">
        <v>0</v>
      </c>
      <c r="K271" t="n">
        <v>0</v>
      </c>
      <c r="L271" t="n">
        <v>0</v>
      </c>
      <c r="M271" t="n">
        <v>0</v>
      </c>
      <c r="N271" t="n">
        <v>0</v>
      </c>
      <c r="O271" t="n">
        <v>0</v>
      </c>
      <c r="P271" t="n">
        <v>0</v>
      </c>
      <c r="Q271" t="n">
        <v>0</v>
      </c>
      <c r="R271" s="2" t="inlineStr"/>
    </row>
    <row r="272" ht="15" customHeight="1">
      <c r="A272" t="inlineStr">
        <is>
          <t>A 54656-2019</t>
        </is>
      </c>
      <c r="B272" s="1" t="n">
        <v>43754</v>
      </c>
      <c r="C272" s="1" t="n">
        <v>45849</v>
      </c>
      <c r="D272" t="inlineStr">
        <is>
          <t>NORRBOTTENS LÄN</t>
        </is>
      </c>
      <c r="E272" t="inlineStr">
        <is>
          <t>BODEN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54658-2019</t>
        </is>
      </c>
      <c r="B273" s="1" t="n">
        <v>43754</v>
      </c>
      <c r="C273" s="1" t="n">
        <v>45849</v>
      </c>
      <c r="D273" t="inlineStr">
        <is>
          <t>NORRBOTTENS LÄN</t>
        </is>
      </c>
      <c r="E273" t="inlineStr">
        <is>
          <t>BODEN</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55972-2019</t>
        </is>
      </c>
      <c r="B274" s="1" t="n">
        <v>43759</v>
      </c>
      <c r="C274" s="1" t="n">
        <v>45849</v>
      </c>
      <c r="D274" t="inlineStr">
        <is>
          <t>NORRBOTTENS LÄN</t>
        </is>
      </c>
      <c r="E274" t="inlineStr">
        <is>
          <t>BODEN</t>
        </is>
      </c>
      <c r="F274" t="inlineStr">
        <is>
          <t>Sveaskog</t>
        </is>
      </c>
      <c r="G274" t="n">
        <v>2.1</v>
      </c>
      <c r="H274" t="n">
        <v>0</v>
      </c>
      <c r="I274" t="n">
        <v>0</v>
      </c>
      <c r="J274" t="n">
        <v>0</v>
      </c>
      <c r="K274" t="n">
        <v>0</v>
      </c>
      <c r="L274" t="n">
        <v>0</v>
      </c>
      <c r="M274" t="n">
        <v>0</v>
      </c>
      <c r="N274" t="n">
        <v>0</v>
      </c>
      <c r="O274" t="n">
        <v>0</v>
      </c>
      <c r="P274" t="n">
        <v>0</v>
      </c>
      <c r="Q274" t="n">
        <v>0</v>
      </c>
      <c r="R274" s="2" t="inlineStr"/>
    </row>
    <row r="275" ht="15" customHeight="1">
      <c r="A275" t="inlineStr">
        <is>
          <t>A 55688-2019</t>
        </is>
      </c>
      <c r="B275" s="1" t="n">
        <v>43760</v>
      </c>
      <c r="C275" s="1" t="n">
        <v>45849</v>
      </c>
      <c r="D275" t="inlineStr">
        <is>
          <t>NORRBOTTENS LÄN</t>
        </is>
      </c>
      <c r="E275" t="inlineStr">
        <is>
          <t>BODEN</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55707-2019</t>
        </is>
      </c>
      <c r="B276" s="1" t="n">
        <v>43760</v>
      </c>
      <c r="C276" s="1" t="n">
        <v>45849</v>
      </c>
      <c r="D276" t="inlineStr">
        <is>
          <t>NORRBOTTENS LÄN</t>
        </is>
      </c>
      <c r="E276" t="inlineStr">
        <is>
          <t>BODEN</t>
        </is>
      </c>
      <c r="F276" t="inlineStr">
        <is>
          <t>SCA</t>
        </is>
      </c>
      <c r="G276" t="n">
        <v>7.4</v>
      </c>
      <c r="H276" t="n">
        <v>0</v>
      </c>
      <c r="I276" t="n">
        <v>0</v>
      </c>
      <c r="J276" t="n">
        <v>0</v>
      </c>
      <c r="K276" t="n">
        <v>0</v>
      </c>
      <c r="L276" t="n">
        <v>0</v>
      </c>
      <c r="M276" t="n">
        <v>0</v>
      </c>
      <c r="N276" t="n">
        <v>0</v>
      </c>
      <c r="O276" t="n">
        <v>0</v>
      </c>
      <c r="P276" t="n">
        <v>0</v>
      </c>
      <c r="Q276" t="n">
        <v>0</v>
      </c>
      <c r="R276" s="2" t="inlineStr"/>
    </row>
    <row r="277" ht="15" customHeight="1">
      <c r="A277" t="inlineStr">
        <is>
          <t>A 55708-2019</t>
        </is>
      </c>
      <c r="B277" s="1" t="n">
        <v>43760</v>
      </c>
      <c r="C277" s="1" t="n">
        <v>45849</v>
      </c>
      <c r="D277" t="inlineStr">
        <is>
          <t>NORRBOTTENS LÄN</t>
        </is>
      </c>
      <c r="E277" t="inlineStr">
        <is>
          <t>BODEN</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56444-2019</t>
        </is>
      </c>
      <c r="B278" s="1" t="n">
        <v>43762</v>
      </c>
      <c r="C278" s="1" t="n">
        <v>45849</v>
      </c>
      <c r="D278" t="inlineStr">
        <is>
          <t>NORRBOTTENS LÄN</t>
        </is>
      </c>
      <c r="E278" t="inlineStr">
        <is>
          <t>BODEN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56442-2019</t>
        </is>
      </c>
      <c r="B279" s="1" t="n">
        <v>43762</v>
      </c>
      <c r="C279" s="1" t="n">
        <v>45849</v>
      </c>
      <c r="D279" t="inlineStr">
        <is>
          <t>NORRBOTTENS LÄN</t>
        </is>
      </c>
      <c r="E279" t="inlineStr">
        <is>
          <t>BODEN</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56807-2019</t>
        </is>
      </c>
      <c r="B280" s="1" t="n">
        <v>43763</v>
      </c>
      <c r="C280" s="1" t="n">
        <v>45849</v>
      </c>
      <c r="D280" t="inlineStr">
        <is>
          <t>NORRBOTTENS LÄN</t>
        </is>
      </c>
      <c r="E280" t="inlineStr">
        <is>
          <t>BODEN</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57012-2019</t>
        </is>
      </c>
      <c r="B281" s="1" t="n">
        <v>43766</v>
      </c>
      <c r="C281" s="1" t="n">
        <v>45849</v>
      </c>
      <c r="D281" t="inlineStr">
        <is>
          <t>NORRBOTTENS LÄN</t>
        </is>
      </c>
      <c r="E281" t="inlineStr">
        <is>
          <t>BODEN</t>
        </is>
      </c>
      <c r="G281" t="n">
        <v>4.6</v>
      </c>
      <c r="H281" t="n">
        <v>0</v>
      </c>
      <c r="I281" t="n">
        <v>0</v>
      </c>
      <c r="J281" t="n">
        <v>0</v>
      </c>
      <c r="K281" t="n">
        <v>0</v>
      </c>
      <c r="L281" t="n">
        <v>0</v>
      </c>
      <c r="M281" t="n">
        <v>0</v>
      </c>
      <c r="N281" t="n">
        <v>0</v>
      </c>
      <c r="O281" t="n">
        <v>0</v>
      </c>
      <c r="P281" t="n">
        <v>0</v>
      </c>
      <c r="Q281" t="n">
        <v>0</v>
      </c>
      <c r="R281" s="2" t="inlineStr"/>
    </row>
    <row r="282" ht="15" customHeight="1">
      <c r="A282" t="inlineStr">
        <is>
          <t>A 57170-2019</t>
        </is>
      </c>
      <c r="B282" s="1" t="n">
        <v>43766</v>
      </c>
      <c r="C282" s="1" t="n">
        <v>45849</v>
      </c>
      <c r="D282" t="inlineStr">
        <is>
          <t>NORRBOTTENS LÄN</t>
        </is>
      </c>
      <c r="E282" t="inlineStr">
        <is>
          <t>BODEN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59216-2019</t>
        </is>
      </c>
      <c r="B283" s="1" t="n">
        <v>43770</v>
      </c>
      <c r="C283" s="1" t="n">
        <v>45849</v>
      </c>
      <c r="D283" t="inlineStr">
        <is>
          <t>NORRBOTTENS LÄN</t>
        </is>
      </c>
      <c r="E283" t="inlineStr">
        <is>
          <t>BODEN</t>
        </is>
      </c>
      <c r="G283" t="n">
        <v>3.2</v>
      </c>
      <c r="H283" t="n">
        <v>0</v>
      </c>
      <c r="I283" t="n">
        <v>0</v>
      </c>
      <c r="J283" t="n">
        <v>0</v>
      </c>
      <c r="K283" t="n">
        <v>0</v>
      </c>
      <c r="L283" t="n">
        <v>0</v>
      </c>
      <c r="M283" t="n">
        <v>0</v>
      </c>
      <c r="N283" t="n">
        <v>0</v>
      </c>
      <c r="O283" t="n">
        <v>0</v>
      </c>
      <c r="P283" t="n">
        <v>0</v>
      </c>
      <c r="Q283" t="n">
        <v>0</v>
      </c>
      <c r="R283" s="2" t="inlineStr"/>
    </row>
    <row r="284" ht="15" customHeight="1">
      <c r="A284" t="inlineStr">
        <is>
          <t>A 58477-2019</t>
        </is>
      </c>
      <c r="B284" s="1" t="n">
        <v>43773</v>
      </c>
      <c r="C284" s="1" t="n">
        <v>45849</v>
      </c>
      <c r="D284" t="inlineStr">
        <is>
          <t>NORRBOTTENS LÄN</t>
        </is>
      </c>
      <c r="E284" t="inlineStr">
        <is>
          <t>BODEN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59081-2019</t>
        </is>
      </c>
      <c r="B285" s="1" t="n">
        <v>43774</v>
      </c>
      <c r="C285" s="1" t="n">
        <v>45849</v>
      </c>
      <c r="D285" t="inlineStr">
        <is>
          <t>NORRBOTTENS LÄN</t>
        </is>
      </c>
      <c r="E285" t="inlineStr">
        <is>
          <t>BODEN</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60599-2019</t>
        </is>
      </c>
      <c r="B286" s="1" t="n">
        <v>43777</v>
      </c>
      <c r="C286" s="1" t="n">
        <v>45849</v>
      </c>
      <c r="D286" t="inlineStr">
        <is>
          <t>NORRBOTTENS LÄN</t>
        </is>
      </c>
      <c r="E286" t="inlineStr">
        <is>
          <t>BODEN</t>
        </is>
      </c>
      <c r="G286" t="n">
        <v>2.7</v>
      </c>
      <c r="H286" t="n">
        <v>0</v>
      </c>
      <c r="I286" t="n">
        <v>0</v>
      </c>
      <c r="J286" t="n">
        <v>0</v>
      </c>
      <c r="K286" t="n">
        <v>0</v>
      </c>
      <c r="L286" t="n">
        <v>0</v>
      </c>
      <c r="M286" t="n">
        <v>0</v>
      </c>
      <c r="N286" t="n">
        <v>0</v>
      </c>
      <c r="O286" t="n">
        <v>0</v>
      </c>
      <c r="P286" t="n">
        <v>0</v>
      </c>
      <c r="Q286" t="n">
        <v>0</v>
      </c>
      <c r="R286" s="2" t="inlineStr"/>
    </row>
    <row r="287" ht="15" customHeight="1">
      <c r="A287" t="inlineStr">
        <is>
          <t>A 60576-2019</t>
        </is>
      </c>
      <c r="B287" s="1" t="n">
        <v>43781</v>
      </c>
      <c r="C287" s="1" t="n">
        <v>45849</v>
      </c>
      <c r="D287" t="inlineStr">
        <is>
          <t>NORRBOTTENS LÄN</t>
        </is>
      </c>
      <c r="E287" t="inlineStr">
        <is>
          <t>BODEN</t>
        </is>
      </c>
      <c r="G287" t="n">
        <v>2.8</v>
      </c>
      <c r="H287" t="n">
        <v>0</v>
      </c>
      <c r="I287" t="n">
        <v>0</v>
      </c>
      <c r="J287" t="n">
        <v>0</v>
      </c>
      <c r="K287" t="n">
        <v>0</v>
      </c>
      <c r="L287" t="n">
        <v>0</v>
      </c>
      <c r="M287" t="n">
        <v>0</v>
      </c>
      <c r="N287" t="n">
        <v>0</v>
      </c>
      <c r="O287" t="n">
        <v>0</v>
      </c>
      <c r="P287" t="n">
        <v>0</v>
      </c>
      <c r="Q287" t="n">
        <v>0</v>
      </c>
      <c r="R287" s="2" t="inlineStr"/>
    </row>
    <row r="288" ht="15" customHeight="1">
      <c r="A288" t="inlineStr">
        <is>
          <t>A 60856-2019</t>
        </is>
      </c>
      <c r="B288" s="1" t="n">
        <v>43781</v>
      </c>
      <c r="C288" s="1" t="n">
        <v>45849</v>
      </c>
      <c r="D288" t="inlineStr">
        <is>
          <t>NORRBOTTENS LÄN</t>
        </is>
      </c>
      <c r="E288" t="inlineStr">
        <is>
          <t>BODEN</t>
        </is>
      </c>
      <c r="G288" t="n">
        <v>0.5</v>
      </c>
      <c r="H288" t="n">
        <v>0</v>
      </c>
      <c r="I288" t="n">
        <v>0</v>
      </c>
      <c r="J288" t="n">
        <v>0</v>
      </c>
      <c r="K288" t="n">
        <v>0</v>
      </c>
      <c r="L288" t="n">
        <v>0</v>
      </c>
      <c r="M288" t="n">
        <v>0</v>
      </c>
      <c r="N288" t="n">
        <v>0</v>
      </c>
      <c r="O288" t="n">
        <v>0</v>
      </c>
      <c r="P288" t="n">
        <v>0</v>
      </c>
      <c r="Q288" t="n">
        <v>0</v>
      </c>
      <c r="R288" s="2" t="inlineStr"/>
    </row>
    <row r="289" ht="15" customHeight="1">
      <c r="A289" t="inlineStr">
        <is>
          <t>A 61199-2019</t>
        </is>
      </c>
      <c r="B289" s="1" t="n">
        <v>43782</v>
      </c>
      <c r="C289" s="1" t="n">
        <v>45849</v>
      </c>
      <c r="D289" t="inlineStr">
        <is>
          <t>NORRBOTTENS LÄN</t>
        </is>
      </c>
      <c r="E289" t="inlineStr">
        <is>
          <t>BODEN</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61770-2019</t>
        </is>
      </c>
      <c r="B290" s="1" t="n">
        <v>43784</v>
      </c>
      <c r="C290" s="1" t="n">
        <v>45849</v>
      </c>
      <c r="D290" t="inlineStr">
        <is>
          <t>NORRBOTTENS LÄN</t>
        </is>
      </c>
      <c r="E290" t="inlineStr">
        <is>
          <t>BODEN</t>
        </is>
      </c>
      <c r="G290" t="n">
        <v>2.5</v>
      </c>
      <c r="H290" t="n">
        <v>0</v>
      </c>
      <c r="I290" t="n">
        <v>0</v>
      </c>
      <c r="J290" t="n">
        <v>0</v>
      </c>
      <c r="K290" t="n">
        <v>0</v>
      </c>
      <c r="L290" t="n">
        <v>0</v>
      </c>
      <c r="M290" t="n">
        <v>0</v>
      </c>
      <c r="N290" t="n">
        <v>0</v>
      </c>
      <c r="O290" t="n">
        <v>0</v>
      </c>
      <c r="P290" t="n">
        <v>0</v>
      </c>
      <c r="Q290" t="n">
        <v>0</v>
      </c>
      <c r="R290" s="2" t="inlineStr"/>
    </row>
    <row r="291" ht="15" customHeight="1">
      <c r="A291" t="inlineStr">
        <is>
          <t>A 61769-2019</t>
        </is>
      </c>
      <c r="B291" s="1" t="n">
        <v>43784</v>
      </c>
      <c r="C291" s="1" t="n">
        <v>45849</v>
      </c>
      <c r="D291" t="inlineStr">
        <is>
          <t>NORRBOTTENS LÄN</t>
        </is>
      </c>
      <c r="E291" t="inlineStr">
        <is>
          <t>BODEN</t>
        </is>
      </c>
      <c r="G291" t="n">
        <v>0.6</v>
      </c>
      <c r="H291" t="n">
        <v>0</v>
      </c>
      <c r="I291" t="n">
        <v>0</v>
      </c>
      <c r="J291" t="n">
        <v>0</v>
      </c>
      <c r="K291" t="n">
        <v>0</v>
      </c>
      <c r="L291" t="n">
        <v>0</v>
      </c>
      <c r="M291" t="n">
        <v>0</v>
      </c>
      <c r="N291" t="n">
        <v>0</v>
      </c>
      <c r="O291" t="n">
        <v>0</v>
      </c>
      <c r="P291" t="n">
        <v>0</v>
      </c>
      <c r="Q291" t="n">
        <v>0</v>
      </c>
      <c r="R291" s="2" t="inlineStr"/>
    </row>
    <row r="292" ht="15" customHeight="1">
      <c r="A292" t="inlineStr">
        <is>
          <t>A 62164-2019</t>
        </is>
      </c>
      <c r="B292" s="1" t="n">
        <v>43787</v>
      </c>
      <c r="C292" s="1" t="n">
        <v>45849</v>
      </c>
      <c r="D292" t="inlineStr">
        <is>
          <t>NORRBOTTENS LÄN</t>
        </is>
      </c>
      <c r="E292" t="inlineStr">
        <is>
          <t>BODEN</t>
        </is>
      </c>
      <c r="F292" t="inlineStr">
        <is>
          <t>SCA</t>
        </is>
      </c>
      <c r="G292" t="n">
        <v>10.7</v>
      </c>
      <c r="H292" t="n">
        <v>0</v>
      </c>
      <c r="I292" t="n">
        <v>0</v>
      </c>
      <c r="J292" t="n">
        <v>0</v>
      </c>
      <c r="K292" t="n">
        <v>0</v>
      </c>
      <c r="L292" t="n">
        <v>0</v>
      </c>
      <c r="M292" t="n">
        <v>0</v>
      </c>
      <c r="N292" t="n">
        <v>0</v>
      </c>
      <c r="O292" t="n">
        <v>0</v>
      </c>
      <c r="P292" t="n">
        <v>0</v>
      </c>
      <c r="Q292" t="n">
        <v>0</v>
      </c>
      <c r="R292" s="2" t="inlineStr"/>
    </row>
    <row r="293" ht="15" customHeight="1">
      <c r="A293" t="inlineStr">
        <is>
          <t>A 62710-2019</t>
        </is>
      </c>
      <c r="B293" s="1" t="n">
        <v>43789</v>
      </c>
      <c r="C293" s="1" t="n">
        <v>45849</v>
      </c>
      <c r="D293" t="inlineStr">
        <is>
          <t>NORRBOTTENS LÄN</t>
        </is>
      </c>
      <c r="E293" t="inlineStr">
        <is>
          <t>BODEN</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64411-2019</t>
        </is>
      </c>
      <c r="B294" s="1" t="n">
        <v>43794</v>
      </c>
      <c r="C294" s="1" t="n">
        <v>45849</v>
      </c>
      <c r="D294" t="inlineStr">
        <is>
          <t>NORRBOTTENS LÄN</t>
        </is>
      </c>
      <c r="E294" t="inlineStr">
        <is>
          <t>BODEN</t>
        </is>
      </c>
      <c r="G294" t="n">
        <v>1.8</v>
      </c>
      <c r="H294" t="n">
        <v>0</v>
      </c>
      <c r="I294" t="n">
        <v>0</v>
      </c>
      <c r="J294" t="n">
        <v>0</v>
      </c>
      <c r="K294" t="n">
        <v>0</v>
      </c>
      <c r="L294" t="n">
        <v>0</v>
      </c>
      <c r="M294" t="n">
        <v>0</v>
      </c>
      <c r="N294" t="n">
        <v>0</v>
      </c>
      <c r="O294" t="n">
        <v>0</v>
      </c>
      <c r="P294" t="n">
        <v>0</v>
      </c>
      <c r="Q294" t="n">
        <v>0</v>
      </c>
      <c r="R294" s="2" t="inlineStr"/>
    </row>
    <row r="295" ht="15" customHeight="1">
      <c r="A295" t="inlineStr">
        <is>
          <t>A 64171-2019</t>
        </is>
      </c>
      <c r="B295" s="1" t="n">
        <v>43797</v>
      </c>
      <c r="C295" s="1" t="n">
        <v>45849</v>
      </c>
      <c r="D295" t="inlineStr">
        <is>
          <t>NORRBOTTENS LÄN</t>
        </is>
      </c>
      <c r="E295" t="inlineStr">
        <is>
          <t>BODEN</t>
        </is>
      </c>
      <c r="F295" t="inlineStr">
        <is>
          <t>Övriga Aktiebolag</t>
        </is>
      </c>
      <c r="G295" t="n">
        <v>4.7</v>
      </c>
      <c r="H295" t="n">
        <v>0</v>
      </c>
      <c r="I295" t="n">
        <v>0</v>
      </c>
      <c r="J295" t="n">
        <v>0</v>
      </c>
      <c r="K295" t="n">
        <v>0</v>
      </c>
      <c r="L295" t="n">
        <v>0</v>
      </c>
      <c r="M295" t="n">
        <v>0</v>
      </c>
      <c r="N295" t="n">
        <v>0</v>
      </c>
      <c r="O295" t="n">
        <v>0</v>
      </c>
      <c r="P295" t="n">
        <v>0</v>
      </c>
      <c r="Q295" t="n">
        <v>0</v>
      </c>
      <c r="R295" s="2" t="inlineStr"/>
    </row>
    <row r="296" ht="15" customHeight="1">
      <c r="A296" t="inlineStr">
        <is>
          <t>A 64352-2019</t>
        </is>
      </c>
      <c r="B296" s="1" t="n">
        <v>43797</v>
      </c>
      <c r="C296" s="1" t="n">
        <v>45849</v>
      </c>
      <c r="D296" t="inlineStr">
        <is>
          <t>NORRBOTTENS LÄN</t>
        </is>
      </c>
      <c r="E296" t="inlineStr">
        <is>
          <t>BODEN</t>
        </is>
      </c>
      <c r="F296" t="inlineStr">
        <is>
          <t>Övriga Aktiebolag</t>
        </is>
      </c>
      <c r="G296" t="n">
        <v>3.1</v>
      </c>
      <c r="H296" t="n">
        <v>0</v>
      </c>
      <c r="I296" t="n">
        <v>0</v>
      </c>
      <c r="J296" t="n">
        <v>0</v>
      </c>
      <c r="K296" t="n">
        <v>0</v>
      </c>
      <c r="L296" t="n">
        <v>0</v>
      </c>
      <c r="M296" t="n">
        <v>0</v>
      </c>
      <c r="N296" t="n">
        <v>0</v>
      </c>
      <c r="O296" t="n">
        <v>0</v>
      </c>
      <c r="P296" t="n">
        <v>0</v>
      </c>
      <c r="Q296" t="n">
        <v>0</v>
      </c>
      <c r="R296" s="2" t="inlineStr"/>
    </row>
    <row r="297" ht="15" customHeight="1">
      <c r="A297" t="inlineStr">
        <is>
          <t>A 65019-2019</t>
        </is>
      </c>
      <c r="B297" s="1" t="n">
        <v>43801</v>
      </c>
      <c r="C297" s="1" t="n">
        <v>45849</v>
      </c>
      <c r="D297" t="inlineStr">
        <is>
          <t>NORRBOTTENS LÄN</t>
        </is>
      </c>
      <c r="E297" t="inlineStr">
        <is>
          <t>BODEN</t>
        </is>
      </c>
      <c r="F297" t="inlineStr">
        <is>
          <t>Kommuner</t>
        </is>
      </c>
      <c r="G297" t="n">
        <v>9.1</v>
      </c>
      <c r="H297" t="n">
        <v>0</v>
      </c>
      <c r="I297" t="n">
        <v>0</v>
      </c>
      <c r="J297" t="n">
        <v>0</v>
      </c>
      <c r="K297" t="n">
        <v>0</v>
      </c>
      <c r="L297" t="n">
        <v>0</v>
      </c>
      <c r="M297" t="n">
        <v>0</v>
      </c>
      <c r="N297" t="n">
        <v>0</v>
      </c>
      <c r="O297" t="n">
        <v>0</v>
      </c>
      <c r="P297" t="n">
        <v>0</v>
      </c>
      <c r="Q297" t="n">
        <v>0</v>
      </c>
      <c r="R297" s="2" t="inlineStr"/>
    </row>
    <row r="298" ht="15" customHeight="1">
      <c r="A298" t="inlineStr">
        <is>
          <t>A 65099-2019</t>
        </is>
      </c>
      <c r="B298" s="1" t="n">
        <v>43802</v>
      </c>
      <c r="C298" s="1" t="n">
        <v>45849</v>
      </c>
      <c r="D298" t="inlineStr">
        <is>
          <t>NORRBOTTENS LÄN</t>
        </is>
      </c>
      <c r="E298" t="inlineStr">
        <is>
          <t>BODEN</t>
        </is>
      </c>
      <c r="G298" t="n">
        <v>4.2</v>
      </c>
      <c r="H298" t="n">
        <v>0</v>
      </c>
      <c r="I298" t="n">
        <v>0</v>
      </c>
      <c r="J298" t="n">
        <v>0</v>
      </c>
      <c r="K298" t="n">
        <v>0</v>
      </c>
      <c r="L298" t="n">
        <v>0</v>
      </c>
      <c r="M298" t="n">
        <v>0</v>
      </c>
      <c r="N298" t="n">
        <v>0</v>
      </c>
      <c r="O298" t="n">
        <v>0</v>
      </c>
      <c r="P298" t="n">
        <v>0</v>
      </c>
      <c r="Q298" t="n">
        <v>0</v>
      </c>
      <c r="R298" s="2" t="inlineStr"/>
    </row>
    <row r="299" ht="15" customHeight="1">
      <c r="A299" t="inlineStr">
        <is>
          <t>A 65753-2019</t>
        </is>
      </c>
      <c r="B299" s="1" t="n">
        <v>43804</v>
      </c>
      <c r="C299" s="1" t="n">
        <v>45849</v>
      </c>
      <c r="D299" t="inlineStr">
        <is>
          <t>NORRBOTTENS LÄN</t>
        </is>
      </c>
      <c r="E299" t="inlineStr">
        <is>
          <t>BODEN</t>
        </is>
      </c>
      <c r="F299" t="inlineStr">
        <is>
          <t>Kommuner</t>
        </is>
      </c>
      <c r="G299" t="n">
        <v>7.8</v>
      </c>
      <c r="H299" t="n">
        <v>0</v>
      </c>
      <c r="I299" t="n">
        <v>0</v>
      </c>
      <c r="J299" t="n">
        <v>0</v>
      </c>
      <c r="K299" t="n">
        <v>0</v>
      </c>
      <c r="L299" t="n">
        <v>0</v>
      </c>
      <c r="M299" t="n">
        <v>0</v>
      </c>
      <c r="N299" t="n">
        <v>0</v>
      </c>
      <c r="O299" t="n">
        <v>0</v>
      </c>
      <c r="P299" t="n">
        <v>0</v>
      </c>
      <c r="Q299" t="n">
        <v>0</v>
      </c>
      <c r="R299" s="2" t="inlineStr"/>
    </row>
    <row r="300" ht="15" customHeight="1">
      <c r="A300" t="inlineStr">
        <is>
          <t>A 67143-2019</t>
        </is>
      </c>
      <c r="B300" s="1" t="n">
        <v>43805</v>
      </c>
      <c r="C300" s="1" t="n">
        <v>45849</v>
      </c>
      <c r="D300" t="inlineStr">
        <is>
          <t>NORRBOTTENS LÄN</t>
        </is>
      </c>
      <c r="E300" t="inlineStr">
        <is>
          <t>BODEN</t>
        </is>
      </c>
      <c r="G300" t="n">
        <v>4</v>
      </c>
      <c r="H300" t="n">
        <v>0</v>
      </c>
      <c r="I300" t="n">
        <v>0</v>
      </c>
      <c r="J300" t="n">
        <v>0</v>
      </c>
      <c r="K300" t="n">
        <v>0</v>
      </c>
      <c r="L300" t="n">
        <v>0</v>
      </c>
      <c r="M300" t="n">
        <v>0</v>
      </c>
      <c r="N300" t="n">
        <v>0</v>
      </c>
      <c r="O300" t="n">
        <v>0</v>
      </c>
      <c r="P300" t="n">
        <v>0</v>
      </c>
      <c r="Q300" t="n">
        <v>0</v>
      </c>
      <c r="R300" s="2" t="inlineStr"/>
    </row>
    <row r="301" ht="15" customHeight="1">
      <c r="A301" t="inlineStr">
        <is>
          <t>A 66103-2019</t>
        </is>
      </c>
      <c r="B301" s="1" t="n">
        <v>43807</v>
      </c>
      <c r="C301" s="1" t="n">
        <v>45849</v>
      </c>
      <c r="D301" t="inlineStr">
        <is>
          <t>NORRBOTTENS LÄN</t>
        </is>
      </c>
      <c r="E301" t="inlineStr">
        <is>
          <t>BODEN</t>
        </is>
      </c>
      <c r="G301" t="n">
        <v>4.4</v>
      </c>
      <c r="H301" t="n">
        <v>0</v>
      </c>
      <c r="I301" t="n">
        <v>0</v>
      </c>
      <c r="J301" t="n">
        <v>0</v>
      </c>
      <c r="K301" t="n">
        <v>0</v>
      </c>
      <c r="L301" t="n">
        <v>0</v>
      </c>
      <c r="M301" t="n">
        <v>0</v>
      </c>
      <c r="N301" t="n">
        <v>0</v>
      </c>
      <c r="O301" t="n">
        <v>0</v>
      </c>
      <c r="P301" t="n">
        <v>0</v>
      </c>
      <c r="Q301" t="n">
        <v>0</v>
      </c>
      <c r="R301" s="2" t="inlineStr"/>
    </row>
    <row r="302" ht="15" customHeight="1">
      <c r="A302" t="inlineStr">
        <is>
          <t>A 66404-2019</t>
        </is>
      </c>
      <c r="B302" s="1" t="n">
        <v>43809</v>
      </c>
      <c r="C302" s="1" t="n">
        <v>45849</v>
      </c>
      <c r="D302" t="inlineStr">
        <is>
          <t>NORRBOTTENS LÄN</t>
        </is>
      </c>
      <c r="E302" t="inlineStr">
        <is>
          <t>BODEN</t>
        </is>
      </c>
      <c r="G302" t="n">
        <v>4.3</v>
      </c>
      <c r="H302" t="n">
        <v>0</v>
      </c>
      <c r="I302" t="n">
        <v>0</v>
      </c>
      <c r="J302" t="n">
        <v>0</v>
      </c>
      <c r="K302" t="n">
        <v>0</v>
      </c>
      <c r="L302" t="n">
        <v>0</v>
      </c>
      <c r="M302" t="n">
        <v>0</v>
      </c>
      <c r="N302" t="n">
        <v>0</v>
      </c>
      <c r="O302" t="n">
        <v>0</v>
      </c>
      <c r="P302" t="n">
        <v>0</v>
      </c>
      <c r="Q302" t="n">
        <v>0</v>
      </c>
      <c r="R302" s="2" t="inlineStr"/>
    </row>
    <row r="303" ht="15" customHeight="1">
      <c r="A303" t="inlineStr">
        <is>
          <t>A 66908-2019</t>
        </is>
      </c>
      <c r="B303" s="1" t="n">
        <v>43810</v>
      </c>
      <c r="C303" s="1" t="n">
        <v>45849</v>
      </c>
      <c r="D303" t="inlineStr">
        <is>
          <t>NORRBOTTENS LÄN</t>
        </is>
      </c>
      <c r="E303" t="inlineStr">
        <is>
          <t>BODEN</t>
        </is>
      </c>
      <c r="F303" t="inlineStr">
        <is>
          <t>Sveaskog</t>
        </is>
      </c>
      <c r="G303" t="n">
        <v>29.2</v>
      </c>
      <c r="H303" t="n">
        <v>0</v>
      </c>
      <c r="I303" t="n">
        <v>0</v>
      </c>
      <c r="J303" t="n">
        <v>0</v>
      </c>
      <c r="K303" t="n">
        <v>0</v>
      </c>
      <c r="L303" t="n">
        <v>0</v>
      </c>
      <c r="M303" t="n">
        <v>0</v>
      </c>
      <c r="N303" t="n">
        <v>0</v>
      </c>
      <c r="O303" t="n">
        <v>0</v>
      </c>
      <c r="P303" t="n">
        <v>0</v>
      </c>
      <c r="Q303" t="n">
        <v>0</v>
      </c>
      <c r="R303" s="2" t="inlineStr"/>
    </row>
    <row r="304" ht="15" customHeight="1">
      <c r="A304" t="inlineStr">
        <is>
          <t>A 67938-2019</t>
        </is>
      </c>
      <c r="B304" s="1" t="n">
        <v>43816</v>
      </c>
      <c r="C304" s="1" t="n">
        <v>45849</v>
      </c>
      <c r="D304" t="inlineStr">
        <is>
          <t>NORRBOTTENS LÄN</t>
        </is>
      </c>
      <c r="E304" t="inlineStr">
        <is>
          <t>BODEN</t>
        </is>
      </c>
      <c r="G304" t="n">
        <v>2.7</v>
      </c>
      <c r="H304" t="n">
        <v>0</v>
      </c>
      <c r="I304" t="n">
        <v>0</v>
      </c>
      <c r="J304" t="n">
        <v>0</v>
      </c>
      <c r="K304" t="n">
        <v>0</v>
      </c>
      <c r="L304" t="n">
        <v>0</v>
      </c>
      <c r="M304" t="n">
        <v>0</v>
      </c>
      <c r="N304" t="n">
        <v>0</v>
      </c>
      <c r="O304" t="n">
        <v>0</v>
      </c>
      <c r="P304" t="n">
        <v>0</v>
      </c>
      <c r="Q304" t="n">
        <v>0</v>
      </c>
      <c r="R304" s="2" t="inlineStr"/>
    </row>
    <row r="305" ht="15" customHeight="1">
      <c r="A305" t="inlineStr">
        <is>
          <t>A 687-2020</t>
        </is>
      </c>
      <c r="B305" s="1" t="n">
        <v>43819</v>
      </c>
      <c r="C305" s="1" t="n">
        <v>45849</v>
      </c>
      <c r="D305" t="inlineStr">
        <is>
          <t>NORRBOTTENS LÄN</t>
        </is>
      </c>
      <c r="E305" t="inlineStr">
        <is>
          <t>BODEN</t>
        </is>
      </c>
      <c r="G305" t="n">
        <v>0.5</v>
      </c>
      <c r="H305" t="n">
        <v>0</v>
      </c>
      <c r="I305" t="n">
        <v>0</v>
      </c>
      <c r="J305" t="n">
        <v>0</v>
      </c>
      <c r="K305" t="n">
        <v>0</v>
      </c>
      <c r="L305" t="n">
        <v>0</v>
      </c>
      <c r="M305" t="n">
        <v>0</v>
      </c>
      <c r="N305" t="n">
        <v>0</v>
      </c>
      <c r="O305" t="n">
        <v>0</v>
      </c>
      <c r="P305" t="n">
        <v>0</v>
      </c>
      <c r="Q305" t="n">
        <v>0</v>
      </c>
      <c r="R305" s="2" t="inlineStr"/>
    </row>
    <row r="306" ht="15" customHeight="1">
      <c r="A306" t="inlineStr">
        <is>
          <t>A 1560-2020</t>
        </is>
      </c>
      <c r="B306" s="1" t="n">
        <v>43843</v>
      </c>
      <c r="C306" s="1" t="n">
        <v>45849</v>
      </c>
      <c r="D306" t="inlineStr">
        <is>
          <t>NORRBOTTENS LÄN</t>
        </is>
      </c>
      <c r="E306" t="inlineStr">
        <is>
          <t>BODEN</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2901-2020</t>
        </is>
      </c>
      <c r="B307" s="1" t="n">
        <v>43850</v>
      </c>
      <c r="C307" s="1" t="n">
        <v>45849</v>
      </c>
      <c r="D307" t="inlineStr">
        <is>
          <t>NORRBOTTENS LÄN</t>
        </is>
      </c>
      <c r="E307" t="inlineStr">
        <is>
          <t>BODEN</t>
        </is>
      </c>
      <c r="F307" t="inlineStr">
        <is>
          <t>Övriga statliga verk och myndigheter</t>
        </is>
      </c>
      <c r="G307" t="n">
        <v>12.1</v>
      </c>
      <c r="H307" t="n">
        <v>0</v>
      </c>
      <c r="I307" t="n">
        <v>0</v>
      </c>
      <c r="J307" t="n">
        <v>0</v>
      </c>
      <c r="K307" t="n">
        <v>0</v>
      </c>
      <c r="L307" t="n">
        <v>0</v>
      </c>
      <c r="M307" t="n">
        <v>0</v>
      </c>
      <c r="N307" t="n">
        <v>0</v>
      </c>
      <c r="O307" t="n">
        <v>0</v>
      </c>
      <c r="P307" t="n">
        <v>0</v>
      </c>
      <c r="Q307" t="n">
        <v>0</v>
      </c>
      <c r="R307" s="2" t="inlineStr"/>
    </row>
    <row r="308" ht="15" customHeight="1">
      <c r="A308" t="inlineStr">
        <is>
          <t>A 2894-2020</t>
        </is>
      </c>
      <c r="B308" s="1" t="n">
        <v>43850</v>
      </c>
      <c r="C308" s="1" t="n">
        <v>45849</v>
      </c>
      <c r="D308" t="inlineStr">
        <is>
          <t>NORRBOTTENS LÄN</t>
        </is>
      </c>
      <c r="E308" t="inlineStr">
        <is>
          <t>BODEN</t>
        </is>
      </c>
      <c r="F308" t="inlineStr">
        <is>
          <t>Övriga statliga verk och myndigheter</t>
        </is>
      </c>
      <c r="G308" t="n">
        <v>19.1</v>
      </c>
      <c r="H308" t="n">
        <v>0</v>
      </c>
      <c r="I308" t="n">
        <v>0</v>
      </c>
      <c r="J308" t="n">
        <v>0</v>
      </c>
      <c r="K308" t="n">
        <v>0</v>
      </c>
      <c r="L308" t="n">
        <v>0</v>
      </c>
      <c r="M308" t="n">
        <v>0</v>
      </c>
      <c r="N308" t="n">
        <v>0</v>
      </c>
      <c r="O308" t="n">
        <v>0</v>
      </c>
      <c r="P308" t="n">
        <v>0</v>
      </c>
      <c r="Q308" t="n">
        <v>0</v>
      </c>
      <c r="R308" s="2" t="inlineStr"/>
    </row>
    <row r="309" ht="15" customHeight="1">
      <c r="A309" t="inlineStr">
        <is>
          <t>A 3669-2020</t>
        </is>
      </c>
      <c r="B309" s="1" t="n">
        <v>43853</v>
      </c>
      <c r="C309" s="1" t="n">
        <v>45849</v>
      </c>
      <c r="D309" t="inlineStr">
        <is>
          <t>NORRBOTTENS LÄN</t>
        </is>
      </c>
      <c r="E309" t="inlineStr">
        <is>
          <t>BODEN</t>
        </is>
      </c>
      <c r="G309" t="n">
        <v>6.3</v>
      </c>
      <c r="H309" t="n">
        <v>0</v>
      </c>
      <c r="I309" t="n">
        <v>0</v>
      </c>
      <c r="J309" t="n">
        <v>0</v>
      </c>
      <c r="K309" t="n">
        <v>0</v>
      </c>
      <c r="L309" t="n">
        <v>0</v>
      </c>
      <c r="M309" t="n">
        <v>0</v>
      </c>
      <c r="N309" t="n">
        <v>0</v>
      </c>
      <c r="O309" t="n">
        <v>0</v>
      </c>
      <c r="P309" t="n">
        <v>0</v>
      </c>
      <c r="Q309" t="n">
        <v>0</v>
      </c>
      <c r="R309" s="2" t="inlineStr"/>
    </row>
    <row r="310" ht="15" customHeight="1">
      <c r="A310" t="inlineStr">
        <is>
          <t>A 4223-2020</t>
        </is>
      </c>
      <c r="B310" s="1" t="n">
        <v>43854</v>
      </c>
      <c r="C310" s="1" t="n">
        <v>45849</v>
      </c>
      <c r="D310" t="inlineStr">
        <is>
          <t>NORRBOTTENS LÄN</t>
        </is>
      </c>
      <c r="E310" t="inlineStr">
        <is>
          <t>BODEN</t>
        </is>
      </c>
      <c r="G310" t="n">
        <v>3.8</v>
      </c>
      <c r="H310" t="n">
        <v>0</v>
      </c>
      <c r="I310" t="n">
        <v>0</v>
      </c>
      <c r="J310" t="n">
        <v>0</v>
      </c>
      <c r="K310" t="n">
        <v>0</v>
      </c>
      <c r="L310" t="n">
        <v>0</v>
      </c>
      <c r="M310" t="n">
        <v>0</v>
      </c>
      <c r="N310" t="n">
        <v>0</v>
      </c>
      <c r="O310" t="n">
        <v>0</v>
      </c>
      <c r="P310" t="n">
        <v>0</v>
      </c>
      <c r="Q310" t="n">
        <v>0</v>
      </c>
      <c r="R310" s="2" t="inlineStr"/>
    </row>
    <row r="311" ht="15" customHeight="1">
      <c r="A311" t="inlineStr">
        <is>
          <t>A 5526-2020</t>
        </is>
      </c>
      <c r="B311" s="1" t="n">
        <v>43859</v>
      </c>
      <c r="C311" s="1" t="n">
        <v>45849</v>
      </c>
      <c r="D311" t="inlineStr">
        <is>
          <t>NORRBOTTENS LÄN</t>
        </is>
      </c>
      <c r="E311" t="inlineStr">
        <is>
          <t>BODEN</t>
        </is>
      </c>
      <c r="G311" t="n">
        <v>7.8</v>
      </c>
      <c r="H311" t="n">
        <v>0</v>
      </c>
      <c r="I311" t="n">
        <v>0</v>
      </c>
      <c r="J311" t="n">
        <v>0</v>
      </c>
      <c r="K311" t="n">
        <v>0</v>
      </c>
      <c r="L311" t="n">
        <v>0</v>
      </c>
      <c r="M311" t="n">
        <v>0</v>
      </c>
      <c r="N311" t="n">
        <v>0</v>
      </c>
      <c r="O311" t="n">
        <v>0</v>
      </c>
      <c r="P311" t="n">
        <v>0</v>
      </c>
      <c r="Q311" t="n">
        <v>0</v>
      </c>
      <c r="R311" s="2" t="inlineStr"/>
    </row>
    <row r="312" ht="15" customHeight="1">
      <c r="A312" t="inlineStr">
        <is>
          <t>A 6516-2020</t>
        </is>
      </c>
      <c r="B312" s="1" t="n">
        <v>43865</v>
      </c>
      <c r="C312" s="1" t="n">
        <v>45849</v>
      </c>
      <c r="D312" t="inlineStr">
        <is>
          <t>NORRBOTTENS LÄN</t>
        </is>
      </c>
      <c r="E312" t="inlineStr">
        <is>
          <t>BODEN</t>
        </is>
      </c>
      <c r="G312" t="n">
        <v>5.5</v>
      </c>
      <c r="H312" t="n">
        <v>0</v>
      </c>
      <c r="I312" t="n">
        <v>0</v>
      </c>
      <c r="J312" t="n">
        <v>0</v>
      </c>
      <c r="K312" t="n">
        <v>0</v>
      </c>
      <c r="L312" t="n">
        <v>0</v>
      </c>
      <c r="M312" t="n">
        <v>0</v>
      </c>
      <c r="N312" t="n">
        <v>0</v>
      </c>
      <c r="O312" t="n">
        <v>0</v>
      </c>
      <c r="P312" t="n">
        <v>0</v>
      </c>
      <c r="Q312" t="n">
        <v>0</v>
      </c>
      <c r="R312" s="2" t="inlineStr"/>
    </row>
    <row r="313" ht="15" customHeight="1">
      <c r="A313" t="inlineStr">
        <is>
          <t>A 8096-2020</t>
        </is>
      </c>
      <c r="B313" s="1" t="n">
        <v>43874</v>
      </c>
      <c r="C313" s="1" t="n">
        <v>45849</v>
      </c>
      <c r="D313" t="inlineStr">
        <is>
          <t>NORRBOTTENS LÄN</t>
        </is>
      </c>
      <c r="E313" t="inlineStr">
        <is>
          <t>BODEN</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10591-2020</t>
        </is>
      </c>
      <c r="B314" s="1" t="n">
        <v>43887</v>
      </c>
      <c r="C314" s="1" t="n">
        <v>45849</v>
      </c>
      <c r="D314" t="inlineStr">
        <is>
          <t>NORRBOTTENS LÄN</t>
        </is>
      </c>
      <c r="E314" t="inlineStr">
        <is>
          <t>BODEN</t>
        </is>
      </c>
      <c r="G314" t="n">
        <v>2.1</v>
      </c>
      <c r="H314" t="n">
        <v>0</v>
      </c>
      <c r="I314" t="n">
        <v>0</v>
      </c>
      <c r="J314" t="n">
        <v>0</v>
      </c>
      <c r="K314" t="n">
        <v>0</v>
      </c>
      <c r="L314" t="n">
        <v>0</v>
      </c>
      <c r="M314" t="n">
        <v>0</v>
      </c>
      <c r="N314" t="n">
        <v>0</v>
      </c>
      <c r="O314" t="n">
        <v>0</v>
      </c>
      <c r="P314" t="n">
        <v>0</v>
      </c>
      <c r="Q314" t="n">
        <v>0</v>
      </c>
      <c r="R314" s="2" t="inlineStr"/>
    </row>
    <row r="315" ht="15" customHeight="1">
      <c r="A315" t="inlineStr">
        <is>
          <t>A 12358-2020</t>
        </is>
      </c>
      <c r="B315" s="1" t="n">
        <v>43896</v>
      </c>
      <c r="C315" s="1" t="n">
        <v>45849</v>
      </c>
      <c r="D315" t="inlineStr">
        <is>
          <t>NORRBOTTENS LÄN</t>
        </is>
      </c>
      <c r="E315" t="inlineStr">
        <is>
          <t>BODEN</t>
        </is>
      </c>
      <c r="G315" t="n">
        <v>2.5</v>
      </c>
      <c r="H315" t="n">
        <v>0</v>
      </c>
      <c r="I315" t="n">
        <v>0</v>
      </c>
      <c r="J315" t="n">
        <v>0</v>
      </c>
      <c r="K315" t="n">
        <v>0</v>
      </c>
      <c r="L315" t="n">
        <v>0</v>
      </c>
      <c r="M315" t="n">
        <v>0</v>
      </c>
      <c r="N315" t="n">
        <v>0</v>
      </c>
      <c r="O315" t="n">
        <v>0</v>
      </c>
      <c r="P315" t="n">
        <v>0</v>
      </c>
      <c r="Q315" t="n">
        <v>0</v>
      </c>
      <c r="R315" s="2" t="inlineStr"/>
    </row>
    <row r="316" ht="15" customHeight="1">
      <c r="A316" t="inlineStr">
        <is>
          <t>A 13119-2020</t>
        </is>
      </c>
      <c r="B316" s="1" t="n">
        <v>43901</v>
      </c>
      <c r="C316" s="1" t="n">
        <v>45849</v>
      </c>
      <c r="D316" t="inlineStr">
        <is>
          <t>NORRBOTTENS LÄN</t>
        </is>
      </c>
      <c r="E316" t="inlineStr">
        <is>
          <t>BODEN</t>
        </is>
      </c>
      <c r="F316" t="inlineStr">
        <is>
          <t>Sveaskog</t>
        </is>
      </c>
      <c r="G316" t="n">
        <v>32.5</v>
      </c>
      <c r="H316" t="n">
        <v>0</v>
      </c>
      <c r="I316" t="n">
        <v>0</v>
      </c>
      <c r="J316" t="n">
        <v>0</v>
      </c>
      <c r="K316" t="n">
        <v>0</v>
      </c>
      <c r="L316" t="n">
        <v>0</v>
      </c>
      <c r="M316" t="n">
        <v>0</v>
      </c>
      <c r="N316" t="n">
        <v>0</v>
      </c>
      <c r="O316" t="n">
        <v>0</v>
      </c>
      <c r="P316" t="n">
        <v>0</v>
      </c>
      <c r="Q316" t="n">
        <v>0</v>
      </c>
      <c r="R316" s="2" t="inlineStr"/>
    </row>
    <row r="317" ht="15" customHeight="1">
      <c r="A317" t="inlineStr">
        <is>
          <t>A 13123-2020</t>
        </is>
      </c>
      <c r="B317" s="1" t="n">
        <v>43901</v>
      </c>
      <c r="C317" s="1" t="n">
        <v>45849</v>
      </c>
      <c r="D317" t="inlineStr">
        <is>
          <t>NORRBOTTENS LÄN</t>
        </is>
      </c>
      <c r="E317" t="inlineStr">
        <is>
          <t>BODEN</t>
        </is>
      </c>
      <c r="F317" t="inlineStr">
        <is>
          <t>Sveaskog</t>
        </is>
      </c>
      <c r="G317" t="n">
        <v>41.8</v>
      </c>
      <c r="H317" t="n">
        <v>0</v>
      </c>
      <c r="I317" t="n">
        <v>0</v>
      </c>
      <c r="J317" t="n">
        <v>0</v>
      </c>
      <c r="K317" t="n">
        <v>0</v>
      </c>
      <c r="L317" t="n">
        <v>0</v>
      </c>
      <c r="M317" t="n">
        <v>0</v>
      </c>
      <c r="N317" t="n">
        <v>0</v>
      </c>
      <c r="O317" t="n">
        <v>0</v>
      </c>
      <c r="P317" t="n">
        <v>0</v>
      </c>
      <c r="Q317" t="n">
        <v>0</v>
      </c>
      <c r="R317" s="2" t="inlineStr"/>
    </row>
    <row r="318" ht="15" customHeight="1">
      <c r="A318" t="inlineStr">
        <is>
          <t>A 13293-2020</t>
        </is>
      </c>
      <c r="B318" s="1" t="n">
        <v>43901</v>
      </c>
      <c r="C318" s="1" t="n">
        <v>45849</v>
      </c>
      <c r="D318" t="inlineStr">
        <is>
          <t>NORRBOTTENS LÄN</t>
        </is>
      </c>
      <c r="E318" t="inlineStr">
        <is>
          <t>BODEN</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13821-2020</t>
        </is>
      </c>
      <c r="B319" s="1" t="n">
        <v>43905</v>
      </c>
      <c r="C319" s="1" t="n">
        <v>45849</v>
      </c>
      <c r="D319" t="inlineStr">
        <is>
          <t>NORRBOTTENS LÄN</t>
        </is>
      </c>
      <c r="E319" t="inlineStr">
        <is>
          <t>BODEN</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14325-2020</t>
        </is>
      </c>
      <c r="B320" s="1" t="n">
        <v>43907</v>
      </c>
      <c r="C320" s="1" t="n">
        <v>45849</v>
      </c>
      <c r="D320" t="inlineStr">
        <is>
          <t>NORRBOTTENS LÄN</t>
        </is>
      </c>
      <c r="E320" t="inlineStr">
        <is>
          <t>BODEN</t>
        </is>
      </c>
      <c r="F320" t="inlineStr">
        <is>
          <t>SCA</t>
        </is>
      </c>
      <c r="G320" t="n">
        <v>1.6</v>
      </c>
      <c r="H320" t="n">
        <v>0</v>
      </c>
      <c r="I320" t="n">
        <v>0</v>
      </c>
      <c r="J320" t="n">
        <v>0</v>
      </c>
      <c r="K320" t="n">
        <v>0</v>
      </c>
      <c r="L320" t="n">
        <v>0</v>
      </c>
      <c r="M320" t="n">
        <v>0</v>
      </c>
      <c r="N320" t="n">
        <v>0</v>
      </c>
      <c r="O320" t="n">
        <v>0</v>
      </c>
      <c r="P320" t="n">
        <v>0</v>
      </c>
      <c r="Q320" t="n">
        <v>0</v>
      </c>
      <c r="R320" s="2" t="inlineStr"/>
      <c r="U320">
        <f>HYPERLINK("https://klasma.github.io/Logging_2582/knärot/A 14325-2020 karta knärot.png", "A 14325-2020")</f>
        <v/>
      </c>
      <c r="V320">
        <f>HYPERLINK("https://klasma.github.io/Logging_2582/klagomål/A 14325-2020 FSC-klagomål.docx", "A 14325-2020")</f>
        <v/>
      </c>
      <c r="W320">
        <f>HYPERLINK("https://klasma.github.io/Logging_2582/klagomålsmail/A 14325-2020 FSC-klagomål mail.docx", "A 14325-2020")</f>
        <v/>
      </c>
      <c r="X320">
        <f>HYPERLINK("https://klasma.github.io/Logging_2582/tillsyn/A 14325-2020 tillsynsbegäran.docx", "A 14325-2020")</f>
        <v/>
      </c>
      <c r="Y320">
        <f>HYPERLINK("https://klasma.github.io/Logging_2582/tillsynsmail/A 14325-2020 tillsynsbegäran mail.docx", "A 14325-2020")</f>
        <v/>
      </c>
    </row>
    <row r="321" ht="15" customHeight="1">
      <c r="A321" t="inlineStr">
        <is>
          <t>A 17746-2020</t>
        </is>
      </c>
      <c r="B321" s="1" t="n">
        <v>43922</v>
      </c>
      <c r="C321" s="1" t="n">
        <v>45849</v>
      </c>
      <c r="D321" t="inlineStr">
        <is>
          <t>NORRBOTTENS LÄN</t>
        </is>
      </c>
      <c r="E321" t="inlineStr">
        <is>
          <t>BODEN</t>
        </is>
      </c>
      <c r="G321" t="n">
        <v>12.6</v>
      </c>
      <c r="H321" t="n">
        <v>0</v>
      </c>
      <c r="I321" t="n">
        <v>0</v>
      </c>
      <c r="J321" t="n">
        <v>0</v>
      </c>
      <c r="K321" t="n">
        <v>0</v>
      </c>
      <c r="L321" t="n">
        <v>0</v>
      </c>
      <c r="M321" t="n">
        <v>0</v>
      </c>
      <c r="N321" t="n">
        <v>0</v>
      </c>
      <c r="O321" t="n">
        <v>0</v>
      </c>
      <c r="P321" t="n">
        <v>0</v>
      </c>
      <c r="Q321" t="n">
        <v>0</v>
      </c>
      <c r="R321" s="2" t="inlineStr"/>
    </row>
    <row r="322" ht="15" customHeight="1">
      <c r="A322" t="inlineStr">
        <is>
          <t>A 18031-2020</t>
        </is>
      </c>
      <c r="B322" s="1" t="n">
        <v>43927</v>
      </c>
      <c r="C322" s="1" t="n">
        <v>45849</v>
      </c>
      <c r="D322" t="inlineStr">
        <is>
          <t>NORRBOTTENS LÄN</t>
        </is>
      </c>
      <c r="E322" t="inlineStr">
        <is>
          <t>BODEN</t>
        </is>
      </c>
      <c r="F322" t="inlineStr">
        <is>
          <t>Övriga statliga verk och myndigheter</t>
        </is>
      </c>
      <c r="G322" t="n">
        <v>10.3</v>
      </c>
      <c r="H322" t="n">
        <v>0</v>
      </c>
      <c r="I322" t="n">
        <v>0</v>
      </c>
      <c r="J322" t="n">
        <v>0</v>
      </c>
      <c r="K322" t="n">
        <v>0</v>
      </c>
      <c r="L322" t="n">
        <v>0</v>
      </c>
      <c r="M322" t="n">
        <v>0</v>
      </c>
      <c r="N322" t="n">
        <v>0</v>
      </c>
      <c r="O322" t="n">
        <v>0</v>
      </c>
      <c r="P322" t="n">
        <v>0</v>
      </c>
      <c r="Q322" t="n">
        <v>0</v>
      </c>
      <c r="R322" s="2" t="inlineStr"/>
    </row>
    <row r="323" ht="15" customHeight="1">
      <c r="A323" t="inlineStr">
        <is>
          <t>A 18027-2020</t>
        </is>
      </c>
      <c r="B323" s="1" t="n">
        <v>43927</v>
      </c>
      <c r="C323" s="1" t="n">
        <v>45849</v>
      </c>
      <c r="D323" t="inlineStr">
        <is>
          <t>NORRBOTTENS LÄN</t>
        </is>
      </c>
      <c r="E323" t="inlineStr">
        <is>
          <t>BODEN</t>
        </is>
      </c>
      <c r="F323" t="inlineStr">
        <is>
          <t>Övriga statliga verk och myndigheter</t>
        </is>
      </c>
      <c r="G323" t="n">
        <v>17.8</v>
      </c>
      <c r="H323" t="n">
        <v>0</v>
      </c>
      <c r="I323" t="n">
        <v>0</v>
      </c>
      <c r="J323" t="n">
        <v>0</v>
      </c>
      <c r="K323" t="n">
        <v>0</v>
      </c>
      <c r="L323" t="n">
        <v>0</v>
      </c>
      <c r="M323" t="n">
        <v>0</v>
      </c>
      <c r="N323" t="n">
        <v>0</v>
      </c>
      <c r="O323" t="n">
        <v>0</v>
      </c>
      <c r="P323" t="n">
        <v>0</v>
      </c>
      <c r="Q323" t="n">
        <v>0</v>
      </c>
      <c r="R323" s="2" t="inlineStr"/>
    </row>
    <row r="324" ht="15" customHeight="1">
      <c r="A324" t="inlineStr">
        <is>
          <t>A 19068-2020</t>
        </is>
      </c>
      <c r="B324" s="1" t="n">
        <v>43936</v>
      </c>
      <c r="C324" s="1" t="n">
        <v>45849</v>
      </c>
      <c r="D324" t="inlineStr">
        <is>
          <t>NORRBOTTENS LÄN</t>
        </is>
      </c>
      <c r="E324" t="inlineStr">
        <is>
          <t>BODEN</t>
        </is>
      </c>
      <c r="G324" t="n">
        <v>5.2</v>
      </c>
      <c r="H324" t="n">
        <v>0</v>
      </c>
      <c r="I324" t="n">
        <v>0</v>
      </c>
      <c r="J324" t="n">
        <v>0</v>
      </c>
      <c r="K324" t="n">
        <v>0</v>
      </c>
      <c r="L324" t="n">
        <v>0</v>
      </c>
      <c r="M324" t="n">
        <v>0</v>
      </c>
      <c r="N324" t="n">
        <v>0</v>
      </c>
      <c r="O324" t="n">
        <v>0</v>
      </c>
      <c r="P324" t="n">
        <v>0</v>
      </c>
      <c r="Q324" t="n">
        <v>0</v>
      </c>
      <c r="R324" s="2" t="inlineStr"/>
    </row>
    <row r="325" ht="15" customHeight="1">
      <c r="A325" t="inlineStr">
        <is>
          <t>A 22426-2020</t>
        </is>
      </c>
      <c r="B325" s="1" t="n">
        <v>43958</v>
      </c>
      <c r="C325" s="1" t="n">
        <v>45849</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22844-2020</t>
        </is>
      </c>
      <c r="B326" s="1" t="n">
        <v>43964</v>
      </c>
      <c r="C326" s="1" t="n">
        <v>45849</v>
      </c>
      <c r="D326" t="inlineStr">
        <is>
          <t>NORRBOTTENS LÄN</t>
        </is>
      </c>
      <c r="E326" t="inlineStr">
        <is>
          <t>BODEN</t>
        </is>
      </c>
      <c r="G326" t="n">
        <v>3.1</v>
      </c>
      <c r="H326" t="n">
        <v>0</v>
      </c>
      <c r="I326" t="n">
        <v>0</v>
      </c>
      <c r="J326" t="n">
        <v>0</v>
      </c>
      <c r="K326" t="n">
        <v>0</v>
      </c>
      <c r="L326" t="n">
        <v>0</v>
      </c>
      <c r="M326" t="n">
        <v>0</v>
      </c>
      <c r="N326" t="n">
        <v>0</v>
      </c>
      <c r="O326" t="n">
        <v>0</v>
      </c>
      <c r="P326" t="n">
        <v>0</v>
      </c>
      <c r="Q326" t="n">
        <v>0</v>
      </c>
      <c r="R326" s="2" t="inlineStr"/>
    </row>
    <row r="327" ht="15" customHeight="1">
      <c r="A327" t="inlineStr">
        <is>
          <t>A 22846-2020</t>
        </is>
      </c>
      <c r="B327" s="1" t="n">
        <v>43964</v>
      </c>
      <c r="C327" s="1" t="n">
        <v>45849</v>
      </c>
      <c r="D327" t="inlineStr">
        <is>
          <t>NORRBOTTENS LÄN</t>
        </is>
      </c>
      <c r="E327" t="inlineStr">
        <is>
          <t>BODEN</t>
        </is>
      </c>
      <c r="G327" t="n">
        <v>4.4</v>
      </c>
      <c r="H327" t="n">
        <v>0</v>
      </c>
      <c r="I327" t="n">
        <v>0</v>
      </c>
      <c r="J327" t="n">
        <v>0</v>
      </c>
      <c r="K327" t="n">
        <v>0</v>
      </c>
      <c r="L327" t="n">
        <v>0</v>
      </c>
      <c r="M327" t="n">
        <v>0</v>
      </c>
      <c r="N327" t="n">
        <v>0</v>
      </c>
      <c r="O327" t="n">
        <v>0</v>
      </c>
      <c r="P327" t="n">
        <v>0</v>
      </c>
      <c r="Q327" t="n">
        <v>0</v>
      </c>
      <c r="R327" s="2" t="inlineStr"/>
    </row>
    <row r="328" ht="15" customHeight="1">
      <c r="A328" t="inlineStr">
        <is>
          <t>A 23105-2020</t>
        </is>
      </c>
      <c r="B328" s="1" t="n">
        <v>43965</v>
      </c>
      <c r="C328" s="1" t="n">
        <v>45849</v>
      </c>
      <c r="D328" t="inlineStr">
        <is>
          <t>NORRBOTTENS LÄN</t>
        </is>
      </c>
      <c r="E328" t="inlineStr">
        <is>
          <t>BODEN</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24026-2020</t>
        </is>
      </c>
      <c r="B329" s="1" t="n">
        <v>43971</v>
      </c>
      <c r="C329" s="1" t="n">
        <v>45849</v>
      </c>
      <c r="D329" t="inlineStr">
        <is>
          <t>NORRBOTTENS LÄN</t>
        </is>
      </c>
      <c r="E329" t="inlineStr">
        <is>
          <t>BODEN</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25105-2020</t>
        </is>
      </c>
      <c r="B330" s="1" t="n">
        <v>43979</v>
      </c>
      <c r="C330" s="1" t="n">
        <v>45849</v>
      </c>
      <c r="D330" t="inlineStr">
        <is>
          <t>NORRBOTTENS LÄN</t>
        </is>
      </c>
      <c r="E330" t="inlineStr">
        <is>
          <t>BODEN</t>
        </is>
      </c>
      <c r="G330" t="n">
        <v>4.7</v>
      </c>
      <c r="H330" t="n">
        <v>0</v>
      </c>
      <c r="I330" t="n">
        <v>0</v>
      </c>
      <c r="J330" t="n">
        <v>0</v>
      </c>
      <c r="K330" t="n">
        <v>0</v>
      </c>
      <c r="L330" t="n">
        <v>0</v>
      </c>
      <c r="M330" t="n">
        <v>0</v>
      </c>
      <c r="N330" t="n">
        <v>0</v>
      </c>
      <c r="O330" t="n">
        <v>0</v>
      </c>
      <c r="P330" t="n">
        <v>0</v>
      </c>
      <c r="Q330" t="n">
        <v>0</v>
      </c>
      <c r="R330" s="2" t="inlineStr"/>
    </row>
    <row r="331" ht="15" customHeight="1">
      <c r="A331" t="inlineStr">
        <is>
          <t>A 25439-2020</t>
        </is>
      </c>
      <c r="B331" s="1" t="n">
        <v>43983</v>
      </c>
      <c r="C331" s="1" t="n">
        <v>45849</v>
      </c>
      <c r="D331" t="inlineStr">
        <is>
          <t>NORRBOTTENS LÄN</t>
        </is>
      </c>
      <c r="E331" t="inlineStr">
        <is>
          <t>BODEN</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25541-2020</t>
        </is>
      </c>
      <c r="B332" s="1" t="n">
        <v>43983</v>
      </c>
      <c r="C332" s="1" t="n">
        <v>45849</v>
      </c>
      <c r="D332" t="inlineStr">
        <is>
          <t>NORRBOTTENS LÄN</t>
        </is>
      </c>
      <c r="E332" t="inlineStr">
        <is>
          <t>BODEN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25446-2020</t>
        </is>
      </c>
      <c r="B333" s="1" t="n">
        <v>43983</v>
      </c>
      <c r="C333" s="1" t="n">
        <v>45849</v>
      </c>
      <c r="D333" t="inlineStr">
        <is>
          <t>NORRBOTTENS LÄN</t>
        </is>
      </c>
      <c r="E333" t="inlineStr">
        <is>
          <t>BODEN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25449-2020</t>
        </is>
      </c>
      <c r="B334" s="1" t="n">
        <v>43983</v>
      </c>
      <c r="C334" s="1" t="n">
        <v>45849</v>
      </c>
      <c r="D334" t="inlineStr">
        <is>
          <t>NORRBOTTENS LÄN</t>
        </is>
      </c>
      <c r="E334" t="inlineStr">
        <is>
          <t>BODEN</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26916-2020</t>
        </is>
      </c>
      <c r="B335" s="1" t="n">
        <v>43990</v>
      </c>
      <c r="C335" s="1" t="n">
        <v>45849</v>
      </c>
      <c r="D335" t="inlineStr">
        <is>
          <t>NORRBOTTENS LÄN</t>
        </is>
      </c>
      <c r="E335" t="inlineStr">
        <is>
          <t>BODEN</t>
        </is>
      </c>
      <c r="G335" t="n">
        <v>0.5</v>
      </c>
      <c r="H335" t="n">
        <v>0</v>
      </c>
      <c r="I335" t="n">
        <v>0</v>
      </c>
      <c r="J335" t="n">
        <v>0</v>
      </c>
      <c r="K335" t="n">
        <v>0</v>
      </c>
      <c r="L335" t="n">
        <v>0</v>
      </c>
      <c r="M335" t="n">
        <v>0</v>
      </c>
      <c r="N335" t="n">
        <v>0</v>
      </c>
      <c r="O335" t="n">
        <v>0</v>
      </c>
      <c r="P335" t="n">
        <v>0</v>
      </c>
      <c r="Q335" t="n">
        <v>0</v>
      </c>
      <c r="R335" s="2" t="inlineStr"/>
    </row>
    <row r="336" ht="15" customHeight="1">
      <c r="A336" t="inlineStr">
        <is>
          <t>A 27876-2020</t>
        </is>
      </c>
      <c r="B336" s="1" t="n">
        <v>43994</v>
      </c>
      <c r="C336" s="1" t="n">
        <v>45849</v>
      </c>
      <c r="D336" t="inlineStr">
        <is>
          <t>NORRBOTTENS LÄN</t>
        </is>
      </c>
      <c r="E336" t="inlineStr">
        <is>
          <t>BODEN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28202-2020</t>
        </is>
      </c>
      <c r="B337" s="1" t="n">
        <v>43997</v>
      </c>
      <c r="C337" s="1" t="n">
        <v>45849</v>
      </c>
      <c r="D337" t="inlineStr">
        <is>
          <t>NORRBOTTENS LÄN</t>
        </is>
      </c>
      <c r="E337" t="inlineStr">
        <is>
          <t>BODEN</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28488-2020</t>
        </is>
      </c>
      <c r="B338" s="1" t="n">
        <v>43998</v>
      </c>
      <c r="C338" s="1" t="n">
        <v>45849</v>
      </c>
      <c r="D338" t="inlineStr">
        <is>
          <t>NORRBOTTENS LÄN</t>
        </is>
      </c>
      <c r="E338" t="inlineStr">
        <is>
          <t>BODEN</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29247-2020</t>
        </is>
      </c>
      <c r="B339" s="1" t="n">
        <v>44004</v>
      </c>
      <c r="C339" s="1" t="n">
        <v>45849</v>
      </c>
      <c r="D339" t="inlineStr">
        <is>
          <t>NORRBOTTENS LÄN</t>
        </is>
      </c>
      <c r="E339" t="inlineStr">
        <is>
          <t>BODEN</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29567-2020</t>
        </is>
      </c>
      <c r="B340" s="1" t="n">
        <v>44005</v>
      </c>
      <c r="C340" s="1" t="n">
        <v>45849</v>
      </c>
      <c r="D340" t="inlineStr">
        <is>
          <t>NORRBOTTENS LÄN</t>
        </is>
      </c>
      <c r="E340" t="inlineStr">
        <is>
          <t>BODEN</t>
        </is>
      </c>
      <c r="G340" t="n">
        <v>0.2</v>
      </c>
      <c r="H340" t="n">
        <v>0</v>
      </c>
      <c r="I340" t="n">
        <v>0</v>
      </c>
      <c r="J340" t="n">
        <v>0</v>
      </c>
      <c r="K340" t="n">
        <v>0</v>
      </c>
      <c r="L340" t="n">
        <v>0</v>
      </c>
      <c r="M340" t="n">
        <v>0</v>
      </c>
      <c r="N340" t="n">
        <v>0</v>
      </c>
      <c r="O340" t="n">
        <v>0</v>
      </c>
      <c r="P340" t="n">
        <v>0</v>
      </c>
      <c r="Q340" t="n">
        <v>0</v>
      </c>
      <c r="R340" s="2" t="inlineStr"/>
    </row>
    <row r="341" ht="15" customHeight="1">
      <c r="A341" t="inlineStr">
        <is>
          <t>A 29610-2020</t>
        </is>
      </c>
      <c r="B341" s="1" t="n">
        <v>44005</v>
      </c>
      <c r="C341" s="1" t="n">
        <v>45849</v>
      </c>
      <c r="D341" t="inlineStr">
        <is>
          <t>NORRBOTTENS LÄN</t>
        </is>
      </c>
      <c r="E341" t="inlineStr">
        <is>
          <t>BODEN</t>
        </is>
      </c>
      <c r="G341" t="n">
        <v>2.4</v>
      </c>
      <c r="H341" t="n">
        <v>0</v>
      </c>
      <c r="I341" t="n">
        <v>0</v>
      </c>
      <c r="J341" t="n">
        <v>0</v>
      </c>
      <c r="K341" t="n">
        <v>0</v>
      </c>
      <c r="L341" t="n">
        <v>0</v>
      </c>
      <c r="M341" t="n">
        <v>0</v>
      </c>
      <c r="N341" t="n">
        <v>0</v>
      </c>
      <c r="O341" t="n">
        <v>0</v>
      </c>
      <c r="P341" t="n">
        <v>0</v>
      </c>
      <c r="Q341" t="n">
        <v>0</v>
      </c>
      <c r="R341" s="2" t="inlineStr"/>
    </row>
    <row r="342" ht="15" customHeight="1">
      <c r="A342" t="inlineStr">
        <is>
          <t>A 29659-2020</t>
        </is>
      </c>
      <c r="B342" s="1" t="n">
        <v>44005</v>
      </c>
      <c r="C342" s="1" t="n">
        <v>45849</v>
      </c>
      <c r="D342" t="inlineStr">
        <is>
          <t>NORRBOTTENS LÄN</t>
        </is>
      </c>
      <c r="E342" t="inlineStr">
        <is>
          <t>BODEN</t>
        </is>
      </c>
      <c r="F342" t="inlineStr">
        <is>
          <t>Sveaskog</t>
        </is>
      </c>
      <c r="G342" t="n">
        <v>66.90000000000001</v>
      </c>
      <c r="H342" t="n">
        <v>0</v>
      </c>
      <c r="I342" t="n">
        <v>0</v>
      </c>
      <c r="J342" t="n">
        <v>0</v>
      </c>
      <c r="K342" t="n">
        <v>0</v>
      </c>
      <c r="L342" t="n">
        <v>0</v>
      </c>
      <c r="M342" t="n">
        <v>0</v>
      </c>
      <c r="N342" t="n">
        <v>0</v>
      </c>
      <c r="O342" t="n">
        <v>0</v>
      </c>
      <c r="P342" t="n">
        <v>0</v>
      </c>
      <c r="Q342" t="n">
        <v>0</v>
      </c>
      <c r="R342" s="2" t="inlineStr"/>
    </row>
    <row r="343" ht="15" customHeight="1">
      <c r="A343" t="inlineStr">
        <is>
          <t>A 29622-2020</t>
        </is>
      </c>
      <c r="B343" s="1" t="n">
        <v>44005</v>
      </c>
      <c r="C343" s="1" t="n">
        <v>45849</v>
      </c>
      <c r="D343" t="inlineStr">
        <is>
          <t>NORRBOTTENS LÄN</t>
        </is>
      </c>
      <c r="E343" t="inlineStr">
        <is>
          <t>BODEN</t>
        </is>
      </c>
      <c r="G343" t="n">
        <v>0.2</v>
      </c>
      <c r="H343" t="n">
        <v>0</v>
      </c>
      <c r="I343" t="n">
        <v>0</v>
      </c>
      <c r="J343" t="n">
        <v>0</v>
      </c>
      <c r="K343" t="n">
        <v>0</v>
      </c>
      <c r="L343" t="n">
        <v>0</v>
      </c>
      <c r="M343" t="n">
        <v>0</v>
      </c>
      <c r="N343" t="n">
        <v>0</v>
      </c>
      <c r="O343" t="n">
        <v>0</v>
      </c>
      <c r="P343" t="n">
        <v>0</v>
      </c>
      <c r="Q343" t="n">
        <v>0</v>
      </c>
      <c r="R343" s="2" t="inlineStr"/>
    </row>
    <row r="344" ht="15" customHeight="1">
      <c r="A344" t="inlineStr">
        <is>
          <t>A 30334-2020</t>
        </is>
      </c>
      <c r="B344" s="1" t="n">
        <v>44007</v>
      </c>
      <c r="C344" s="1" t="n">
        <v>45849</v>
      </c>
      <c r="D344" t="inlineStr">
        <is>
          <t>NORRBOTTENS LÄN</t>
        </is>
      </c>
      <c r="E344" t="inlineStr">
        <is>
          <t>BODEN</t>
        </is>
      </c>
      <c r="G344" t="n">
        <v>2</v>
      </c>
      <c r="H344" t="n">
        <v>0</v>
      </c>
      <c r="I344" t="n">
        <v>0</v>
      </c>
      <c r="J344" t="n">
        <v>0</v>
      </c>
      <c r="K344" t="n">
        <v>0</v>
      </c>
      <c r="L344" t="n">
        <v>0</v>
      </c>
      <c r="M344" t="n">
        <v>0</v>
      </c>
      <c r="N344" t="n">
        <v>0</v>
      </c>
      <c r="O344" t="n">
        <v>0</v>
      </c>
      <c r="P344" t="n">
        <v>0</v>
      </c>
      <c r="Q344" t="n">
        <v>0</v>
      </c>
      <c r="R344" s="2" t="inlineStr"/>
    </row>
    <row r="345" ht="15" customHeight="1">
      <c r="A345" t="inlineStr">
        <is>
          <t>A 30307-2020</t>
        </is>
      </c>
      <c r="B345" s="1" t="n">
        <v>44007</v>
      </c>
      <c r="C345" s="1" t="n">
        <v>45849</v>
      </c>
      <c r="D345" t="inlineStr">
        <is>
          <t>NORRBOTTENS LÄN</t>
        </is>
      </c>
      <c r="E345" t="inlineStr">
        <is>
          <t>BODEN</t>
        </is>
      </c>
      <c r="G345" t="n">
        <v>10.6</v>
      </c>
      <c r="H345" t="n">
        <v>0</v>
      </c>
      <c r="I345" t="n">
        <v>0</v>
      </c>
      <c r="J345" t="n">
        <v>0</v>
      </c>
      <c r="K345" t="n">
        <v>0</v>
      </c>
      <c r="L345" t="n">
        <v>0</v>
      </c>
      <c r="M345" t="n">
        <v>0</v>
      </c>
      <c r="N345" t="n">
        <v>0</v>
      </c>
      <c r="O345" t="n">
        <v>0</v>
      </c>
      <c r="P345" t="n">
        <v>0</v>
      </c>
      <c r="Q345" t="n">
        <v>0</v>
      </c>
      <c r="R345" s="2" t="inlineStr"/>
    </row>
    <row r="346" ht="15" customHeight="1">
      <c r="A346" t="inlineStr">
        <is>
          <t>A 30326-2020</t>
        </is>
      </c>
      <c r="B346" s="1" t="n">
        <v>44007</v>
      </c>
      <c r="C346" s="1" t="n">
        <v>45849</v>
      </c>
      <c r="D346" t="inlineStr">
        <is>
          <t>NORRBOTTENS LÄN</t>
        </is>
      </c>
      <c r="E346" t="inlineStr">
        <is>
          <t>BODEN</t>
        </is>
      </c>
      <c r="G346" t="n">
        <v>3.5</v>
      </c>
      <c r="H346" t="n">
        <v>0</v>
      </c>
      <c r="I346" t="n">
        <v>0</v>
      </c>
      <c r="J346" t="n">
        <v>0</v>
      </c>
      <c r="K346" t="n">
        <v>0</v>
      </c>
      <c r="L346" t="n">
        <v>0</v>
      </c>
      <c r="M346" t="n">
        <v>0</v>
      </c>
      <c r="N346" t="n">
        <v>0</v>
      </c>
      <c r="O346" t="n">
        <v>0</v>
      </c>
      <c r="P346" t="n">
        <v>0</v>
      </c>
      <c r="Q346" t="n">
        <v>0</v>
      </c>
      <c r="R346" s="2" t="inlineStr"/>
    </row>
    <row r="347" ht="15" customHeight="1">
      <c r="A347" t="inlineStr">
        <is>
          <t>A 30565-2020</t>
        </is>
      </c>
      <c r="B347" s="1" t="n">
        <v>44008</v>
      </c>
      <c r="C347" s="1" t="n">
        <v>45849</v>
      </c>
      <c r="D347" t="inlineStr">
        <is>
          <t>NORRBOTTENS LÄN</t>
        </is>
      </c>
      <c r="E347" t="inlineStr">
        <is>
          <t>BODEN</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31429-2020</t>
        </is>
      </c>
      <c r="B348" s="1" t="n">
        <v>44013</v>
      </c>
      <c r="C348" s="1" t="n">
        <v>45849</v>
      </c>
      <c r="D348" t="inlineStr">
        <is>
          <t>NORRBOTTENS LÄN</t>
        </is>
      </c>
      <c r="E348" t="inlineStr">
        <is>
          <t>BODEN</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31978-2020</t>
        </is>
      </c>
      <c r="B349" s="1" t="n">
        <v>44015</v>
      </c>
      <c r="C349" s="1" t="n">
        <v>45849</v>
      </c>
      <c r="D349" t="inlineStr">
        <is>
          <t>NORRBOTTENS LÄN</t>
        </is>
      </c>
      <c r="E349" t="inlineStr">
        <is>
          <t>BODEN</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32151-2020</t>
        </is>
      </c>
      <c r="B350" s="1" t="n">
        <v>44015</v>
      </c>
      <c r="C350" s="1" t="n">
        <v>45849</v>
      </c>
      <c r="D350" t="inlineStr">
        <is>
          <t>NORRBOTTENS LÄN</t>
        </is>
      </c>
      <c r="E350" t="inlineStr">
        <is>
          <t>BODEN</t>
        </is>
      </c>
      <c r="G350" t="n">
        <v>0.5</v>
      </c>
      <c r="H350" t="n">
        <v>0</v>
      </c>
      <c r="I350" t="n">
        <v>0</v>
      </c>
      <c r="J350" t="n">
        <v>0</v>
      </c>
      <c r="K350" t="n">
        <v>0</v>
      </c>
      <c r="L350" t="n">
        <v>0</v>
      </c>
      <c r="M350" t="n">
        <v>0</v>
      </c>
      <c r="N350" t="n">
        <v>0</v>
      </c>
      <c r="O350" t="n">
        <v>0</v>
      </c>
      <c r="P350" t="n">
        <v>0</v>
      </c>
      <c r="Q350" t="n">
        <v>0</v>
      </c>
      <c r="R350" s="2" t="inlineStr"/>
    </row>
    <row r="351" ht="15" customHeight="1">
      <c r="A351" t="inlineStr">
        <is>
          <t>A 32424-2020</t>
        </is>
      </c>
      <c r="B351" s="1" t="n">
        <v>44015</v>
      </c>
      <c r="C351" s="1" t="n">
        <v>45849</v>
      </c>
      <c r="D351" t="inlineStr">
        <is>
          <t>NORRBOTTENS LÄN</t>
        </is>
      </c>
      <c r="E351" t="inlineStr">
        <is>
          <t>BODEN</t>
        </is>
      </c>
      <c r="G351" t="n">
        <v>9.1</v>
      </c>
      <c r="H351" t="n">
        <v>0</v>
      </c>
      <c r="I351" t="n">
        <v>0</v>
      </c>
      <c r="J351" t="n">
        <v>0</v>
      </c>
      <c r="K351" t="n">
        <v>0</v>
      </c>
      <c r="L351" t="n">
        <v>0</v>
      </c>
      <c r="M351" t="n">
        <v>0</v>
      </c>
      <c r="N351" t="n">
        <v>0</v>
      </c>
      <c r="O351" t="n">
        <v>0</v>
      </c>
      <c r="P351" t="n">
        <v>0</v>
      </c>
      <c r="Q351" t="n">
        <v>0</v>
      </c>
      <c r="R351" s="2" t="inlineStr"/>
    </row>
    <row r="352" ht="15" customHeight="1">
      <c r="A352" t="inlineStr">
        <is>
          <t>A 32985-2020</t>
        </is>
      </c>
      <c r="B352" s="1" t="n">
        <v>44020</v>
      </c>
      <c r="C352" s="1" t="n">
        <v>45849</v>
      </c>
      <c r="D352" t="inlineStr">
        <is>
          <t>NORRBOTTENS LÄN</t>
        </is>
      </c>
      <c r="E352" t="inlineStr">
        <is>
          <t>BODEN</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33034-2020</t>
        </is>
      </c>
      <c r="B353" s="1" t="n">
        <v>44021</v>
      </c>
      <c r="C353" s="1" t="n">
        <v>45849</v>
      </c>
      <c r="D353" t="inlineStr">
        <is>
          <t>NORRBOTTENS LÄN</t>
        </is>
      </c>
      <c r="E353" t="inlineStr">
        <is>
          <t>BODEN</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33319-2020</t>
        </is>
      </c>
      <c r="B354" s="1" t="n">
        <v>44022</v>
      </c>
      <c r="C354" s="1" t="n">
        <v>45849</v>
      </c>
      <c r="D354" t="inlineStr">
        <is>
          <t>NORRBOTTENS LÄN</t>
        </is>
      </c>
      <c r="E354" t="inlineStr">
        <is>
          <t>BODEN</t>
        </is>
      </c>
      <c r="F354" t="inlineStr">
        <is>
          <t>Sveaskog</t>
        </is>
      </c>
      <c r="G354" t="n">
        <v>13.5</v>
      </c>
      <c r="H354" t="n">
        <v>0</v>
      </c>
      <c r="I354" t="n">
        <v>0</v>
      </c>
      <c r="J354" t="n">
        <v>0</v>
      </c>
      <c r="K354" t="n">
        <v>0</v>
      </c>
      <c r="L354" t="n">
        <v>0</v>
      </c>
      <c r="M354" t="n">
        <v>0</v>
      </c>
      <c r="N354" t="n">
        <v>0</v>
      </c>
      <c r="O354" t="n">
        <v>0</v>
      </c>
      <c r="P354" t="n">
        <v>0</v>
      </c>
      <c r="Q354" t="n">
        <v>0</v>
      </c>
      <c r="R354" s="2" t="inlineStr"/>
    </row>
    <row r="355" ht="15" customHeight="1">
      <c r="A355" t="inlineStr">
        <is>
          <t>A 34264-2020</t>
        </is>
      </c>
      <c r="B355" s="1" t="n">
        <v>44029</v>
      </c>
      <c r="C355" s="1" t="n">
        <v>45849</v>
      </c>
      <c r="D355" t="inlineStr">
        <is>
          <t>NORRBOTTENS LÄN</t>
        </is>
      </c>
      <c r="E355" t="inlineStr">
        <is>
          <t>BODEN</t>
        </is>
      </c>
      <c r="F355" t="inlineStr">
        <is>
          <t>SCA</t>
        </is>
      </c>
      <c r="G355" t="n">
        <v>9</v>
      </c>
      <c r="H355" t="n">
        <v>0</v>
      </c>
      <c r="I355" t="n">
        <v>0</v>
      </c>
      <c r="J355" t="n">
        <v>0</v>
      </c>
      <c r="K355" t="n">
        <v>0</v>
      </c>
      <c r="L355" t="n">
        <v>0</v>
      </c>
      <c r="M355" t="n">
        <v>0</v>
      </c>
      <c r="N355" t="n">
        <v>0</v>
      </c>
      <c r="O355" t="n">
        <v>0</v>
      </c>
      <c r="P355" t="n">
        <v>0</v>
      </c>
      <c r="Q355" t="n">
        <v>0</v>
      </c>
      <c r="R355" s="2" t="inlineStr"/>
    </row>
    <row r="356" ht="15" customHeight="1">
      <c r="A356" t="inlineStr">
        <is>
          <t>A 34267-2020</t>
        </is>
      </c>
      <c r="B356" s="1" t="n">
        <v>44029</v>
      </c>
      <c r="C356" s="1" t="n">
        <v>45849</v>
      </c>
      <c r="D356" t="inlineStr">
        <is>
          <t>NORRBOTTENS LÄN</t>
        </is>
      </c>
      <c r="E356" t="inlineStr">
        <is>
          <t>BODEN</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34266-2020</t>
        </is>
      </c>
      <c r="B357" s="1" t="n">
        <v>44029</v>
      </c>
      <c r="C357" s="1" t="n">
        <v>45849</v>
      </c>
      <c r="D357" t="inlineStr">
        <is>
          <t>NORRBOTTENS LÄN</t>
        </is>
      </c>
      <c r="E357" t="inlineStr">
        <is>
          <t>BODEN</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34790-2020</t>
        </is>
      </c>
      <c r="B358" s="1" t="n">
        <v>44035</v>
      </c>
      <c r="C358" s="1" t="n">
        <v>45849</v>
      </c>
      <c r="D358" t="inlineStr">
        <is>
          <t>NORRBOTTENS LÄN</t>
        </is>
      </c>
      <c r="E358" t="inlineStr">
        <is>
          <t>BODEN</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34786-2020</t>
        </is>
      </c>
      <c r="B359" s="1" t="n">
        <v>44035</v>
      </c>
      <c r="C359" s="1" t="n">
        <v>45849</v>
      </c>
      <c r="D359" t="inlineStr">
        <is>
          <t>NORRBOTTENS LÄN</t>
        </is>
      </c>
      <c r="E359" t="inlineStr">
        <is>
          <t>BODEN</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34791-2020</t>
        </is>
      </c>
      <c r="B360" s="1" t="n">
        <v>44035</v>
      </c>
      <c r="C360" s="1" t="n">
        <v>45849</v>
      </c>
      <c r="D360" t="inlineStr">
        <is>
          <t>NORRBOTTENS LÄN</t>
        </is>
      </c>
      <c r="E360" t="inlineStr">
        <is>
          <t>BODEN</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34788-2020</t>
        </is>
      </c>
      <c r="B361" s="1" t="n">
        <v>44035</v>
      </c>
      <c r="C361" s="1" t="n">
        <v>45849</v>
      </c>
      <c r="D361" t="inlineStr">
        <is>
          <t>NORRBOTTENS LÄN</t>
        </is>
      </c>
      <c r="E361" t="inlineStr">
        <is>
          <t>BODEN</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34792-2020</t>
        </is>
      </c>
      <c r="B362" s="1" t="n">
        <v>44035</v>
      </c>
      <c r="C362" s="1" t="n">
        <v>45849</v>
      </c>
      <c r="D362" t="inlineStr">
        <is>
          <t>NORRBOTTENS LÄN</t>
        </is>
      </c>
      <c r="E362" t="inlineStr">
        <is>
          <t>BODEN</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34795-2020</t>
        </is>
      </c>
      <c r="B363" s="1" t="n">
        <v>44035</v>
      </c>
      <c r="C363" s="1" t="n">
        <v>45849</v>
      </c>
      <c r="D363" t="inlineStr">
        <is>
          <t>NORRBOTTENS LÄN</t>
        </is>
      </c>
      <c r="E363" t="inlineStr">
        <is>
          <t>BODEN</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34789-2020</t>
        </is>
      </c>
      <c r="B364" s="1" t="n">
        <v>44035</v>
      </c>
      <c r="C364" s="1" t="n">
        <v>45849</v>
      </c>
      <c r="D364" t="inlineStr">
        <is>
          <t>NORRBOTTENS LÄN</t>
        </is>
      </c>
      <c r="E364" t="inlineStr">
        <is>
          <t>BODEN</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34793-2020</t>
        </is>
      </c>
      <c r="B365" s="1" t="n">
        <v>44035</v>
      </c>
      <c r="C365" s="1" t="n">
        <v>45849</v>
      </c>
      <c r="D365" t="inlineStr">
        <is>
          <t>NORRBOTTENS LÄN</t>
        </is>
      </c>
      <c r="E365" t="inlineStr">
        <is>
          <t>BODEN</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35701-2020</t>
        </is>
      </c>
      <c r="B366" s="1" t="n">
        <v>44046</v>
      </c>
      <c r="C366" s="1" t="n">
        <v>45849</v>
      </c>
      <c r="D366" t="inlineStr">
        <is>
          <t>NORRBOTTENS LÄN</t>
        </is>
      </c>
      <c r="E366" t="inlineStr">
        <is>
          <t>BODEN</t>
        </is>
      </c>
      <c r="G366" t="n">
        <v>0.5</v>
      </c>
      <c r="H366" t="n">
        <v>0</v>
      </c>
      <c r="I366" t="n">
        <v>0</v>
      </c>
      <c r="J366" t="n">
        <v>0</v>
      </c>
      <c r="K366" t="n">
        <v>0</v>
      </c>
      <c r="L366" t="n">
        <v>0</v>
      </c>
      <c r="M366" t="n">
        <v>0</v>
      </c>
      <c r="N366" t="n">
        <v>0</v>
      </c>
      <c r="O366" t="n">
        <v>0</v>
      </c>
      <c r="P366" t="n">
        <v>0</v>
      </c>
      <c r="Q366" t="n">
        <v>0</v>
      </c>
      <c r="R366" s="2" t="inlineStr"/>
    </row>
    <row r="367" ht="15" customHeight="1">
      <c r="A367" t="inlineStr">
        <is>
          <t>A 35903-2020</t>
        </is>
      </c>
      <c r="B367" s="1" t="n">
        <v>44047</v>
      </c>
      <c r="C367" s="1" t="n">
        <v>45849</v>
      </c>
      <c r="D367" t="inlineStr">
        <is>
          <t>NORRBOTTENS LÄN</t>
        </is>
      </c>
      <c r="E367" t="inlineStr">
        <is>
          <t>BODEN</t>
        </is>
      </c>
      <c r="F367" t="inlineStr">
        <is>
          <t>Sveaskog</t>
        </is>
      </c>
      <c r="G367" t="n">
        <v>3.5</v>
      </c>
      <c r="H367" t="n">
        <v>0</v>
      </c>
      <c r="I367" t="n">
        <v>0</v>
      </c>
      <c r="J367" t="n">
        <v>0</v>
      </c>
      <c r="K367" t="n">
        <v>0</v>
      </c>
      <c r="L367" t="n">
        <v>0</v>
      </c>
      <c r="M367" t="n">
        <v>0</v>
      </c>
      <c r="N367" t="n">
        <v>0</v>
      </c>
      <c r="O367" t="n">
        <v>0</v>
      </c>
      <c r="P367" t="n">
        <v>0</v>
      </c>
      <c r="Q367" t="n">
        <v>0</v>
      </c>
      <c r="R367" s="2" t="inlineStr"/>
    </row>
    <row r="368" ht="15" customHeight="1">
      <c r="A368" t="inlineStr">
        <is>
          <t>A 36651-2020</t>
        </is>
      </c>
      <c r="B368" s="1" t="n">
        <v>44050</v>
      </c>
      <c r="C368" s="1" t="n">
        <v>45849</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36515-2020</t>
        </is>
      </c>
      <c r="B369" s="1" t="n">
        <v>44050</v>
      </c>
      <c r="C369" s="1" t="n">
        <v>45849</v>
      </c>
      <c r="D369" t="inlineStr">
        <is>
          <t>NORRBOTTENS LÄN</t>
        </is>
      </c>
      <c r="E369" t="inlineStr">
        <is>
          <t>BODEN</t>
        </is>
      </c>
      <c r="F369" t="inlineStr">
        <is>
          <t>Sveaskog</t>
        </is>
      </c>
      <c r="G369" t="n">
        <v>3.8</v>
      </c>
      <c r="H369" t="n">
        <v>0</v>
      </c>
      <c r="I369" t="n">
        <v>0</v>
      </c>
      <c r="J369" t="n">
        <v>0</v>
      </c>
      <c r="K369" t="n">
        <v>0</v>
      </c>
      <c r="L369" t="n">
        <v>0</v>
      </c>
      <c r="M369" t="n">
        <v>0</v>
      </c>
      <c r="N369" t="n">
        <v>0</v>
      </c>
      <c r="O369" t="n">
        <v>0</v>
      </c>
      <c r="P369" t="n">
        <v>0</v>
      </c>
      <c r="Q369" t="n">
        <v>0</v>
      </c>
      <c r="R369" s="2" t="inlineStr"/>
    </row>
    <row r="370" ht="15" customHeight="1">
      <c r="A370" t="inlineStr">
        <is>
          <t>A 36653-2020</t>
        </is>
      </c>
      <c r="B370" s="1" t="n">
        <v>44051</v>
      </c>
      <c r="C370" s="1" t="n">
        <v>45849</v>
      </c>
      <c r="D370" t="inlineStr">
        <is>
          <t>NORRBOTTENS LÄN</t>
        </is>
      </c>
      <c r="E370" t="inlineStr">
        <is>
          <t>BODEN</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36960-2020</t>
        </is>
      </c>
      <c r="B371" s="1" t="n">
        <v>44053</v>
      </c>
      <c r="C371" s="1" t="n">
        <v>45849</v>
      </c>
      <c r="D371" t="inlineStr">
        <is>
          <t>NORRBOTTENS LÄN</t>
        </is>
      </c>
      <c r="E371" t="inlineStr">
        <is>
          <t>BODEN</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36984-2020</t>
        </is>
      </c>
      <c r="B372" s="1" t="n">
        <v>44054</v>
      </c>
      <c r="C372" s="1" t="n">
        <v>45849</v>
      </c>
      <c r="D372" t="inlineStr">
        <is>
          <t>NORRBOTTENS LÄN</t>
        </is>
      </c>
      <c r="E372" t="inlineStr">
        <is>
          <t>BODEN</t>
        </is>
      </c>
      <c r="F372" t="inlineStr">
        <is>
          <t>Övriga Aktiebolag</t>
        </is>
      </c>
      <c r="G372" t="n">
        <v>44.4</v>
      </c>
      <c r="H372" t="n">
        <v>0</v>
      </c>
      <c r="I372" t="n">
        <v>0</v>
      </c>
      <c r="J372" t="n">
        <v>0</v>
      </c>
      <c r="K372" t="n">
        <v>0</v>
      </c>
      <c r="L372" t="n">
        <v>0</v>
      </c>
      <c r="M372" t="n">
        <v>0</v>
      </c>
      <c r="N372" t="n">
        <v>0</v>
      </c>
      <c r="O372" t="n">
        <v>0</v>
      </c>
      <c r="P372" t="n">
        <v>0</v>
      </c>
      <c r="Q372" t="n">
        <v>0</v>
      </c>
      <c r="R372" s="2" t="inlineStr"/>
    </row>
    <row r="373" ht="15" customHeight="1">
      <c r="A373" t="inlineStr">
        <is>
          <t>A 37886-2020</t>
        </is>
      </c>
      <c r="B373" s="1" t="n">
        <v>44057</v>
      </c>
      <c r="C373" s="1" t="n">
        <v>45849</v>
      </c>
      <c r="D373" t="inlineStr">
        <is>
          <t>NORRBOTTENS LÄN</t>
        </is>
      </c>
      <c r="E373" t="inlineStr">
        <is>
          <t>BODEN</t>
        </is>
      </c>
      <c r="G373" t="n">
        <v>3</v>
      </c>
      <c r="H373" t="n">
        <v>0</v>
      </c>
      <c r="I373" t="n">
        <v>0</v>
      </c>
      <c r="J373" t="n">
        <v>0</v>
      </c>
      <c r="K373" t="n">
        <v>0</v>
      </c>
      <c r="L373" t="n">
        <v>0</v>
      </c>
      <c r="M373" t="n">
        <v>0</v>
      </c>
      <c r="N373" t="n">
        <v>0</v>
      </c>
      <c r="O373" t="n">
        <v>0</v>
      </c>
      <c r="P373" t="n">
        <v>0</v>
      </c>
      <c r="Q373" t="n">
        <v>0</v>
      </c>
      <c r="R373" s="2" t="inlineStr"/>
    </row>
    <row r="374" ht="15" customHeight="1">
      <c r="A374" t="inlineStr">
        <is>
          <t>A 38991-2020</t>
        </is>
      </c>
      <c r="B374" s="1" t="n">
        <v>44062</v>
      </c>
      <c r="C374" s="1" t="n">
        <v>45849</v>
      </c>
      <c r="D374" t="inlineStr">
        <is>
          <t>NORRBOTTENS LÄN</t>
        </is>
      </c>
      <c r="E374" t="inlineStr">
        <is>
          <t>BODEN</t>
        </is>
      </c>
      <c r="G374" t="n">
        <v>9.5</v>
      </c>
      <c r="H374" t="n">
        <v>0</v>
      </c>
      <c r="I374" t="n">
        <v>0</v>
      </c>
      <c r="J374" t="n">
        <v>0</v>
      </c>
      <c r="K374" t="n">
        <v>0</v>
      </c>
      <c r="L374" t="n">
        <v>0</v>
      </c>
      <c r="M374" t="n">
        <v>0</v>
      </c>
      <c r="N374" t="n">
        <v>0</v>
      </c>
      <c r="O374" t="n">
        <v>0</v>
      </c>
      <c r="P374" t="n">
        <v>0</v>
      </c>
      <c r="Q374" t="n">
        <v>0</v>
      </c>
      <c r="R374" s="2" t="inlineStr"/>
    </row>
    <row r="375" ht="15" customHeight="1">
      <c r="A375" t="inlineStr">
        <is>
          <t>A 39843-2020</t>
        </is>
      </c>
      <c r="B375" s="1" t="n">
        <v>44064</v>
      </c>
      <c r="C375" s="1" t="n">
        <v>45849</v>
      </c>
      <c r="D375" t="inlineStr">
        <is>
          <t>NORRBOTTENS LÄN</t>
        </is>
      </c>
      <c r="E375" t="inlineStr">
        <is>
          <t>BODEN</t>
        </is>
      </c>
      <c r="G375" t="n">
        <v>1.3</v>
      </c>
      <c r="H375" t="n">
        <v>0</v>
      </c>
      <c r="I375" t="n">
        <v>0</v>
      </c>
      <c r="J375" t="n">
        <v>0</v>
      </c>
      <c r="K375" t="n">
        <v>0</v>
      </c>
      <c r="L375" t="n">
        <v>0</v>
      </c>
      <c r="M375" t="n">
        <v>0</v>
      </c>
      <c r="N375" t="n">
        <v>0</v>
      </c>
      <c r="O375" t="n">
        <v>0</v>
      </c>
      <c r="P375" t="n">
        <v>0</v>
      </c>
      <c r="Q375" t="n">
        <v>0</v>
      </c>
      <c r="R375" s="2" t="inlineStr"/>
    </row>
    <row r="376" ht="15" customHeight="1">
      <c r="A376" t="inlineStr">
        <is>
          <t>A 40282-2020</t>
        </is>
      </c>
      <c r="B376" s="1" t="n">
        <v>44067</v>
      </c>
      <c r="C376" s="1" t="n">
        <v>45849</v>
      </c>
      <c r="D376" t="inlineStr">
        <is>
          <t>NORRBOTTENS LÄN</t>
        </is>
      </c>
      <c r="E376" t="inlineStr">
        <is>
          <t>BODEN</t>
        </is>
      </c>
      <c r="G376" t="n">
        <v>2.4</v>
      </c>
      <c r="H376" t="n">
        <v>0</v>
      </c>
      <c r="I376" t="n">
        <v>0</v>
      </c>
      <c r="J376" t="n">
        <v>0</v>
      </c>
      <c r="K376" t="n">
        <v>0</v>
      </c>
      <c r="L376" t="n">
        <v>0</v>
      </c>
      <c r="M376" t="n">
        <v>0</v>
      </c>
      <c r="N376" t="n">
        <v>0</v>
      </c>
      <c r="O376" t="n">
        <v>0</v>
      </c>
      <c r="P376" t="n">
        <v>0</v>
      </c>
      <c r="Q376" t="n">
        <v>0</v>
      </c>
      <c r="R376" s="2" t="inlineStr"/>
    </row>
    <row r="377" ht="15" customHeight="1">
      <c r="A377" t="inlineStr">
        <is>
          <t>A 41021-2020</t>
        </is>
      </c>
      <c r="B377" s="1" t="n">
        <v>44070</v>
      </c>
      <c r="C377" s="1" t="n">
        <v>45849</v>
      </c>
      <c r="D377" t="inlineStr">
        <is>
          <t>NORRBOTTENS LÄN</t>
        </is>
      </c>
      <c r="E377" t="inlineStr">
        <is>
          <t>BODEN</t>
        </is>
      </c>
      <c r="F377" t="inlineStr">
        <is>
          <t>Sveaskog</t>
        </is>
      </c>
      <c r="G377" t="n">
        <v>6.7</v>
      </c>
      <c r="H377" t="n">
        <v>0</v>
      </c>
      <c r="I377" t="n">
        <v>0</v>
      </c>
      <c r="J377" t="n">
        <v>0</v>
      </c>
      <c r="K377" t="n">
        <v>0</v>
      </c>
      <c r="L377" t="n">
        <v>0</v>
      </c>
      <c r="M377" t="n">
        <v>0</v>
      </c>
      <c r="N377" t="n">
        <v>0</v>
      </c>
      <c r="O377" t="n">
        <v>0</v>
      </c>
      <c r="P377" t="n">
        <v>0</v>
      </c>
      <c r="Q377" t="n">
        <v>0</v>
      </c>
      <c r="R377" s="2" t="inlineStr"/>
    </row>
    <row r="378" ht="15" customHeight="1">
      <c r="A378" t="inlineStr">
        <is>
          <t>A 41985-2020</t>
        </is>
      </c>
      <c r="B378" s="1" t="n">
        <v>44075</v>
      </c>
      <c r="C378" s="1" t="n">
        <v>45849</v>
      </c>
      <c r="D378" t="inlineStr">
        <is>
          <t>NORRBOTTENS LÄN</t>
        </is>
      </c>
      <c r="E378" t="inlineStr">
        <is>
          <t>BODEN</t>
        </is>
      </c>
      <c r="G378" t="n">
        <v>1.1</v>
      </c>
      <c r="H378" t="n">
        <v>0</v>
      </c>
      <c r="I378" t="n">
        <v>0</v>
      </c>
      <c r="J378" t="n">
        <v>0</v>
      </c>
      <c r="K378" t="n">
        <v>0</v>
      </c>
      <c r="L378" t="n">
        <v>0</v>
      </c>
      <c r="M378" t="n">
        <v>0</v>
      </c>
      <c r="N378" t="n">
        <v>0</v>
      </c>
      <c r="O378" t="n">
        <v>0</v>
      </c>
      <c r="P378" t="n">
        <v>0</v>
      </c>
      <c r="Q378" t="n">
        <v>0</v>
      </c>
      <c r="R378" s="2" t="inlineStr"/>
    </row>
    <row r="379" ht="15" customHeight="1">
      <c r="A379" t="inlineStr">
        <is>
          <t>A 42624-2020</t>
        </is>
      </c>
      <c r="B379" s="1" t="n">
        <v>44077</v>
      </c>
      <c r="C379" s="1" t="n">
        <v>45849</v>
      </c>
      <c r="D379" t="inlineStr">
        <is>
          <t>NORRBOTTENS LÄN</t>
        </is>
      </c>
      <c r="E379" t="inlineStr">
        <is>
          <t>BODEN</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42618-2020</t>
        </is>
      </c>
      <c r="B380" s="1" t="n">
        <v>44077</v>
      </c>
      <c r="C380" s="1" t="n">
        <v>45849</v>
      </c>
      <c r="D380" t="inlineStr">
        <is>
          <t>NORRBOTTENS LÄN</t>
        </is>
      </c>
      <c r="E380" t="inlineStr">
        <is>
          <t>BODEN</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45676-2020</t>
        </is>
      </c>
      <c r="B381" s="1" t="n">
        <v>44090</v>
      </c>
      <c r="C381" s="1" t="n">
        <v>45849</v>
      </c>
      <c r="D381" t="inlineStr">
        <is>
          <t>NORRBOTTENS LÄN</t>
        </is>
      </c>
      <c r="E381" t="inlineStr">
        <is>
          <t>BODEN</t>
        </is>
      </c>
      <c r="G381" t="n">
        <v>0.2</v>
      </c>
      <c r="H381" t="n">
        <v>0</v>
      </c>
      <c r="I381" t="n">
        <v>0</v>
      </c>
      <c r="J381" t="n">
        <v>0</v>
      </c>
      <c r="K381" t="n">
        <v>0</v>
      </c>
      <c r="L381" t="n">
        <v>0</v>
      </c>
      <c r="M381" t="n">
        <v>0</v>
      </c>
      <c r="N381" t="n">
        <v>0</v>
      </c>
      <c r="O381" t="n">
        <v>0</v>
      </c>
      <c r="P381" t="n">
        <v>0</v>
      </c>
      <c r="Q381" t="n">
        <v>0</v>
      </c>
      <c r="R381" s="2" t="inlineStr"/>
    </row>
    <row r="382" ht="15" customHeight="1">
      <c r="A382" t="inlineStr">
        <is>
          <t>A 46292-2020</t>
        </is>
      </c>
      <c r="B382" s="1" t="n">
        <v>44092</v>
      </c>
      <c r="C382" s="1" t="n">
        <v>45849</v>
      </c>
      <c r="D382" t="inlineStr">
        <is>
          <t>NORRBOTTENS LÄN</t>
        </is>
      </c>
      <c r="E382" t="inlineStr">
        <is>
          <t>BODEN</t>
        </is>
      </c>
      <c r="F382" t="inlineStr">
        <is>
          <t>Sveaskog</t>
        </is>
      </c>
      <c r="G382" t="n">
        <v>7.6</v>
      </c>
      <c r="H382" t="n">
        <v>0</v>
      </c>
      <c r="I382" t="n">
        <v>0</v>
      </c>
      <c r="J382" t="n">
        <v>0</v>
      </c>
      <c r="K382" t="n">
        <v>0</v>
      </c>
      <c r="L382" t="n">
        <v>0</v>
      </c>
      <c r="M382" t="n">
        <v>0</v>
      </c>
      <c r="N382" t="n">
        <v>0</v>
      </c>
      <c r="O382" t="n">
        <v>0</v>
      </c>
      <c r="P382" t="n">
        <v>0</v>
      </c>
      <c r="Q382" t="n">
        <v>0</v>
      </c>
      <c r="R382" s="2" t="inlineStr"/>
    </row>
    <row r="383" ht="15" customHeight="1">
      <c r="A383" t="inlineStr">
        <is>
          <t>A 48777-2020</t>
        </is>
      </c>
      <c r="B383" s="1" t="n">
        <v>44099</v>
      </c>
      <c r="C383" s="1" t="n">
        <v>45849</v>
      </c>
      <c r="D383" t="inlineStr">
        <is>
          <t>NORRBOTTENS LÄN</t>
        </is>
      </c>
      <c r="E383" t="inlineStr">
        <is>
          <t>BODEN</t>
        </is>
      </c>
      <c r="G383" t="n">
        <v>2.3</v>
      </c>
      <c r="H383" t="n">
        <v>0</v>
      </c>
      <c r="I383" t="n">
        <v>0</v>
      </c>
      <c r="J383" t="n">
        <v>0</v>
      </c>
      <c r="K383" t="n">
        <v>0</v>
      </c>
      <c r="L383" t="n">
        <v>0</v>
      </c>
      <c r="M383" t="n">
        <v>0</v>
      </c>
      <c r="N383" t="n">
        <v>0</v>
      </c>
      <c r="O383" t="n">
        <v>0</v>
      </c>
      <c r="P383" t="n">
        <v>0</v>
      </c>
      <c r="Q383" t="n">
        <v>0</v>
      </c>
      <c r="R383" s="2" t="inlineStr"/>
    </row>
    <row r="384" ht="15" customHeight="1">
      <c r="A384" t="inlineStr">
        <is>
          <t>A 50526-2020</t>
        </is>
      </c>
      <c r="B384" s="1" t="n">
        <v>44110</v>
      </c>
      <c r="C384" s="1" t="n">
        <v>45849</v>
      </c>
      <c r="D384" t="inlineStr">
        <is>
          <t>NORRBOTTENS LÄN</t>
        </is>
      </c>
      <c r="E384" t="inlineStr">
        <is>
          <t>BODEN</t>
        </is>
      </c>
      <c r="G384" t="n">
        <v>5</v>
      </c>
      <c r="H384" t="n">
        <v>0</v>
      </c>
      <c r="I384" t="n">
        <v>0</v>
      </c>
      <c r="J384" t="n">
        <v>0</v>
      </c>
      <c r="K384" t="n">
        <v>0</v>
      </c>
      <c r="L384" t="n">
        <v>0</v>
      </c>
      <c r="M384" t="n">
        <v>0</v>
      </c>
      <c r="N384" t="n">
        <v>0</v>
      </c>
      <c r="O384" t="n">
        <v>0</v>
      </c>
      <c r="P384" t="n">
        <v>0</v>
      </c>
      <c r="Q384" t="n">
        <v>0</v>
      </c>
      <c r="R384" s="2" t="inlineStr"/>
    </row>
    <row r="385" ht="15" customHeight="1">
      <c r="A385" t="inlineStr">
        <is>
          <t>A 50545-2020</t>
        </is>
      </c>
      <c r="B385" s="1" t="n">
        <v>44110</v>
      </c>
      <c r="C385" s="1" t="n">
        <v>45849</v>
      </c>
      <c r="D385" t="inlineStr">
        <is>
          <t>NORRBOTTENS LÄN</t>
        </is>
      </c>
      <c r="E385" t="inlineStr">
        <is>
          <t>BODEN</t>
        </is>
      </c>
      <c r="G385" t="n">
        <v>4.2</v>
      </c>
      <c r="H385" t="n">
        <v>0</v>
      </c>
      <c r="I385" t="n">
        <v>0</v>
      </c>
      <c r="J385" t="n">
        <v>0</v>
      </c>
      <c r="K385" t="n">
        <v>0</v>
      </c>
      <c r="L385" t="n">
        <v>0</v>
      </c>
      <c r="M385" t="n">
        <v>0</v>
      </c>
      <c r="N385" t="n">
        <v>0</v>
      </c>
      <c r="O385" t="n">
        <v>0</v>
      </c>
      <c r="P385" t="n">
        <v>0</v>
      </c>
      <c r="Q385" t="n">
        <v>0</v>
      </c>
      <c r="R385" s="2" t="inlineStr"/>
    </row>
    <row r="386" ht="15" customHeight="1">
      <c r="A386" t="inlineStr">
        <is>
          <t>A 50621-2020</t>
        </is>
      </c>
      <c r="B386" s="1" t="n">
        <v>44110</v>
      </c>
      <c r="C386" s="1" t="n">
        <v>45849</v>
      </c>
      <c r="D386" t="inlineStr">
        <is>
          <t>NORRBOTTENS LÄN</t>
        </is>
      </c>
      <c r="E386" t="inlineStr">
        <is>
          <t>BODEN</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50618-2020</t>
        </is>
      </c>
      <c r="B387" s="1" t="n">
        <v>44110</v>
      </c>
      <c r="C387" s="1" t="n">
        <v>45849</v>
      </c>
      <c r="D387" t="inlineStr">
        <is>
          <t>NORRBOTTENS LÄN</t>
        </is>
      </c>
      <c r="E387" t="inlineStr">
        <is>
          <t>BODEN</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50623-2020</t>
        </is>
      </c>
      <c r="B388" s="1" t="n">
        <v>44110</v>
      </c>
      <c r="C388" s="1" t="n">
        <v>45849</v>
      </c>
      <c r="D388" t="inlineStr">
        <is>
          <t>NORRBOTTENS LÄN</t>
        </is>
      </c>
      <c r="E388" t="inlineStr">
        <is>
          <t>BODEN</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50617-2020</t>
        </is>
      </c>
      <c r="B389" s="1" t="n">
        <v>44110</v>
      </c>
      <c r="C389" s="1" t="n">
        <v>45849</v>
      </c>
      <c r="D389" t="inlineStr">
        <is>
          <t>NORRBOTTENS LÄN</t>
        </is>
      </c>
      <c r="E389" t="inlineStr">
        <is>
          <t>BODEN</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50736-2020</t>
        </is>
      </c>
      <c r="B390" s="1" t="n">
        <v>44111</v>
      </c>
      <c r="C390" s="1" t="n">
        <v>45849</v>
      </c>
      <c r="D390" t="inlineStr">
        <is>
          <t>NORRBOTTENS LÄN</t>
        </is>
      </c>
      <c r="E390" t="inlineStr">
        <is>
          <t>BODEN</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52591-2020</t>
        </is>
      </c>
      <c r="B391" s="1" t="n">
        <v>44116</v>
      </c>
      <c r="C391" s="1" t="n">
        <v>45849</v>
      </c>
      <c r="D391" t="inlineStr">
        <is>
          <t>NORRBOTTENS LÄN</t>
        </is>
      </c>
      <c r="E391" t="inlineStr">
        <is>
          <t>BODEN</t>
        </is>
      </c>
      <c r="G391" t="n">
        <v>2.5</v>
      </c>
      <c r="H391" t="n">
        <v>0</v>
      </c>
      <c r="I391" t="n">
        <v>0</v>
      </c>
      <c r="J391" t="n">
        <v>0</v>
      </c>
      <c r="K391" t="n">
        <v>0</v>
      </c>
      <c r="L391" t="n">
        <v>0</v>
      </c>
      <c r="M391" t="n">
        <v>0</v>
      </c>
      <c r="N391" t="n">
        <v>0</v>
      </c>
      <c r="O391" t="n">
        <v>0</v>
      </c>
      <c r="P391" t="n">
        <v>0</v>
      </c>
      <c r="Q391" t="n">
        <v>0</v>
      </c>
      <c r="R391" s="2" t="inlineStr"/>
    </row>
    <row r="392" ht="15" customHeight="1">
      <c r="A392" t="inlineStr">
        <is>
          <t>A 52903-2020</t>
        </is>
      </c>
      <c r="B392" s="1" t="n">
        <v>44119</v>
      </c>
      <c r="C392" s="1" t="n">
        <v>45849</v>
      </c>
      <c r="D392" t="inlineStr">
        <is>
          <t>NORRBOTTENS LÄN</t>
        </is>
      </c>
      <c r="E392" t="inlineStr">
        <is>
          <t>BODEN</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53102-2020</t>
        </is>
      </c>
      <c r="B393" s="1" t="n">
        <v>44120</v>
      </c>
      <c r="C393" s="1" t="n">
        <v>45849</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53065-2020</t>
        </is>
      </c>
      <c r="B394" s="1" t="n">
        <v>44120</v>
      </c>
      <c r="C394" s="1" t="n">
        <v>45849</v>
      </c>
      <c r="D394" t="inlineStr">
        <is>
          <t>NORRBOTTENS LÄN</t>
        </is>
      </c>
      <c r="E394" t="inlineStr">
        <is>
          <t>BODEN</t>
        </is>
      </c>
      <c r="G394" t="n">
        <v>3</v>
      </c>
      <c r="H394" t="n">
        <v>0</v>
      </c>
      <c r="I394" t="n">
        <v>0</v>
      </c>
      <c r="J394" t="n">
        <v>0</v>
      </c>
      <c r="K394" t="n">
        <v>0</v>
      </c>
      <c r="L394" t="n">
        <v>0</v>
      </c>
      <c r="M394" t="n">
        <v>0</v>
      </c>
      <c r="N394" t="n">
        <v>0</v>
      </c>
      <c r="O394" t="n">
        <v>0</v>
      </c>
      <c r="P394" t="n">
        <v>0</v>
      </c>
      <c r="Q394" t="n">
        <v>0</v>
      </c>
      <c r="R394" s="2" t="inlineStr"/>
    </row>
    <row r="395" ht="15" customHeight="1">
      <c r="A395" t="inlineStr">
        <is>
          <t>A 53069-2020</t>
        </is>
      </c>
      <c r="B395" s="1" t="n">
        <v>44120</v>
      </c>
      <c r="C395" s="1" t="n">
        <v>45849</v>
      </c>
      <c r="D395" t="inlineStr">
        <is>
          <t>NORRBOTTENS LÄN</t>
        </is>
      </c>
      <c r="E395" t="inlineStr">
        <is>
          <t>BODEN</t>
        </is>
      </c>
      <c r="G395" t="n">
        <v>2.8</v>
      </c>
      <c r="H395" t="n">
        <v>0</v>
      </c>
      <c r="I395" t="n">
        <v>0</v>
      </c>
      <c r="J395" t="n">
        <v>0</v>
      </c>
      <c r="K395" t="n">
        <v>0</v>
      </c>
      <c r="L395" t="n">
        <v>0</v>
      </c>
      <c r="M395" t="n">
        <v>0</v>
      </c>
      <c r="N395" t="n">
        <v>0</v>
      </c>
      <c r="O395" t="n">
        <v>0</v>
      </c>
      <c r="P395" t="n">
        <v>0</v>
      </c>
      <c r="Q395" t="n">
        <v>0</v>
      </c>
      <c r="R395" s="2" t="inlineStr"/>
    </row>
    <row r="396" ht="15" customHeight="1">
      <c r="A396" t="inlineStr">
        <is>
          <t>A 53829-2020</t>
        </is>
      </c>
      <c r="B396" s="1" t="n">
        <v>44124</v>
      </c>
      <c r="C396" s="1" t="n">
        <v>45849</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53744-2020</t>
        </is>
      </c>
      <c r="B397" s="1" t="n">
        <v>44124</v>
      </c>
      <c r="C397" s="1" t="n">
        <v>45849</v>
      </c>
      <c r="D397" t="inlineStr">
        <is>
          <t>NORRBOTTENS LÄN</t>
        </is>
      </c>
      <c r="E397" t="inlineStr">
        <is>
          <t>BODEN</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53859-2020</t>
        </is>
      </c>
      <c r="B398" s="1" t="n">
        <v>44125</v>
      </c>
      <c r="C398" s="1" t="n">
        <v>45849</v>
      </c>
      <c r="D398" t="inlineStr">
        <is>
          <t>NORRBOTTENS LÄN</t>
        </is>
      </c>
      <c r="E398" t="inlineStr">
        <is>
          <t>BODEN</t>
        </is>
      </c>
      <c r="F398" t="inlineStr">
        <is>
          <t>Sveaskog</t>
        </is>
      </c>
      <c r="G398" t="n">
        <v>0.4</v>
      </c>
      <c r="H398" t="n">
        <v>0</v>
      </c>
      <c r="I398" t="n">
        <v>0</v>
      </c>
      <c r="J398" t="n">
        <v>0</v>
      </c>
      <c r="K398" t="n">
        <v>0</v>
      </c>
      <c r="L398" t="n">
        <v>0</v>
      </c>
      <c r="M398" t="n">
        <v>0</v>
      </c>
      <c r="N398" t="n">
        <v>0</v>
      </c>
      <c r="O398" t="n">
        <v>0</v>
      </c>
      <c r="P398" t="n">
        <v>0</v>
      </c>
      <c r="Q398" t="n">
        <v>0</v>
      </c>
      <c r="R398" s="2" t="inlineStr"/>
    </row>
    <row r="399" ht="15" customHeight="1">
      <c r="A399" t="inlineStr">
        <is>
          <t>A 54451-2020</t>
        </is>
      </c>
      <c r="B399" s="1" t="n">
        <v>44126</v>
      </c>
      <c r="C399" s="1" t="n">
        <v>45849</v>
      </c>
      <c r="D399" t="inlineStr">
        <is>
          <t>NORRBOTTENS LÄN</t>
        </is>
      </c>
      <c r="E399" t="inlineStr">
        <is>
          <t>BODEN</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54614-2020</t>
        </is>
      </c>
      <c r="B400" s="1" t="n">
        <v>44127</v>
      </c>
      <c r="C400" s="1" t="n">
        <v>45849</v>
      </c>
      <c r="D400" t="inlineStr">
        <is>
          <t>NORRBOTTENS LÄN</t>
        </is>
      </c>
      <c r="E400" t="inlineStr">
        <is>
          <t>BODEN</t>
        </is>
      </c>
      <c r="G400" t="n">
        <v>49.1</v>
      </c>
      <c r="H400" t="n">
        <v>0</v>
      </c>
      <c r="I400" t="n">
        <v>0</v>
      </c>
      <c r="J400" t="n">
        <v>0</v>
      </c>
      <c r="K400" t="n">
        <v>0</v>
      </c>
      <c r="L400" t="n">
        <v>0</v>
      </c>
      <c r="M400" t="n">
        <v>0</v>
      </c>
      <c r="N400" t="n">
        <v>0</v>
      </c>
      <c r="O400" t="n">
        <v>0</v>
      </c>
      <c r="P400" t="n">
        <v>0</v>
      </c>
      <c r="Q400" t="n">
        <v>0</v>
      </c>
      <c r="R400" s="2" t="inlineStr"/>
    </row>
    <row r="401" ht="15" customHeight="1">
      <c r="A401" t="inlineStr">
        <is>
          <t>A 55059-2020</t>
        </is>
      </c>
      <c r="B401" s="1" t="n">
        <v>44130</v>
      </c>
      <c r="C401" s="1" t="n">
        <v>45849</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57089-2020</t>
        </is>
      </c>
      <c r="B402" s="1" t="n">
        <v>44138</v>
      </c>
      <c r="C402" s="1" t="n">
        <v>45849</v>
      </c>
      <c r="D402" t="inlineStr">
        <is>
          <t>NORRBOTTENS LÄN</t>
        </is>
      </c>
      <c r="E402" t="inlineStr">
        <is>
          <t>BODEN</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57988-2020</t>
        </is>
      </c>
      <c r="B403" s="1" t="n">
        <v>44143</v>
      </c>
      <c r="C403" s="1" t="n">
        <v>45849</v>
      </c>
      <c r="D403" t="inlineStr">
        <is>
          <t>NORRBOTTENS LÄN</t>
        </is>
      </c>
      <c r="E403" t="inlineStr">
        <is>
          <t>BODEN</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59775-2020</t>
        </is>
      </c>
      <c r="B404" s="1" t="n">
        <v>44151</v>
      </c>
      <c r="C404" s="1" t="n">
        <v>45849</v>
      </c>
      <c r="D404" t="inlineStr">
        <is>
          <t>NORRBOTTENS LÄN</t>
        </is>
      </c>
      <c r="E404" t="inlineStr">
        <is>
          <t>BODEN</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60047-2020</t>
        </is>
      </c>
      <c r="B405" s="1" t="n">
        <v>44151</v>
      </c>
      <c r="C405" s="1" t="n">
        <v>45849</v>
      </c>
      <c r="D405" t="inlineStr">
        <is>
          <t>NORRBOTTENS LÄN</t>
        </is>
      </c>
      <c r="E405" t="inlineStr">
        <is>
          <t>BODEN</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60984-2020</t>
        </is>
      </c>
      <c r="B406" s="1" t="n">
        <v>44153</v>
      </c>
      <c r="C406" s="1" t="n">
        <v>45849</v>
      </c>
      <c r="D406" t="inlineStr">
        <is>
          <t>NORRBOTTENS LÄN</t>
        </is>
      </c>
      <c r="E406" t="inlineStr">
        <is>
          <t>BODEN</t>
        </is>
      </c>
      <c r="F406" t="inlineStr">
        <is>
          <t>Kyrkan</t>
        </is>
      </c>
      <c r="G406" t="n">
        <v>3.6</v>
      </c>
      <c r="H406" t="n">
        <v>0</v>
      </c>
      <c r="I406" t="n">
        <v>0</v>
      </c>
      <c r="J406" t="n">
        <v>0</v>
      </c>
      <c r="K406" t="n">
        <v>0</v>
      </c>
      <c r="L406" t="n">
        <v>0</v>
      </c>
      <c r="M406" t="n">
        <v>0</v>
      </c>
      <c r="N406" t="n">
        <v>0</v>
      </c>
      <c r="O406" t="n">
        <v>0</v>
      </c>
      <c r="P406" t="n">
        <v>0</v>
      </c>
      <c r="Q406" t="n">
        <v>0</v>
      </c>
      <c r="R406" s="2" t="inlineStr"/>
    </row>
    <row r="407" ht="15" customHeight="1">
      <c r="A407" t="inlineStr">
        <is>
          <t>A 61328-2020</t>
        </is>
      </c>
      <c r="B407" s="1" t="n">
        <v>44154</v>
      </c>
      <c r="C407" s="1" t="n">
        <v>45849</v>
      </c>
      <c r="D407" t="inlineStr">
        <is>
          <t>NORRBOTTENS LÄN</t>
        </is>
      </c>
      <c r="E407" t="inlineStr">
        <is>
          <t>BODEN</t>
        </is>
      </c>
      <c r="G407" t="n">
        <v>4.7</v>
      </c>
      <c r="H407" t="n">
        <v>0</v>
      </c>
      <c r="I407" t="n">
        <v>0</v>
      </c>
      <c r="J407" t="n">
        <v>0</v>
      </c>
      <c r="K407" t="n">
        <v>0</v>
      </c>
      <c r="L407" t="n">
        <v>0</v>
      </c>
      <c r="M407" t="n">
        <v>0</v>
      </c>
      <c r="N407" t="n">
        <v>0</v>
      </c>
      <c r="O407" t="n">
        <v>0</v>
      </c>
      <c r="P407" t="n">
        <v>0</v>
      </c>
      <c r="Q407" t="n">
        <v>0</v>
      </c>
      <c r="R407" s="2" t="inlineStr"/>
    </row>
    <row r="408" ht="15" customHeight="1">
      <c r="A408" t="inlineStr">
        <is>
          <t>A 62066-2020</t>
        </is>
      </c>
      <c r="B408" s="1" t="n">
        <v>44158</v>
      </c>
      <c r="C408" s="1" t="n">
        <v>45849</v>
      </c>
      <c r="D408" t="inlineStr">
        <is>
          <t>NORRBOTTENS LÄN</t>
        </is>
      </c>
      <c r="E408" t="inlineStr">
        <is>
          <t>BODEN</t>
        </is>
      </c>
      <c r="G408" t="n">
        <v>2.5</v>
      </c>
      <c r="H408" t="n">
        <v>0</v>
      </c>
      <c r="I408" t="n">
        <v>0</v>
      </c>
      <c r="J408" t="n">
        <v>0</v>
      </c>
      <c r="K408" t="n">
        <v>0</v>
      </c>
      <c r="L408" t="n">
        <v>0</v>
      </c>
      <c r="M408" t="n">
        <v>0</v>
      </c>
      <c r="N408" t="n">
        <v>0</v>
      </c>
      <c r="O408" t="n">
        <v>0</v>
      </c>
      <c r="P408" t="n">
        <v>0</v>
      </c>
      <c r="Q408" t="n">
        <v>0</v>
      </c>
      <c r="R408" s="2" t="inlineStr"/>
    </row>
    <row r="409" ht="15" customHeight="1">
      <c r="A409" t="inlineStr">
        <is>
          <t>A 62079-2020</t>
        </is>
      </c>
      <c r="B409" s="1" t="n">
        <v>44158</v>
      </c>
      <c r="C409" s="1" t="n">
        <v>45849</v>
      </c>
      <c r="D409" t="inlineStr">
        <is>
          <t>NORRBOTTENS LÄN</t>
        </is>
      </c>
      <c r="E409" t="inlineStr">
        <is>
          <t>BODEN</t>
        </is>
      </c>
      <c r="G409" t="n">
        <v>5.5</v>
      </c>
      <c r="H409" t="n">
        <v>0</v>
      </c>
      <c r="I409" t="n">
        <v>0</v>
      </c>
      <c r="J409" t="n">
        <v>0</v>
      </c>
      <c r="K409" t="n">
        <v>0</v>
      </c>
      <c r="L409" t="n">
        <v>0</v>
      </c>
      <c r="M409" t="n">
        <v>0</v>
      </c>
      <c r="N409" t="n">
        <v>0</v>
      </c>
      <c r="O409" t="n">
        <v>0</v>
      </c>
      <c r="P409" t="n">
        <v>0</v>
      </c>
      <c r="Q409" t="n">
        <v>0</v>
      </c>
      <c r="R409" s="2" t="inlineStr"/>
    </row>
    <row r="410" ht="15" customHeight="1">
      <c r="A410" t="inlineStr">
        <is>
          <t>A 62321-2020</t>
        </is>
      </c>
      <c r="B410" s="1" t="n">
        <v>44158</v>
      </c>
      <c r="C410" s="1" t="n">
        <v>45849</v>
      </c>
      <c r="D410" t="inlineStr">
        <is>
          <t>NORRBOTTENS LÄN</t>
        </is>
      </c>
      <c r="E410" t="inlineStr">
        <is>
          <t>BODEN</t>
        </is>
      </c>
      <c r="G410" t="n">
        <v>3.2</v>
      </c>
      <c r="H410" t="n">
        <v>0</v>
      </c>
      <c r="I410" t="n">
        <v>0</v>
      </c>
      <c r="J410" t="n">
        <v>0</v>
      </c>
      <c r="K410" t="n">
        <v>0</v>
      </c>
      <c r="L410" t="n">
        <v>0</v>
      </c>
      <c r="M410" t="n">
        <v>0</v>
      </c>
      <c r="N410" t="n">
        <v>0</v>
      </c>
      <c r="O410" t="n">
        <v>0</v>
      </c>
      <c r="P410" t="n">
        <v>0</v>
      </c>
      <c r="Q410" t="n">
        <v>0</v>
      </c>
      <c r="R410" s="2" t="inlineStr"/>
    </row>
    <row r="411" ht="15" customHeight="1">
      <c r="A411" t="inlineStr">
        <is>
          <t>A 62068-2020</t>
        </is>
      </c>
      <c r="B411" s="1" t="n">
        <v>44158</v>
      </c>
      <c r="C411" s="1" t="n">
        <v>45849</v>
      </c>
      <c r="D411" t="inlineStr">
        <is>
          <t>NORRBOTTENS LÄN</t>
        </is>
      </c>
      <c r="E411" t="inlineStr">
        <is>
          <t>BODEN</t>
        </is>
      </c>
      <c r="G411" t="n">
        <v>7.5</v>
      </c>
      <c r="H411" t="n">
        <v>0</v>
      </c>
      <c r="I411" t="n">
        <v>0</v>
      </c>
      <c r="J411" t="n">
        <v>0</v>
      </c>
      <c r="K411" t="n">
        <v>0</v>
      </c>
      <c r="L411" t="n">
        <v>0</v>
      </c>
      <c r="M411" t="n">
        <v>0</v>
      </c>
      <c r="N411" t="n">
        <v>0</v>
      </c>
      <c r="O411" t="n">
        <v>0</v>
      </c>
      <c r="P411" t="n">
        <v>0</v>
      </c>
      <c r="Q411" t="n">
        <v>0</v>
      </c>
      <c r="R411" s="2" t="inlineStr"/>
    </row>
    <row r="412" ht="15" customHeight="1">
      <c r="A412" t="inlineStr">
        <is>
          <t>A 63264-2020</t>
        </is>
      </c>
      <c r="B412" s="1" t="n">
        <v>44164</v>
      </c>
      <c r="C412" s="1" t="n">
        <v>45849</v>
      </c>
      <c r="D412" t="inlineStr">
        <is>
          <t>NORRBOTTENS LÄN</t>
        </is>
      </c>
      <c r="E412" t="inlineStr">
        <is>
          <t>BODEN</t>
        </is>
      </c>
      <c r="F412" t="inlineStr">
        <is>
          <t>Kommuner</t>
        </is>
      </c>
      <c r="G412" t="n">
        <v>6.8</v>
      </c>
      <c r="H412" t="n">
        <v>0</v>
      </c>
      <c r="I412" t="n">
        <v>0</v>
      </c>
      <c r="J412" t="n">
        <v>0</v>
      </c>
      <c r="K412" t="n">
        <v>0</v>
      </c>
      <c r="L412" t="n">
        <v>0</v>
      </c>
      <c r="M412" t="n">
        <v>0</v>
      </c>
      <c r="N412" t="n">
        <v>0</v>
      </c>
      <c r="O412" t="n">
        <v>0</v>
      </c>
      <c r="P412" t="n">
        <v>0</v>
      </c>
      <c r="Q412" t="n">
        <v>0</v>
      </c>
      <c r="R412" s="2" t="inlineStr"/>
    </row>
    <row r="413" ht="15" customHeight="1">
      <c r="A413" t="inlineStr">
        <is>
          <t>A 63286-2020</t>
        </is>
      </c>
      <c r="B413" s="1" t="n">
        <v>44165</v>
      </c>
      <c r="C413" s="1" t="n">
        <v>45849</v>
      </c>
      <c r="D413" t="inlineStr">
        <is>
          <t>NORRBOTTENS LÄN</t>
        </is>
      </c>
      <c r="E413" t="inlineStr">
        <is>
          <t>BODEN</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63772-2020</t>
        </is>
      </c>
      <c r="B414" s="1" t="n">
        <v>44165</v>
      </c>
      <c r="C414" s="1" t="n">
        <v>45849</v>
      </c>
      <c r="D414" t="inlineStr">
        <is>
          <t>NORRBOTTENS LÄN</t>
        </is>
      </c>
      <c r="E414" t="inlineStr">
        <is>
          <t>BODEN</t>
        </is>
      </c>
      <c r="G414" t="n">
        <v>1.8</v>
      </c>
      <c r="H414" t="n">
        <v>0</v>
      </c>
      <c r="I414" t="n">
        <v>0</v>
      </c>
      <c r="J414" t="n">
        <v>0</v>
      </c>
      <c r="K414" t="n">
        <v>0</v>
      </c>
      <c r="L414" t="n">
        <v>0</v>
      </c>
      <c r="M414" t="n">
        <v>0</v>
      </c>
      <c r="N414" t="n">
        <v>0</v>
      </c>
      <c r="O414" t="n">
        <v>0</v>
      </c>
      <c r="P414" t="n">
        <v>0</v>
      </c>
      <c r="Q414" t="n">
        <v>0</v>
      </c>
      <c r="R414" s="2" t="inlineStr"/>
    </row>
    <row r="415" ht="15" customHeight="1">
      <c r="A415" t="inlineStr">
        <is>
          <t>A 64354-2020</t>
        </is>
      </c>
      <c r="B415" s="1" t="n">
        <v>44168</v>
      </c>
      <c r="C415" s="1" t="n">
        <v>45849</v>
      </c>
      <c r="D415" t="inlineStr">
        <is>
          <t>NORRBOTTENS LÄN</t>
        </is>
      </c>
      <c r="E415" t="inlineStr">
        <is>
          <t>BODEN</t>
        </is>
      </c>
      <c r="F415" t="inlineStr">
        <is>
          <t>Sveaskog</t>
        </is>
      </c>
      <c r="G415" t="n">
        <v>58.6</v>
      </c>
      <c r="H415" t="n">
        <v>0</v>
      </c>
      <c r="I415" t="n">
        <v>0</v>
      </c>
      <c r="J415" t="n">
        <v>0</v>
      </c>
      <c r="K415" t="n">
        <v>0</v>
      </c>
      <c r="L415" t="n">
        <v>0</v>
      </c>
      <c r="M415" t="n">
        <v>0</v>
      </c>
      <c r="N415" t="n">
        <v>0</v>
      </c>
      <c r="O415" t="n">
        <v>0</v>
      </c>
      <c r="P415" t="n">
        <v>0</v>
      </c>
      <c r="Q415" t="n">
        <v>0</v>
      </c>
      <c r="R415" s="2" t="inlineStr"/>
    </row>
    <row r="416" ht="15" customHeight="1">
      <c r="A416" t="inlineStr">
        <is>
          <t>A 65378-2020</t>
        </is>
      </c>
      <c r="B416" s="1" t="n">
        <v>44168</v>
      </c>
      <c r="C416" s="1" t="n">
        <v>45849</v>
      </c>
      <c r="D416" t="inlineStr">
        <is>
          <t>NORRBOTTENS LÄN</t>
        </is>
      </c>
      <c r="E416" t="inlineStr">
        <is>
          <t>BODEN</t>
        </is>
      </c>
      <c r="G416" t="n">
        <v>10.8</v>
      </c>
      <c r="H416" t="n">
        <v>0</v>
      </c>
      <c r="I416" t="n">
        <v>0</v>
      </c>
      <c r="J416" t="n">
        <v>0</v>
      </c>
      <c r="K416" t="n">
        <v>0</v>
      </c>
      <c r="L416" t="n">
        <v>0</v>
      </c>
      <c r="M416" t="n">
        <v>0</v>
      </c>
      <c r="N416" t="n">
        <v>0</v>
      </c>
      <c r="O416" t="n">
        <v>0</v>
      </c>
      <c r="P416" t="n">
        <v>0</v>
      </c>
      <c r="Q416" t="n">
        <v>0</v>
      </c>
      <c r="R416" s="2" t="inlineStr"/>
    </row>
    <row r="417" ht="15" customHeight="1">
      <c r="A417" t="inlineStr">
        <is>
          <t>A 65634-2020</t>
        </is>
      </c>
      <c r="B417" s="1" t="n">
        <v>44173</v>
      </c>
      <c r="C417" s="1" t="n">
        <v>45849</v>
      </c>
      <c r="D417" t="inlineStr">
        <is>
          <t>NORRBOTTENS LÄN</t>
        </is>
      </c>
      <c r="E417" t="inlineStr">
        <is>
          <t>BODEN</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65635-2020</t>
        </is>
      </c>
      <c r="B418" s="1" t="n">
        <v>44173</v>
      </c>
      <c r="C418" s="1" t="n">
        <v>45849</v>
      </c>
      <c r="D418" t="inlineStr">
        <is>
          <t>NORRBOTTENS LÄN</t>
        </is>
      </c>
      <c r="E418" t="inlineStr">
        <is>
          <t>BODEN</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65717-2020</t>
        </is>
      </c>
      <c r="B419" s="1" t="n">
        <v>44174</v>
      </c>
      <c r="C419" s="1" t="n">
        <v>45849</v>
      </c>
      <c r="D419" t="inlineStr">
        <is>
          <t>NORRBOTTENS LÄN</t>
        </is>
      </c>
      <c r="E419" t="inlineStr">
        <is>
          <t>BODEN</t>
        </is>
      </c>
      <c r="F419" t="inlineStr">
        <is>
          <t>Sveaskog</t>
        </is>
      </c>
      <c r="G419" t="n">
        <v>6.2</v>
      </c>
      <c r="H419" t="n">
        <v>0</v>
      </c>
      <c r="I419" t="n">
        <v>0</v>
      </c>
      <c r="J419" t="n">
        <v>0</v>
      </c>
      <c r="K419" t="n">
        <v>0</v>
      </c>
      <c r="L419" t="n">
        <v>0</v>
      </c>
      <c r="M419" t="n">
        <v>0</v>
      </c>
      <c r="N419" t="n">
        <v>0</v>
      </c>
      <c r="O419" t="n">
        <v>0</v>
      </c>
      <c r="P419" t="n">
        <v>0</v>
      </c>
      <c r="Q419" t="n">
        <v>0</v>
      </c>
      <c r="R419" s="2" t="inlineStr"/>
    </row>
    <row r="420" ht="15" customHeight="1">
      <c r="A420" t="inlineStr">
        <is>
          <t>A 66696-2020</t>
        </is>
      </c>
      <c r="B420" s="1" t="n">
        <v>44174</v>
      </c>
      <c r="C420" s="1" t="n">
        <v>45849</v>
      </c>
      <c r="D420" t="inlineStr">
        <is>
          <t>NORRBOTTENS LÄN</t>
        </is>
      </c>
      <c r="E420" t="inlineStr">
        <is>
          <t>BODEN</t>
        </is>
      </c>
      <c r="G420" t="n">
        <v>1.6</v>
      </c>
      <c r="H420" t="n">
        <v>0</v>
      </c>
      <c r="I420" t="n">
        <v>0</v>
      </c>
      <c r="J420" t="n">
        <v>0</v>
      </c>
      <c r="K420" t="n">
        <v>0</v>
      </c>
      <c r="L420" t="n">
        <v>0</v>
      </c>
      <c r="M420" t="n">
        <v>0</v>
      </c>
      <c r="N420" t="n">
        <v>0</v>
      </c>
      <c r="O420" t="n">
        <v>0</v>
      </c>
      <c r="P420" t="n">
        <v>0</v>
      </c>
      <c r="Q420" t="n">
        <v>0</v>
      </c>
      <c r="R420" s="2" t="inlineStr"/>
      <c r="U420">
        <f>HYPERLINK("https://klasma.github.io/Logging_2582/knärot/A 66696-2020 karta knärot.png", "A 66696-2020")</f>
        <v/>
      </c>
      <c r="V420">
        <f>HYPERLINK("https://klasma.github.io/Logging_2582/klagomål/A 66696-2020 FSC-klagomål.docx", "A 66696-2020")</f>
        <v/>
      </c>
      <c r="W420">
        <f>HYPERLINK("https://klasma.github.io/Logging_2582/klagomålsmail/A 66696-2020 FSC-klagomål mail.docx", "A 66696-2020")</f>
        <v/>
      </c>
      <c r="X420">
        <f>HYPERLINK("https://klasma.github.io/Logging_2582/tillsyn/A 66696-2020 tillsynsbegäran.docx", "A 66696-2020")</f>
        <v/>
      </c>
      <c r="Y420">
        <f>HYPERLINK("https://klasma.github.io/Logging_2582/tillsynsmail/A 66696-2020 tillsynsbegäran mail.docx", "A 66696-2020")</f>
        <v/>
      </c>
    </row>
    <row r="421" ht="15" customHeight="1">
      <c r="A421" t="inlineStr">
        <is>
          <t>A 68205-2020</t>
        </is>
      </c>
      <c r="B421" s="1" t="n">
        <v>44182</v>
      </c>
      <c r="C421" s="1" t="n">
        <v>45849</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68210-2020</t>
        </is>
      </c>
      <c r="B422" s="1" t="n">
        <v>44182</v>
      </c>
      <c r="C422" s="1" t="n">
        <v>45849</v>
      </c>
      <c r="D422" t="inlineStr">
        <is>
          <t>NORRBOTTENS LÄN</t>
        </is>
      </c>
      <c r="E422" t="inlineStr">
        <is>
          <t>BODEN</t>
        </is>
      </c>
      <c r="G422" t="n">
        <v>0.7</v>
      </c>
      <c r="H422" t="n">
        <v>0</v>
      </c>
      <c r="I422" t="n">
        <v>0</v>
      </c>
      <c r="J422" t="n">
        <v>0</v>
      </c>
      <c r="K422" t="n">
        <v>0</v>
      </c>
      <c r="L422" t="n">
        <v>0</v>
      </c>
      <c r="M422" t="n">
        <v>0</v>
      </c>
      <c r="N422" t="n">
        <v>0</v>
      </c>
      <c r="O422" t="n">
        <v>0</v>
      </c>
      <c r="P422" t="n">
        <v>0</v>
      </c>
      <c r="Q422" t="n">
        <v>0</v>
      </c>
      <c r="R422" s="2" t="inlineStr"/>
    </row>
    <row r="423" ht="15" customHeight="1">
      <c r="A423" t="inlineStr">
        <is>
          <t>A 68098-2020</t>
        </is>
      </c>
      <c r="B423" s="1" t="n">
        <v>44182</v>
      </c>
      <c r="C423" s="1" t="n">
        <v>45849</v>
      </c>
      <c r="D423" t="inlineStr">
        <is>
          <t>NORRBOTTENS LÄN</t>
        </is>
      </c>
      <c r="E423" t="inlineStr">
        <is>
          <t>BODEN</t>
        </is>
      </c>
      <c r="G423" t="n">
        <v>8.4</v>
      </c>
      <c r="H423" t="n">
        <v>0</v>
      </c>
      <c r="I423" t="n">
        <v>0</v>
      </c>
      <c r="J423" t="n">
        <v>0</v>
      </c>
      <c r="K423" t="n">
        <v>0</v>
      </c>
      <c r="L423" t="n">
        <v>0</v>
      </c>
      <c r="M423" t="n">
        <v>0</v>
      </c>
      <c r="N423" t="n">
        <v>0</v>
      </c>
      <c r="O423" t="n">
        <v>0</v>
      </c>
      <c r="P423" t="n">
        <v>0</v>
      </c>
      <c r="Q423" t="n">
        <v>0</v>
      </c>
      <c r="R423" s="2" t="inlineStr"/>
    </row>
    <row r="424" ht="15" customHeight="1">
      <c r="A424" t="inlineStr">
        <is>
          <t>A 68267-2020</t>
        </is>
      </c>
      <c r="B424" s="1" t="n">
        <v>44182</v>
      </c>
      <c r="C424" s="1" t="n">
        <v>45849</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68109-2020</t>
        </is>
      </c>
      <c r="B425" s="1" t="n">
        <v>44182</v>
      </c>
      <c r="C425" s="1" t="n">
        <v>45849</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69039-2020</t>
        </is>
      </c>
      <c r="B426" s="1" t="n">
        <v>44187</v>
      </c>
      <c r="C426" s="1" t="n">
        <v>45849</v>
      </c>
      <c r="D426" t="inlineStr">
        <is>
          <t>NORRBOTTENS LÄN</t>
        </is>
      </c>
      <c r="E426" t="inlineStr">
        <is>
          <t>BODEN</t>
        </is>
      </c>
      <c r="G426" t="n">
        <v>0.8</v>
      </c>
      <c r="H426" t="n">
        <v>0</v>
      </c>
      <c r="I426" t="n">
        <v>0</v>
      </c>
      <c r="J426" t="n">
        <v>0</v>
      </c>
      <c r="K426" t="n">
        <v>0</v>
      </c>
      <c r="L426" t="n">
        <v>0</v>
      </c>
      <c r="M426" t="n">
        <v>0</v>
      </c>
      <c r="N426" t="n">
        <v>0</v>
      </c>
      <c r="O426" t="n">
        <v>0</v>
      </c>
      <c r="P426" t="n">
        <v>0</v>
      </c>
      <c r="Q426" t="n">
        <v>0</v>
      </c>
      <c r="R426" s="2" t="inlineStr"/>
    </row>
    <row r="427" ht="15" customHeight="1">
      <c r="A427" t="inlineStr">
        <is>
          <t>A 920-2021</t>
        </is>
      </c>
      <c r="B427" s="1" t="n">
        <v>44204</v>
      </c>
      <c r="C427" s="1" t="n">
        <v>45849</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1087-2021</t>
        </is>
      </c>
      <c r="B428" s="1" t="n">
        <v>44207</v>
      </c>
      <c r="C428" s="1" t="n">
        <v>45849</v>
      </c>
      <c r="D428" t="inlineStr">
        <is>
          <t>NORRBOTTENS LÄN</t>
        </is>
      </c>
      <c r="E428" t="inlineStr">
        <is>
          <t>BODEN</t>
        </is>
      </c>
      <c r="G428" t="n">
        <v>1.1</v>
      </c>
      <c r="H428" t="n">
        <v>0</v>
      </c>
      <c r="I428" t="n">
        <v>0</v>
      </c>
      <c r="J428" t="n">
        <v>0</v>
      </c>
      <c r="K428" t="n">
        <v>0</v>
      </c>
      <c r="L428" t="n">
        <v>0</v>
      </c>
      <c r="M428" t="n">
        <v>0</v>
      </c>
      <c r="N428" t="n">
        <v>0</v>
      </c>
      <c r="O428" t="n">
        <v>0</v>
      </c>
      <c r="P428" t="n">
        <v>0</v>
      </c>
      <c r="Q428" t="n">
        <v>0</v>
      </c>
      <c r="R428" s="2" t="inlineStr"/>
    </row>
    <row r="429" ht="15" customHeight="1">
      <c r="A429" t="inlineStr">
        <is>
          <t>A 2444-2021</t>
        </is>
      </c>
      <c r="B429" s="1" t="n">
        <v>44211</v>
      </c>
      <c r="C429" s="1" t="n">
        <v>45849</v>
      </c>
      <c r="D429" t="inlineStr">
        <is>
          <t>NORRBOTTENS LÄN</t>
        </is>
      </c>
      <c r="E429" t="inlineStr">
        <is>
          <t>BODEN</t>
        </is>
      </c>
      <c r="G429" t="n">
        <v>16.4</v>
      </c>
      <c r="H429" t="n">
        <v>0</v>
      </c>
      <c r="I429" t="n">
        <v>0</v>
      </c>
      <c r="J429" t="n">
        <v>0</v>
      </c>
      <c r="K429" t="n">
        <v>0</v>
      </c>
      <c r="L429" t="n">
        <v>0</v>
      </c>
      <c r="M429" t="n">
        <v>0</v>
      </c>
      <c r="N429" t="n">
        <v>0</v>
      </c>
      <c r="O429" t="n">
        <v>0</v>
      </c>
      <c r="P429" t="n">
        <v>0</v>
      </c>
      <c r="Q429" t="n">
        <v>0</v>
      </c>
      <c r="R429" s="2" t="inlineStr"/>
    </row>
    <row r="430" ht="15" customHeight="1">
      <c r="A430" t="inlineStr">
        <is>
          <t>A 3248-2021</t>
        </is>
      </c>
      <c r="B430" s="1" t="n">
        <v>44215</v>
      </c>
      <c r="C430" s="1" t="n">
        <v>45849</v>
      </c>
      <c r="D430" t="inlineStr">
        <is>
          <t>NORRBOTTENS LÄN</t>
        </is>
      </c>
      <c r="E430" t="inlineStr">
        <is>
          <t>BODEN</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3535-2021</t>
        </is>
      </c>
      <c r="B431" s="1" t="n">
        <v>44216</v>
      </c>
      <c r="C431" s="1" t="n">
        <v>45849</v>
      </c>
      <c r="D431" t="inlineStr">
        <is>
          <t>NORRBOTTENS LÄN</t>
        </is>
      </c>
      <c r="E431" t="inlineStr">
        <is>
          <t>BODEN</t>
        </is>
      </c>
      <c r="G431" t="n">
        <v>5.7</v>
      </c>
      <c r="H431" t="n">
        <v>0</v>
      </c>
      <c r="I431" t="n">
        <v>0</v>
      </c>
      <c r="J431" t="n">
        <v>0</v>
      </c>
      <c r="K431" t="n">
        <v>0</v>
      </c>
      <c r="L431" t="n">
        <v>0</v>
      </c>
      <c r="M431" t="n">
        <v>0</v>
      </c>
      <c r="N431" t="n">
        <v>0</v>
      </c>
      <c r="O431" t="n">
        <v>0</v>
      </c>
      <c r="P431" t="n">
        <v>0</v>
      </c>
      <c r="Q431" t="n">
        <v>0</v>
      </c>
      <c r="R431" s="2" t="inlineStr"/>
    </row>
    <row r="432" ht="15" customHeight="1">
      <c r="A432" t="inlineStr">
        <is>
          <t>A 3537-2021</t>
        </is>
      </c>
      <c r="B432" s="1" t="n">
        <v>44216</v>
      </c>
      <c r="C432" s="1" t="n">
        <v>45849</v>
      </c>
      <c r="D432" t="inlineStr">
        <is>
          <t>NORRBOTTENS LÄN</t>
        </is>
      </c>
      <c r="E432" t="inlineStr">
        <is>
          <t>BODEN</t>
        </is>
      </c>
      <c r="G432" t="n">
        <v>8.6</v>
      </c>
      <c r="H432" t="n">
        <v>0</v>
      </c>
      <c r="I432" t="n">
        <v>0</v>
      </c>
      <c r="J432" t="n">
        <v>0</v>
      </c>
      <c r="K432" t="n">
        <v>0</v>
      </c>
      <c r="L432" t="n">
        <v>0</v>
      </c>
      <c r="M432" t="n">
        <v>0</v>
      </c>
      <c r="N432" t="n">
        <v>0</v>
      </c>
      <c r="O432" t="n">
        <v>0</v>
      </c>
      <c r="P432" t="n">
        <v>0</v>
      </c>
      <c r="Q432" t="n">
        <v>0</v>
      </c>
      <c r="R432" s="2" t="inlineStr"/>
    </row>
    <row r="433" ht="15" customHeight="1">
      <c r="A433" t="inlineStr">
        <is>
          <t>A 3777-2021</t>
        </is>
      </c>
      <c r="B433" s="1" t="n">
        <v>44217</v>
      </c>
      <c r="C433" s="1" t="n">
        <v>45849</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3779-2021</t>
        </is>
      </c>
      <c r="B434" s="1" t="n">
        <v>44217</v>
      </c>
      <c r="C434" s="1" t="n">
        <v>45849</v>
      </c>
      <c r="D434" t="inlineStr">
        <is>
          <t>NORRBOTTENS LÄN</t>
        </is>
      </c>
      <c r="E434" t="inlineStr">
        <is>
          <t>BODEN</t>
        </is>
      </c>
      <c r="G434" t="n">
        <v>1.1</v>
      </c>
      <c r="H434" t="n">
        <v>0</v>
      </c>
      <c r="I434" t="n">
        <v>0</v>
      </c>
      <c r="J434" t="n">
        <v>0</v>
      </c>
      <c r="K434" t="n">
        <v>0</v>
      </c>
      <c r="L434" t="n">
        <v>0</v>
      </c>
      <c r="M434" t="n">
        <v>0</v>
      </c>
      <c r="N434" t="n">
        <v>0</v>
      </c>
      <c r="O434" t="n">
        <v>0</v>
      </c>
      <c r="P434" t="n">
        <v>0</v>
      </c>
      <c r="Q434" t="n">
        <v>0</v>
      </c>
      <c r="R434" s="2" t="inlineStr"/>
    </row>
    <row r="435" ht="15" customHeight="1">
      <c r="A435" t="inlineStr">
        <is>
          <t>A 3778-2021</t>
        </is>
      </c>
      <c r="B435" s="1" t="n">
        <v>44217</v>
      </c>
      <c r="C435" s="1" t="n">
        <v>45849</v>
      </c>
      <c r="D435" t="inlineStr">
        <is>
          <t>NORRBOTTENS LÄN</t>
        </is>
      </c>
      <c r="E435" t="inlineStr">
        <is>
          <t>BODEN</t>
        </is>
      </c>
      <c r="G435" t="n">
        <v>4.4</v>
      </c>
      <c r="H435" t="n">
        <v>0</v>
      </c>
      <c r="I435" t="n">
        <v>0</v>
      </c>
      <c r="J435" t="n">
        <v>0</v>
      </c>
      <c r="K435" t="n">
        <v>0</v>
      </c>
      <c r="L435" t="n">
        <v>0</v>
      </c>
      <c r="M435" t="n">
        <v>0</v>
      </c>
      <c r="N435" t="n">
        <v>0</v>
      </c>
      <c r="O435" t="n">
        <v>0</v>
      </c>
      <c r="P435" t="n">
        <v>0</v>
      </c>
      <c r="Q435" t="n">
        <v>0</v>
      </c>
      <c r="R435" s="2" t="inlineStr"/>
    </row>
    <row r="436" ht="15" customHeight="1">
      <c r="A436" t="inlineStr">
        <is>
          <t>A 4274-2021</t>
        </is>
      </c>
      <c r="B436" s="1" t="n">
        <v>44223</v>
      </c>
      <c r="C436" s="1" t="n">
        <v>45849</v>
      </c>
      <c r="D436" t="inlineStr">
        <is>
          <t>NORRBOTTENS LÄN</t>
        </is>
      </c>
      <c r="E436" t="inlineStr">
        <is>
          <t>BODEN</t>
        </is>
      </c>
      <c r="G436" t="n">
        <v>2.7</v>
      </c>
      <c r="H436" t="n">
        <v>0</v>
      </c>
      <c r="I436" t="n">
        <v>0</v>
      </c>
      <c r="J436" t="n">
        <v>0</v>
      </c>
      <c r="K436" t="n">
        <v>0</v>
      </c>
      <c r="L436" t="n">
        <v>0</v>
      </c>
      <c r="M436" t="n">
        <v>0</v>
      </c>
      <c r="N436" t="n">
        <v>0</v>
      </c>
      <c r="O436" t="n">
        <v>0</v>
      </c>
      <c r="P436" t="n">
        <v>0</v>
      </c>
      <c r="Q436" t="n">
        <v>0</v>
      </c>
      <c r="R436" s="2" t="inlineStr"/>
    </row>
    <row r="437" ht="15" customHeight="1">
      <c r="A437" t="inlineStr">
        <is>
          <t>A 4247-2021</t>
        </is>
      </c>
      <c r="B437" s="1" t="n">
        <v>44223</v>
      </c>
      <c r="C437" s="1" t="n">
        <v>45849</v>
      </c>
      <c r="D437" t="inlineStr">
        <is>
          <t>NORRBOTTENS LÄN</t>
        </is>
      </c>
      <c r="E437" t="inlineStr">
        <is>
          <t>BODEN</t>
        </is>
      </c>
      <c r="G437" t="n">
        <v>12.4</v>
      </c>
      <c r="H437" t="n">
        <v>0</v>
      </c>
      <c r="I437" t="n">
        <v>0</v>
      </c>
      <c r="J437" t="n">
        <v>0</v>
      </c>
      <c r="K437" t="n">
        <v>0</v>
      </c>
      <c r="L437" t="n">
        <v>0</v>
      </c>
      <c r="M437" t="n">
        <v>0</v>
      </c>
      <c r="N437" t="n">
        <v>0</v>
      </c>
      <c r="O437" t="n">
        <v>0</v>
      </c>
      <c r="P437" t="n">
        <v>0</v>
      </c>
      <c r="Q437" t="n">
        <v>0</v>
      </c>
      <c r="R437" s="2" t="inlineStr"/>
    </row>
    <row r="438" ht="15" customHeight="1">
      <c r="A438" t="inlineStr">
        <is>
          <t>A 7108-2021</t>
        </is>
      </c>
      <c r="B438" s="1" t="n">
        <v>44238</v>
      </c>
      <c r="C438" s="1" t="n">
        <v>45849</v>
      </c>
      <c r="D438" t="inlineStr">
        <is>
          <t>NORRBOTTENS LÄN</t>
        </is>
      </c>
      <c r="E438" t="inlineStr">
        <is>
          <t>BODEN</t>
        </is>
      </c>
      <c r="G438" t="n">
        <v>18.1</v>
      </c>
      <c r="H438" t="n">
        <v>0</v>
      </c>
      <c r="I438" t="n">
        <v>0</v>
      </c>
      <c r="J438" t="n">
        <v>0</v>
      </c>
      <c r="K438" t="n">
        <v>0</v>
      </c>
      <c r="L438" t="n">
        <v>0</v>
      </c>
      <c r="M438" t="n">
        <v>0</v>
      </c>
      <c r="N438" t="n">
        <v>0</v>
      </c>
      <c r="O438" t="n">
        <v>0</v>
      </c>
      <c r="P438" t="n">
        <v>0</v>
      </c>
      <c r="Q438" t="n">
        <v>0</v>
      </c>
      <c r="R438" s="2" t="inlineStr"/>
    </row>
    <row r="439" ht="15" customHeight="1">
      <c r="A439" t="inlineStr">
        <is>
          <t>A 8891-2021</t>
        </is>
      </c>
      <c r="B439" s="1" t="n">
        <v>44248</v>
      </c>
      <c r="C439" s="1" t="n">
        <v>45849</v>
      </c>
      <c r="D439" t="inlineStr">
        <is>
          <t>NORRBOTTENS LÄN</t>
        </is>
      </c>
      <c r="E439" t="inlineStr">
        <is>
          <t>BODEN</t>
        </is>
      </c>
      <c r="G439" t="n">
        <v>0.7</v>
      </c>
      <c r="H439" t="n">
        <v>0</v>
      </c>
      <c r="I439" t="n">
        <v>0</v>
      </c>
      <c r="J439" t="n">
        <v>0</v>
      </c>
      <c r="K439" t="n">
        <v>0</v>
      </c>
      <c r="L439" t="n">
        <v>0</v>
      </c>
      <c r="M439" t="n">
        <v>0</v>
      </c>
      <c r="N439" t="n">
        <v>0</v>
      </c>
      <c r="O439" t="n">
        <v>0</v>
      </c>
      <c r="P439" t="n">
        <v>0</v>
      </c>
      <c r="Q439" t="n">
        <v>0</v>
      </c>
      <c r="R439" s="2" t="inlineStr"/>
    </row>
    <row r="440" ht="15" customHeight="1">
      <c r="A440" t="inlineStr">
        <is>
          <t>A 8889-2021</t>
        </is>
      </c>
      <c r="B440" s="1" t="n">
        <v>44248</v>
      </c>
      <c r="C440" s="1" t="n">
        <v>45849</v>
      </c>
      <c r="D440" t="inlineStr">
        <is>
          <t>NORRBOTTENS LÄN</t>
        </is>
      </c>
      <c r="E440" t="inlineStr">
        <is>
          <t>BODEN</t>
        </is>
      </c>
      <c r="G440" t="n">
        <v>3.5</v>
      </c>
      <c r="H440" t="n">
        <v>0</v>
      </c>
      <c r="I440" t="n">
        <v>0</v>
      </c>
      <c r="J440" t="n">
        <v>0</v>
      </c>
      <c r="K440" t="n">
        <v>0</v>
      </c>
      <c r="L440" t="n">
        <v>0</v>
      </c>
      <c r="M440" t="n">
        <v>0</v>
      </c>
      <c r="N440" t="n">
        <v>0</v>
      </c>
      <c r="O440" t="n">
        <v>0</v>
      </c>
      <c r="P440" t="n">
        <v>0</v>
      </c>
      <c r="Q440" t="n">
        <v>0</v>
      </c>
      <c r="R440" s="2" t="inlineStr"/>
    </row>
    <row r="441" ht="15" customHeight="1">
      <c r="A441" t="inlineStr">
        <is>
          <t>A 8886-2021</t>
        </is>
      </c>
      <c r="B441" s="1" t="n">
        <v>44248</v>
      </c>
      <c r="C441" s="1" t="n">
        <v>45849</v>
      </c>
      <c r="D441" t="inlineStr">
        <is>
          <t>NORRBOTTENS LÄN</t>
        </is>
      </c>
      <c r="E441" t="inlineStr">
        <is>
          <t>BODEN</t>
        </is>
      </c>
      <c r="G441" t="n">
        <v>2.2</v>
      </c>
      <c r="H441" t="n">
        <v>0</v>
      </c>
      <c r="I441" t="n">
        <v>0</v>
      </c>
      <c r="J441" t="n">
        <v>0</v>
      </c>
      <c r="K441" t="n">
        <v>0</v>
      </c>
      <c r="L441" t="n">
        <v>0</v>
      </c>
      <c r="M441" t="n">
        <v>0</v>
      </c>
      <c r="N441" t="n">
        <v>0</v>
      </c>
      <c r="O441" t="n">
        <v>0</v>
      </c>
      <c r="P441" t="n">
        <v>0</v>
      </c>
      <c r="Q441" t="n">
        <v>0</v>
      </c>
      <c r="R441" s="2" t="inlineStr"/>
    </row>
    <row r="442" ht="15" customHeight="1">
      <c r="A442" t="inlineStr">
        <is>
          <t>A 13728-2021</t>
        </is>
      </c>
      <c r="B442" s="1" t="n">
        <v>44274</v>
      </c>
      <c r="C442" s="1" t="n">
        <v>45849</v>
      </c>
      <c r="D442" t="inlineStr">
        <is>
          <t>NORRBOTTENS LÄN</t>
        </is>
      </c>
      <c r="E442" t="inlineStr">
        <is>
          <t>BODEN</t>
        </is>
      </c>
      <c r="G442" t="n">
        <v>10</v>
      </c>
      <c r="H442" t="n">
        <v>0</v>
      </c>
      <c r="I442" t="n">
        <v>0</v>
      </c>
      <c r="J442" t="n">
        <v>0</v>
      </c>
      <c r="K442" t="n">
        <v>0</v>
      </c>
      <c r="L442" t="n">
        <v>0</v>
      </c>
      <c r="M442" t="n">
        <v>0</v>
      </c>
      <c r="N442" t="n">
        <v>0</v>
      </c>
      <c r="O442" t="n">
        <v>0</v>
      </c>
      <c r="P442" t="n">
        <v>0</v>
      </c>
      <c r="Q442" t="n">
        <v>0</v>
      </c>
      <c r="R442" s="2" t="inlineStr"/>
    </row>
    <row r="443" ht="15" customHeight="1">
      <c r="A443" t="inlineStr">
        <is>
          <t>A 13734-2021</t>
        </is>
      </c>
      <c r="B443" s="1" t="n">
        <v>44274</v>
      </c>
      <c r="C443" s="1" t="n">
        <v>45849</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13744-2021</t>
        </is>
      </c>
      <c r="B444" s="1" t="n">
        <v>44274</v>
      </c>
      <c r="C444" s="1" t="n">
        <v>45849</v>
      </c>
      <c r="D444" t="inlineStr">
        <is>
          <t>NORRBOTTENS LÄN</t>
        </is>
      </c>
      <c r="E444" t="inlineStr">
        <is>
          <t>BODEN</t>
        </is>
      </c>
      <c r="G444" t="n">
        <v>1.5</v>
      </c>
      <c r="H444" t="n">
        <v>0</v>
      </c>
      <c r="I444" t="n">
        <v>0</v>
      </c>
      <c r="J444" t="n">
        <v>0</v>
      </c>
      <c r="K444" t="n">
        <v>0</v>
      </c>
      <c r="L444" t="n">
        <v>0</v>
      </c>
      <c r="M444" t="n">
        <v>0</v>
      </c>
      <c r="N444" t="n">
        <v>0</v>
      </c>
      <c r="O444" t="n">
        <v>0</v>
      </c>
      <c r="P444" t="n">
        <v>0</v>
      </c>
      <c r="Q444" t="n">
        <v>0</v>
      </c>
      <c r="R444" s="2" t="inlineStr"/>
    </row>
    <row r="445" ht="15" customHeight="1">
      <c r="A445" t="inlineStr">
        <is>
          <t>A 15491-2021</t>
        </is>
      </c>
      <c r="B445" s="1" t="n">
        <v>44274</v>
      </c>
      <c r="C445" s="1" t="n">
        <v>45849</v>
      </c>
      <c r="D445" t="inlineStr">
        <is>
          <t>NORRBOTTENS LÄN</t>
        </is>
      </c>
      <c r="E445" t="inlineStr">
        <is>
          <t>BODEN</t>
        </is>
      </c>
      <c r="G445" t="n">
        <v>1</v>
      </c>
      <c r="H445" t="n">
        <v>0</v>
      </c>
      <c r="I445" t="n">
        <v>0</v>
      </c>
      <c r="J445" t="n">
        <v>0</v>
      </c>
      <c r="K445" t="n">
        <v>0</v>
      </c>
      <c r="L445" t="n">
        <v>0</v>
      </c>
      <c r="M445" t="n">
        <v>0</v>
      </c>
      <c r="N445" t="n">
        <v>0</v>
      </c>
      <c r="O445" t="n">
        <v>0</v>
      </c>
      <c r="P445" t="n">
        <v>0</v>
      </c>
      <c r="Q445" t="n">
        <v>0</v>
      </c>
      <c r="R445" s="2" t="inlineStr"/>
    </row>
    <row r="446" ht="15" customHeight="1">
      <c r="A446" t="inlineStr">
        <is>
          <t>A 13657-2021</t>
        </is>
      </c>
      <c r="B446" s="1" t="n">
        <v>44274</v>
      </c>
      <c r="C446" s="1" t="n">
        <v>45849</v>
      </c>
      <c r="D446" t="inlineStr">
        <is>
          <t>NORRBOTTENS LÄN</t>
        </is>
      </c>
      <c r="E446" t="inlineStr">
        <is>
          <t>BODEN</t>
        </is>
      </c>
      <c r="G446" t="n">
        <v>17.7</v>
      </c>
      <c r="H446" t="n">
        <v>0</v>
      </c>
      <c r="I446" t="n">
        <v>0</v>
      </c>
      <c r="J446" t="n">
        <v>0</v>
      </c>
      <c r="K446" t="n">
        <v>0</v>
      </c>
      <c r="L446" t="n">
        <v>0</v>
      </c>
      <c r="M446" t="n">
        <v>0</v>
      </c>
      <c r="N446" t="n">
        <v>0</v>
      </c>
      <c r="O446" t="n">
        <v>0</v>
      </c>
      <c r="P446" t="n">
        <v>0</v>
      </c>
      <c r="Q446" t="n">
        <v>0</v>
      </c>
      <c r="R446" s="2" t="inlineStr"/>
    </row>
    <row r="447" ht="15" customHeight="1">
      <c r="A447" t="inlineStr">
        <is>
          <t>A 13740-2021</t>
        </is>
      </c>
      <c r="B447" s="1" t="n">
        <v>44274</v>
      </c>
      <c r="C447" s="1" t="n">
        <v>45849</v>
      </c>
      <c r="D447" t="inlineStr">
        <is>
          <t>NORRBOTTENS LÄN</t>
        </is>
      </c>
      <c r="E447" t="inlineStr">
        <is>
          <t>BODEN</t>
        </is>
      </c>
      <c r="G447" t="n">
        <v>2.3</v>
      </c>
      <c r="H447" t="n">
        <v>0</v>
      </c>
      <c r="I447" t="n">
        <v>0</v>
      </c>
      <c r="J447" t="n">
        <v>0</v>
      </c>
      <c r="K447" t="n">
        <v>0</v>
      </c>
      <c r="L447" t="n">
        <v>0</v>
      </c>
      <c r="M447" t="n">
        <v>0</v>
      </c>
      <c r="N447" t="n">
        <v>0</v>
      </c>
      <c r="O447" t="n">
        <v>0</v>
      </c>
      <c r="P447" t="n">
        <v>0</v>
      </c>
      <c r="Q447" t="n">
        <v>0</v>
      </c>
      <c r="R447" s="2" t="inlineStr"/>
    </row>
    <row r="448" ht="15" customHeight="1">
      <c r="A448" t="inlineStr">
        <is>
          <t>A 14340-2021</t>
        </is>
      </c>
      <c r="B448" s="1" t="n">
        <v>44279</v>
      </c>
      <c r="C448" s="1" t="n">
        <v>45849</v>
      </c>
      <c r="D448" t="inlineStr">
        <is>
          <t>NORRBOTTENS LÄN</t>
        </is>
      </c>
      <c r="E448" t="inlineStr">
        <is>
          <t>BODEN</t>
        </is>
      </c>
      <c r="G448" t="n">
        <v>3.2</v>
      </c>
      <c r="H448" t="n">
        <v>0</v>
      </c>
      <c r="I448" t="n">
        <v>0</v>
      </c>
      <c r="J448" t="n">
        <v>0</v>
      </c>
      <c r="K448" t="n">
        <v>0</v>
      </c>
      <c r="L448" t="n">
        <v>0</v>
      </c>
      <c r="M448" t="n">
        <v>0</v>
      </c>
      <c r="N448" t="n">
        <v>0</v>
      </c>
      <c r="O448" t="n">
        <v>0</v>
      </c>
      <c r="P448" t="n">
        <v>0</v>
      </c>
      <c r="Q448" t="n">
        <v>0</v>
      </c>
      <c r="R448" s="2" t="inlineStr"/>
    </row>
    <row r="449" ht="15" customHeight="1">
      <c r="A449" t="inlineStr">
        <is>
          <t>A 14380-2021</t>
        </is>
      </c>
      <c r="B449" s="1" t="n">
        <v>44279</v>
      </c>
      <c r="C449" s="1" t="n">
        <v>45849</v>
      </c>
      <c r="D449" t="inlineStr">
        <is>
          <t>NORRBOTTENS LÄN</t>
        </is>
      </c>
      <c r="E449" t="inlineStr">
        <is>
          <t>BODEN</t>
        </is>
      </c>
      <c r="G449" t="n">
        <v>2</v>
      </c>
      <c r="H449" t="n">
        <v>0</v>
      </c>
      <c r="I449" t="n">
        <v>0</v>
      </c>
      <c r="J449" t="n">
        <v>0</v>
      </c>
      <c r="K449" t="n">
        <v>0</v>
      </c>
      <c r="L449" t="n">
        <v>0</v>
      </c>
      <c r="M449" t="n">
        <v>0</v>
      </c>
      <c r="N449" t="n">
        <v>0</v>
      </c>
      <c r="O449" t="n">
        <v>0</v>
      </c>
      <c r="P449" t="n">
        <v>0</v>
      </c>
      <c r="Q449" t="n">
        <v>0</v>
      </c>
      <c r="R449" s="2" t="inlineStr"/>
    </row>
    <row r="450" ht="15" customHeight="1">
      <c r="A450" t="inlineStr">
        <is>
          <t>A 15159-2021</t>
        </is>
      </c>
      <c r="B450" s="1" t="n">
        <v>44284</v>
      </c>
      <c r="C450" s="1" t="n">
        <v>45849</v>
      </c>
      <c r="D450" t="inlineStr">
        <is>
          <t>NORRBOTTENS LÄN</t>
        </is>
      </c>
      <c r="E450" t="inlineStr">
        <is>
          <t>BODEN</t>
        </is>
      </c>
      <c r="F450" t="inlineStr">
        <is>
          <t>Övriga statliga verk och myndigheter</t>
        </is>
      </c>
      <c r="G450" t="n">
        <v>12.5</v>
      </c>
      <c r="H450" t="n">
        <v>0</v>
      </c>
      <c r="I450" t="n">
        <v>0</v>
      </c>
      <c r="J450" t="n">
        <v>0</v>
      </c>
      <c r="K450" t="n">
        <v>0</v>
      </c>
      <c r="L450" t="n">
        <v>0</v>
      </c>
      <c r="M450" t="n">
        <v>0</v>
      </c>
      <c r="N450" t="n">
        <v>0</v>
      </c>
      <c r="O450" t="n">
        <v>0</v>
      </c>
      <c r="P450" t="n">
        <v>0</v>
      </c>
      <c r="Q450" t="n">
        <v>0</v>
      </c>
      <c r="R450" s="2" t="inlineStr"/>
    </row>
    <row r="451" ht="15" customHeight="1">
      <c r="A451" t="inlineStr">
        <is>
          <t>A 15880-2021</t>
        </is>
      </c>
      <c r="B451" s="1" t="n">
        <v>44286</v>
      </c>
      <c r="C451" s="1" t="n">
        <v>45849</v>
      </c>
      <c r="D451" t="inlineStr">
        <is>
          <t>NORRBOTTENS LÄN</t>
        </is>
      </c>
      <c r="E451" t="inlineStr">
        <is>
          <t>BODEN</t>
        </is>
      </c>
      <c r="G451" t="n">
        <v>7.9</v>
      </c>
      <c r="H451" t="n">
        <v>0</v>
      </c>
      <c r="I451" t="n">
        <v>0</v>
      </c>
      <c r="J451" t="n">
        <v>0</v>
      </c>
      <c r="K451" t="n">
        <v>0</v>
      </c>
      <c r="L451" t="n">
        <v>0</v>
      </c>
      <c r="M451" t="n">
        <v>0</v>
      </c>
      <c r="N451" t="n">
        <v>0</v>
      </c>
      <c r="O451" t="n">
        <v>0</v>
      </c>
      <c r="P451" t="n">
        <v>0</v>
      </c>
      <c r="Q451" t="n">
        <v>0</v>
      </c>
      <c r="R451" s="2" t="inlineStr"/>
    </row>
    <row r="452" ht="15" customHeight="1">
      <c r="A452" t="inlineStr">
        <is>
          <t>A 15885-2021</t>
        </is>
      </c>
      <c r="B452" s="1" t="n">
        <v>44286</v>
      </c>
      <c r="C452" s="1" t="n">
        <v>45849</v>
      </c>
      <c r="D452" t="inlineStr">
        <is>
          <t>NORRBOTTENS LÄN</t>
        </is>
      </c>
      <c r="E452" t="inlineStr">
        <is>
          <t>BODEN</t>
        </is>
      </c>
      <c r="G452" t="n">
        <v>0.9</v>
      </c>
      <c r="H452" t="n">
        <v>0</v>
      </c>
      <c r="I452" t="n">
        <v>0</v>
      </c>
      <c r="J452" t="n">
        <v>0</v>
      </c>
      <c r="K452" t="n">
        <v>0</v>
      </c>
      <c r="L452" t="n">
        <v>0</v>
      </c>
      <c r="M452" t="n">
        <v>0</v>
      </c>
      <c r="N452" t="n">
        <v>0</v>
      </c>
      <c r="O452" t="n">
        <v>0</v>
      </c>
      <c r="P452" t="n">
        <v>0</v>
      </c>
      <c r="Q452" t="n">
        <v>0</v>
      </c>
      <c r="R452" s="2" t="inlineStr"/>
    </row>
    <row r="453" ht="15" customHeight="1">
      <c r="A453" t="inlineStr">
        <is>
          <t>A 15884-2021</t>
        </is>
      </c>
      <c r="B453" s="1" t="n">
        <v>44286</v>
      </c>
      <c r="C453" s="1" t="n">
        <v>45849</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16213-2021</t>
        </is>
      </c>
      <c r="B454" s="1" t="n">
        <v>44292</v>
      </c>
      <c r="C454" s="1" t="n">
        <v>45849</v>
      </c>
      <c r="D454" t="inlineStr">
        <is>
          <t>NORRBOTTENS LÄN</t>
        </is>
      </c>
      <c r="E454" t="inlineStr">
        <is>
          <t>BODEN</t>
        </is>
      </c>
      <c r="G454" t="n">
        <v>21.2</v>
      </c>
      <c r="H454" t="n">
        <v>0</v>
      </c>
      <c r="I454" t="n">
        <v>0</v>
      </c>
      <c r="J454" t="n">
        <v>0</v>
      </c>
      <c r="K454" t="n">
        <v>0</v>
      </c>
      <c r="L454" t="n">
        <v>0</v>
      </c>
      <c r="M454" t="n">
        <v>0</v>
      </c>
      <c r="N454" t="n">
        <v>0</v>
      </c>
      <c r="O454" t="n">
        <v>0</v>
      </c>
      <c r="P454" t="n">
        <v>0</v>
      </c>
      <c r="Q454" t="n">
        <v>0</v>
      </c>
      <c r="R454" s="2" t="inlineStr"/>
    </row>
    <row r="455" ht="15" customHeight="1">
      <c r="A455" t="inlineStr">
        <is>
          <t>A 16554-2021</t>
        </is>
      </c>
      <c r="B455" s="1" t="n">
        <v>44293</v>
      </c>
      <c r="C455" s="1" t="n">
        <v>45849</v>
      </c>
      <c r="D455" t="inlineStr">
        <is>
          <t>NORRBOTTENS LÄN</t>
        </is>
      </c>
      <c r="E455" t="inlineStr">
        <is>
          <t>BODEN</t>
        </is>
      </c>
      <c r="F455" t="inlineStr">
        <is>
          <t>Övriga statliga verk och myndigheter</t>
        </is>
      </c>
      <c r="G455" t="n">
        <v>2.5</v>
      </c>
      <c r="H455" t="n">
        <v>0</v>
      </c>
      <c r="I455" t="n">
        <v>0</v>
      </c>
      <c r="J455" t="n">
        <v>0</v>
      </c>
      <c r="K455" t="n">
        <v>0</v>
      </c>
      <c r="L455" t="n">
        <v>0</v>
      </c>
      <c r="M455" t="n">
        <v>0</v>
      </c>
      <c r="N455" t="n">
        <v>0</v>
      </c>
      <c r="O455" t="n">
        <v>0</v>
      </c>
      <c r="P455" t="n">
        <v>0</v>
      </c>
      <c r="Q455" t="n">
        <v>0</v>
      </c>
      <c r="R455" s="2" t="inlineStr"/>
    </row>
    <row r="456" ht="15" customHeight="1">
      <c r="A456" t="inlineStr">
        <is>
          <t>A 17313-2021</t>
        </is>
      </c>
      <c r="B456" s="1" t="n">
        <v>44298</v>
      </c>
      <c r="C456" s="1" t="n">
        <v>45849</v>
      </c>
      <c r="D456" t="inlineStr">
        <is>
          <t>NORRBOTTENS LÄN</t>
        </is>
      </c>
      <c r="E456" t="inlineStr">
        <is>
          <t>BODEN</t>
        </is>
      </c>
      <c r="G456" t="n">
        <v>2.6</v>
      </c>
      <c r="H456" t="n">
        <v>0</v>
      </c>
      <c r="I456" t="n">
        <v>0</v>
      </c>
      <c r="J456" t="n">
        <v>0</v>
      </c>
      <c r="K456" t="n">
        <v>0</v>
      </c>
      <c r="L456" t="n">
        <v>0</v>
      </c>
      <c r="M456" t="n">
        <v>0</v>
      </c>
      <c r="N456" t="n">
        <v>0</v>
      </c>
      <c r="O456" t="n">
        <v>0</v>
      </c>
      <c r="P456" t="n">
        <v>0</v>
      </c>
      <c r="Q456" t="n">
        <v>0</v>
      </c>
      <c r="R456" s="2" t="inlineStr"/>
    </row>
    <row r="457" ht="15" customHeight="1">
      <c r="A457" t="inlineStr">
        <is>
          <t>A 17597-2021</t>
        </is>
      </c>
      <c r="B457" s="1" t="n">
        <v>44299</v>
      </c>
      <c r="C457" s="1" t="n">
        <v>45849</v>
      </c>
      <c r="D457" t="inlineStr">
        <is>
          <t>NORRBOTTENS LÄN</t>
        </is>
      </c>
      <c r="E457" t="inlineStr">
        <is>
          <t>BODEN</t>
        </is>
      </c>
      <c r="G457" t="n">
        <v>2.1</v>
      </c>
      <c r="H457" t="n">
        <v>0</v>
      </c>
      <c r="I457" t="n">
        <v>0</v>
      </c>
      <c r="J457" t="n">
        <v>0</v>
      </c>
      <c r="K457" t="n">
        <v>0</v>
      </c>
      <c r="L457" t="n">
        <v>0</v>
      </c>
      <c r="M457" t="n">
        <v>0</v>
      </c>
      <c r="N457" t="n">
        <v>0</v>
      </c>
      <c r="O457" t="n">
        <v>0</v>
      </c>
      <c r="P457" t="n">
        <v>0</v>
      </c>
      <c r="Q457" t="n">
        <v>0</v>
      </c>
      <c r="R457" s="2" t="inlineStr"/>
    </row>
    <row r="458" ht="15" customHeight="1">
      <c r="A458" t="inlineStr">
        <is>
          <t>A 17980-2021</t>
        </is>
      </c>
      <c r="B458" s="1" t="n">
        <v>44301</v>
      </c>
      <c r="C458" s="1" t="n">
        <v>45849</v>
      </c>
      <c r="D458" t="inlineStr">
        <is>
          <t>NORRBOTTENS LÄN</t>
        </is>
      </c>
      <c r="E458" t="inlineStr">
        <is>
          <t>BODEN</t>
        </is>
      </c>
      <c r="G458" t="n">
        <v>2.6</v>
      </c>
      <c r="H458" t="n">
        <v>0</v>
      </c>
      <c r="I458" t="n">
        <v>0</v>
      </c>
      <c r="J458" t="n">
        <v>0</v>
      </c>
      <c r="K458" t="n">
        <v>0</v>
      </c>
      <c r="L458" t="n">
        <v>0</v>
      </c>
      <c r="M458" t="n">
        <v>0</v>
      </c>
      <c r="N458" t="n">
        <v>0</v>
      </c>
      <c r="O458" t="n">
        <v>0</v>
      </c>
      <c r="P458" t="n">
        <v>0</v>
      </c>
      <c r="Q458" t="n">
        <v>0</v>
      </c>
      <c r="R458" s="2" t="inlineStr"/>
    </row>
    <row r="459" ht="15" customHeight="1">
      <c r="A459" t="inlineStr">
        <is>
          <t>A 20738-2021</t>
        </is>
      </c>
      <c r="B459" s="1" t="n">
        <v>44313</v>
      </c>
      <c r="C459" s="1" t="n">
        <v>45849</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20756-2021</t>
        </is>
      </c>
      <c r="B460" s="1" t="n">
        <v>44313</v>
      </c>
      <c r="C460" s="1" t="n">
        <v>45849</v>
      </c>
      <c r="D460" t="inlineStr">
        <is>
          <t>NORRBOTTENS LÄN</t>
        </is>
      </c>
      <c r="E460" t="inlineStr">
        <is>
          <t>BODEN</t>
        </is>
      </c>
      <c r="G460" t="n">
        <v>5.8</v>
      </c>
      <c r="H460" t="n">
        <v>0</v>
      </c>
      <c r="I460" t="n">
        <v>0</v>
      </c>
      <c r="J460" t="n">
        <v>0</v>
      </c>
      <c r="K460" t="n">
        <v>0</v>
      </c>
      <c r="L460" t="n">
        <v>0</v>
      </c>
      <c r="M460" t="n">
        <v>0</v>
      </c>
      <c r="N460" t="n">
        <v>0</v>
      </c>
      <c r="O460" t="n">
        <v>0</v>
      </c>
      <c r="P460" t="n">
        <v>0</v>
      </c>
      <c r="Q460" t="n">
        <v>0</v>
      </c>
      <c r="R460" s="2" t="inlineStr"/>
    </row>
    <row r="461" ht="15" customHeight="1">
      <c r="A461" t="inlineStr">
        <is>
          <t>A 20753-2021</t>
        </is>
      </c>
      <c r="B461" s="1" t="n">
        <v>44313</v>
      </c>
      <c r="C461" s="1" t="n">
        <v>45849</v>
      </c>
      <c r="D461" t="inlineStr">
        <is>
          <t>NORRBOTTENS LÄN</t>
        </is>
      </c>
      <c r="E461" t="inlineStr">
        <is>
          <t>BODEN</t>
        </is>
      </c>
      <c r="G461" t="n">
        <v>2.4</v>
      </c>
      <c r="H461" t="n">
        <v>0</v>
      </c>
      <c r="I461" t="n">
        <v>0</v>
      </c>
      <c r="J461" t="n">
        <v>0</v>
      </c>
      <c r="K461" t="n">
        <v>0</v>
      </c>
      <c r="L461" t="n">
        <v>0</v>
      </c>
      <c r="M461" t="n">
        <v>0</v>
      </c>
      <c r="N461" t="n">
        <v>0</v>
      </c>
      <c r="O461" t="n">
        <v>0</v>
      </c>
      <c r="P461" t="n">
        <v>0</v>
      </c>
      <c r="Q461" t="n">
        <v>0</v>
      </c>
      <c r="R461" s="2" t="inlineStr"/>
    </row>
    <row r="462" ht="15" customHeight="1">
      <c r="A462" t="inlineStr">
        <is>
          <t>A 20754-2021</t>
        </is>
      </c>
      <c r="B462" s="1" t="n">
        <v>44313</v>
      </c>
      <c r="C462" s="1" t="n">
        <v>45849</v>
      </c>
      <c r="D462" t="inlineStr">
        <is>
          <t>NORRBOTTENS LÄN</t>
        </is>
      </c>
      <c r="E462" t="inlineStr">
        <is>
          <t>BODEN</t>
        </is>
      </c>
      <c r="G462" t="n">
        <v>2.2</v>
      </c>
      <c r="H462" t="n">
        <v>0</v>
      </c>
      <c r="I462" t="n">
        <v>0</v>
      </c>
      <c r="J462" t="n">
        <v>0</v>
      </c>
      <c r="K462" t="n">
        <v>0</v>
      </c>
      <c r="L462" t="n">
        <v>0</v>
      </c>
      <c r="M462" t="n">
        <v>0</v>
      </c>
      <c r="N462" t="n">
        <v>0</v>
      </c>
      <c r="O462" t="n">
        <v>0</v>
      </c>
      <c r="P462" t="n">
        <v>0</v>
      </c>
      <c r="Q462" t="n">
        <v>0</v>
      </c>
      <c r="R462" s="2" t="inlineStr"/>
    </row>
    <row r="463" ht="15" customHeight="1">
      <c r="A463" t="inlineStr">
        <is>
          <t>A 20752-2021</t>
        </is>
      </c>
      <c r="B463" s="1" t="n">
        <v>44313</v>
      </c>
      <c r="C463" s="1" t="n">
        <v>45849</v>
      </c>
      <c r="D463" t="inlineStr">
        <is>
          <t>NORRBOTTENS LÄN</t>
        </is>
      </c>
      <c r="E463" t="inlineStr">
        <is>
          <t>BODEN</t>
        </is>
      </c>
      <c r="G463" t="n">
        <v>9</v>
      </c>
      <c r="H463" t="n">
        <v>0</v>
      </c>
      <c r="I463" t="n">
        <v>0</v>
      </c>
      <c r="J463" t="n">
        <v>0</v>
      </c>
      <c r="K463" t="n">
        <v>0</v>
      </c>
      <c r="L463" t="n">
        <v>0</v>
      </c>
      <c r="M463" t="n">
        <v>0</v>
      </c>
      <c r="N463" t="n">
        <v>0</v>
      </c>
      <c r="O463" t="n">
        <v>0</v>
      </c>
      <c r="P463" t="n">
        <v>0</v>
      </c>
      <c r="Q463" t="n">
        <v>0</v>
      </c>
      <c r="R463" s="2" t="inlineStr"/>
    </row>
    <row r="464" ht="15" customHeight="1">
      <c r="A464" t="inlineStr">
        <is>
          <t>A 23131-2021</t>
        </is>
      </c>
      <c r="B464" s="1" t="n">
        <v>44330</v>
      </c>
      <c r="C464" s="1" t="n">
        <v>45849</v>
      </c>
      <c r="D464" t="inlineStr">
        <is>
          <t>NORRBOTTENS LÄN</t>
        </is>
      </c>
      <c r="E464" t="inlineStr">
        <is>
          <t>BODEN</t>
        </is>
      </c>
      <c r="G464" t="n">
        <v>15.8</v>
      </c>
      <c r="H464" t="n">
        <v>0</v>
      </c>
      <c r="I464" t="n">
        <v>0</v>
      </c>
      <c r="J464" t="n">
        <v>0</v>
      </c>
      <c r="K464" t="n">
        <v>0</v>
      </c>
      <c r="L464" t="n">
        <v>0</v>
      </c>
      <c r="M464" t="n">
        <v>0</v>
      </c>
      <c r="N464" t="n">
        <v>0</v>
      </c>
      <c r="O464" t="n">
        <v>0</v>
      </c>
      <c r="P464" t="n">
        <v>0</v>
      </c>
      <c r="Q464" t="n">
        <v>0</v>
      </c>
      <c r="R464" s="2" t="inlineStr"/>
    </row>
    <row r="465" ht="15" customHeight="1">
      <c r="A465" t="inlineStr">
        <is>
          <t>A 23454-2021</t>
        </is>
      </c>
      <c r="B465" s="1" t="n">
        <v>44333</v>
      </c>
      <c r="C465" s="1" t="n">
        <v>45849</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26199-2021</t>
        </is>
      </c>
      <c r="B466" s="1" t="n">
        <v>44347</v>
      </c>
      <c r="C466" s="1" t="n">
        <v>45849</v>
      </c>
      <c r="D466" t="inlineStr">
        <is>
          <t>NORRBOTTENS LÄN</t>
        </is>
      </c>
      <c r="E466" t="inlineStr">
        <is>
          <t>BODEN</t>
        </is>
      </c>
      <c r="F466" t="inlineStr">
        <is>
          <t>Sveaskog</t>
        </is>
      </c>
      <c r="G466" t="n">
        <v>4.5</v>
      </c>
      <c r="H466" t="n">
        <v>0</v>
      </c>
      <c r="I466" t="n">
        <v>0</v>
      </c>
      <c r="J466" t="n">
        <v>0</v>
      </c>
      <c r="K466" t="n">
        <v>0</v>
      </c>
      <c r="L466" t="n">
        <v>0</v>
      </c>
      <c r="M466" t="n">
        <v>0</v>
      </c>
      <c r="N466" t="n">
        <v>0</v>
      </c>
      <c r="O466" t="n">
        <v>0</v>
      </c>
      <c r="P466" t="n">
        <v>0</v>
      </c>
      <c r="Q466" t="n">
        <v>0</v>
      </c>
      <c r="R466" s="2" t="inlineStr"/>
    </row>
    <row r="467" ht="15" customHeight="1">
      <c r="A467" t="inlineStr">
        <is>
          <t>A 26331-2021</t>
        </is>
      </c>
      <c r="B467" s="1" t="n">
        <v>44347</v>
      </c>
      <c r="C467" s="1" t="n">
        <v>45849</v>
      </c>
      <c r="D467" t="inlineStr">
        <is>
          <t>NORRBOTTENS LÄN</t>
        </is>
      </c>
      <c r="E467" t="inlineStr">
        <is>
          <t>BODEN</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27136-2021</t>
        </is>
      </c>
      <c r="B468" s="1" t="n">
        <v>44350</v>
      </c>
      <c r="C468" s="1" t="n">
        <v>45849</v>
      </c>
      <c r="D468" t="inlineStr">
        <is>
          <t>NORRBOTTENS LÄN</t>
        </is>
      </c>
      <c r="E468" t="inlineStr">
        <is>
          <t>BODEN</t>
        </is>
      </c>
      <c r="G468" t="n">
        <v>0.4</v>
      </c>
      <c r="H468" t="n">
        <v>0</v>
      </c>
      <c r="I468" t="n">
        <v>0</v>
      </c>
      <c r="J468" t="n">
        <v>0</v>
      </c>
      <c r="K468" t="n">
        <v>0</v>
      </c>
      <c r="L468" t="n">
        <v>0</v>
      </c>
      <c r="M468" t="n">
        <v>0</v>
      </c>
      <c r="N468" t="n">
        <v>0</v>
      </c>
      <c r="O468" t="n">
        <v>0</v>
      </c>
      <c r="P468" t="n">
        <v>0</v>
      </c>
      <c r="Q468" t="n">
        <v>0</v>
      </c>
      <c r="R468" s="2" t="inlineStr"/>
    </row>
    <row r="469" ht="15" customHeight="1">
      <c r="A469" t="inlineStr">
        <is>
          <t>A 27241-2021</t>
        </is>
      </c>
      <c r="B469" s="1" t="n">
        <v>44350</v>
      </c>
      <c r="C469" s="1" t="n">
        <v>45849</v>
      </c>
      <c r="D469" t="inlineStr">
        <is>
          <t>NORRBOTTENS LÄN</t>
        </is>
      </c>
      <c r="E469" t="inlineStr">
        <is>
          <t>BODEN</t>
        </is>
      </c>
      <c r="G469" t="n">
        <v>7.6</v>
      </c>
      <c r="H469" t="n">
        <v>0</v>
      </c>
      <c r="I469" t="n">
        <v>0</v>
      </c>
      <c r="J469" t="n">
        <v>0</v>
      </c>
      <c r="K469" t="n">
        <v>0</v>
      </c>
      <c r="L469" t="n">
        <v>0</v>
      </c>
      <c r="M469" t="n">
        <v>0</v>
      </c>
      <c r="N469" t="n">
        <v>0</v>
      </c>
      <c r="O469" t="n">
        <v>0</v>
      </c>
      <c r="P469" t="n">
        <v>0</v>
      </c>
      <c r="Q469" t="n">
        <v>0</v>
      </c>
      <c r="R469" s="2" t="inlineStr"/>
    </row>
    <row r="470" ht="15" customHeight="1">
      <c r="A470" t="inlineStr">
        <is>
          <t>A 27248-2021</t>
        </is>
      </c>
      <c r="B470" s="1" t="n">
        <v>44350</v>
      </c>
      <c r="C470" s="1" t="n">
        <v>45849</v>
      </c>
      <c r="D470" t="inlineStr">
        <is>
          <t>NORRBOTTENS LÄN</t>
        </is>
      </c>
      <c r="E470" t="inlineStr">
        <is>
          <t>BODEN</t>
        </is>
      </c>
      <c r="G470" t="n">
        <v>10.9</v>
      </c>
      <c r="H470" t="n">
        <v>0</v>
      </c>
      <c r="I470" t="n">
        <v>0</v>
      </c>
      <c r="J470" t="n">
        <v>0</v>
      </c>
      <c r="K470" t="n">
        <v>0</v>
      </c>
      <c r="L470" t="n">
        <v>0</v>
      </c>
      <c r="M470" t="n">
        <v>0</v>
      </c>
      <c r="N470" t="n">
        <v>0</v>
      </c>
      <c r="O470" t="n">
        <v>0</v>
      </c>
      <c r="P470" t="n">
        <v>0</v>
      </c>
      <c r="Q470" t="n">
        <v>0</v>
      </c>
      <c r="R470" s="2" t="inlineStr"/>
    </row>
    <row r="471" ht="15" customHeight="1">
      <c r="A471" t="inlineStr">
        <is>
          <t>A 27596-2021</t>
        </is>
      </c>
      <c r="B471" s="1" t="n">
        <v>44354</v>
      </c>
      <c r="C471" s="1" t="n">
        <v>45849</v>
      </c>
      <c r="D471" t="inlineStr">
        <is>
          <t>NORRBOTTENS LÄN</t>
        </is>
      </c>
      <c r="E471" t="inlineStr">
        <is>
          <t>BODEN</t>
        </is>
      </c>
      <c r="F471" t="inlineStr">
        <is>
          <t>Sveaskog</t>
        </is>
      </c>
      <c r="G471" t="n">
        <v>4.6</v>
      </c>
      <c r="H471" t="n">
        <v>0</v>
      </c>
      <c r="I471" t="n">
        <v>0</v>
      </c>
      <c r="J471" t="n">
        <v>0</v>
      </c>
      <c r="K471" t="n">
        <v>0</v>
      </c>
      <c r="L471" t="n">
        <v>0</v>
      </c>
      <c r="M471" t="n">
        <v>0</v>
      </c>
      <c r="N471" t="n">
        <v>0</v>
      </c>
      <c r="O471" t="n">
        <v>0</v>
      </c>
      <c r="P471" t="n">
        <v>0</v>
      </c>
      <c r="Q471" t="n">
        <v>0</v>
      </c>
      <c r="R471" s="2" t="inlineStr"/>
    </row>
    <row r="472" ht="15" customHeight="1">
      <c r="A472" t="inlineStr">
        <is>
          <t>A 28370-2021</t>
        </is>
      </c>
      <c r="B472" s="1" t="n">
        <v>44356</v>
      </c>
      <c r="C472" s="1" t="n">
        <v>45849</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28367-2021</t>
        </is>
      </c>
      <c r="B473" s="1" t="n">
        <v>44356</v>
      </c>
      <c r="C473" s="1" t="n">
        <v>45849</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28378-2021</t>
        </is>
      </c>
      <c r="B474" s="1" t="n">
        <v>44356</v>
      </c>
      <c r="C474" s="1" t="n">
        <v>45849</v>
      </c>
      <c r="D474" t="inlineStr">
        <is>
          <t>NORRBOTTENS LÄN</t>
        </is>
      </c>
      <c r="E474" t="inlineStr">
        <is>
          <t>BODEN</t>
        </is>
      </c>
      <c r="G474" t="n">
        <v>0.2</v>
      </c>
      <c r="H474" t="n">
        <v>0</v>
      </c>
      <c r="I474" t="n">
        <v>0</v>
      </c>
      <c r="J474" t="n">
        <v>0</v>
      </c>
      <c r="K474" t="n">
        <v>0</v>
      </c>
      <c r="L474" t="n">
        <v>0</v>
      </c>
      <c r="M474" t="n">
        <v>0</v>
      </c>
      <c r="N474" t="n">
        <v>0</v>
      </c>
      <c r="O474" t="n">
        <v>0</v>
      </c>
      <c r="P474" t="n">
        <v>0</v>
      </c>
      <c r="Q474" t="n">
        <v>0</v>
      </c>
      <c r="R474" s="2" t="inlineStr"/>
    </row>
    <row r="475" ht="15" customHeight="1">
      <c r="A475" t="inlineStr">
        <is>
          <t>A 28933-2021</t>
        </is>
      </c>
      <c r="B475" s="1" t="n">
        <v>44358</v>
      </c>
      <c r="C475" s="1" t="n">
        <v>45849</v>
      </c>
      <c r="D475" t="inlineStr">
        <is>
          <t>NORRBOTTENS LÄN</t>
        </is>
      </c>
      <c r="E475" t="inlineStr">
        <is>
          <t>BODEN</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29107-2021</t>
        </is>
      </c>
      <c r="B476" s="1" t="n">
        <v>44358</v>
      </c>
      <c r="C476" s="1" t="n">
        <v>45849</v>
      </c>
      <c r="D476" t="inlineStr">
        <is>
          <t>NORRBOTTENS LÄN</t>
        </is>
      </c>
      <c r="E476" t="inlineStr">
        <is>
          <t>BODEN</t>
        </is>
      </c>
      <c r="G476" t="n">
        <v>1.5</v>
      </c>
      <c r="H476" t="n">
        <v>0</v>
      </c>
      <c r="I476" t="n">
        <v>0</v>
      </c>
      <c r="J476" t="n">
        <v>0</v>
      </c>
      <c r="K476" t="n">
        <v>0</v>
      </c>
      <c r="L476" t="n">
        <v>0</v>
      </c>
      <c r="M476" t="n">
        <v>0</v>
      </c>
      <c r="N476" t="n">
        <v>0</v>
      </c>
      <c r="O476" t="n">
        <v>0</v>
      </c>
      <c r="P476" t="n">
        <v>0</v>
      </c>
      <c r="Q476" t="n">
        <v>0</v>
      </c>
      <c r="R476" s="2" t="inlineStr"/>
    </row>
    <row r="477" ht="15" customHeight="1">
      <c r="A477" t="inlineStr">
        <is>
          <t>A 29751-2021</t>
        </is>
      </c>
      <c r="B477" s="1" t="n">
        <v>44362</v>
      </c>
      <c r="C477" s="1" t="n">
        <v>45849</v>
      </c>
      <c r="D477" t="inlineStr">
        <is>
          <t>NORRBOTTENS LÄN</t>
        </is>
      </c>
      <c r="E477" t="inlineStr">
        <is>
          <t>BODEN</t>
        </is>
      </c>
      <c r="G477" t="n">
        <v>5</v>
      </c>
      <c r="H477" t="n">
        <v>0</v>
      </c>
      <c r="I477" t="n">
        <v>0</v>
      </c>
      <c r="J477" t="n">
        <v>0</v>
      </c>
      <c r="K477" t="n">
        <v>0</v>
      </c>
      <c r="L477" t="n">
        <v>0</v>
      </c>
      <c r="M477" t="n">
        <v>0</v>
      </c>
      <c r="N477" t="n">
        <v>0</v>
      </c>
      <c r="O477" t="n">
        <v>0</v>
      </c>
      <c r="P477" t="n">
        <v>0</v>
      </c>
      <c r="Q477" t="n">
        <v>0</v>
      </c>
      <c r="R477" s="2" t="inlineStr"/>
    </row>
    <row r="478" ht="15" customHeight="1">
      <c r="A478" t="inlineStr">
        <is>
          <t>A 31513-2021</t>
        </is>
      </c>
      <c r="B478" s="1" t="n">
        <v>44369</v>
      </c>
      <c r="C478" s="1" t="n">
        <v>45849</v>
      </c>
      <c r="D478" t="inlineStr">
        <is>
          <t>NORRBOTTENS LÄN</t>
        </is>
      </c>
      <c r="E478" t="inlineStr">
        <is>
          <t>BODEN</t>
        </is>
      </c>
      <c r="G478" t="n">
        <v>2.8</v>
      </c>
      <c r="H478" t="n">
        <v>0</v>
      </c>
      <c r="I478" t="n">
        <v>0</v>
      </c>
      <c r="J478" t="n">
        <v>0</v>
      </c>
      <c r="K478" t="n">
        <v>0</v>
      </c>
      <c r="L478" t="n">
        <v>0</v>
      </c>
      <c r="M478" t="n">
        <v>0</v>
      </c>
      <c r="N478" t="n">
        <v>0</v>
      </c>
      <c r="O478" t="n">
        <v>0</v>
      </c>
      <c r="P478" t="n">
        <v>0</v>
      </c>
      <c r="Q478" t="n">
        <v>0</v>
      </c>
      <c r="R478" s="2" t="inlineStr"/>
    </row>
    <row r="479" ht="15" customHeight="1">
      <c r="A479" t="inlineStr">
        <is>
          <t>A 31720-2021</t>
        </is>
      </c>
      <c r="B479" s="1" t="n">
        <v>44369</v>
      </c>
      <c r="C479" s="1" t="n">
        <v>45849</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31719-2021</t>
        </is>
      </c>
      <c r="B480" s="1" t="n">
        <v>44369</v>
      </c>
      <c r="C480" s="1" t="n">
        <v>45849</v>
      </c>
      <c r="D480" t="inlineStr">
        <is>
          <t>NORRBOTTENS LÄN</t>
        </is>
      </c>
      <c r="E480" t="inlineStr">
        <is>
          <t>BODEN</t>
        </is>
      </c>
      <c r="G480" t="n">
        <v>6.4</v>
      </c>
      <c r="H480" t="n">
        <v>0</v>
      </c>
      <c r="I480" t="n">
        <v>0</v>
      </c>
      <c r="J480" t="n">
        <v>0</v>
      </c>
      <c r="K480" t="n">
        <v>0</v>
      </c>
      <c r="L480" t="n">
        <v>0</v>
      </c>
      <c r="M480" t="n">
        <v>0</v>
      </c>
      <c r="N480" t="n">
        <v>0</v>
      </c>
      <c r="O480" t="n">
        <v>0</v>
      </c>
      <c r="P480" t="n">
        <v>0</v>
      </c>
      <c r="Q480" t="n">
        <v>0</v>
      </c>
      <c r="R480" s="2" t="inlineStr"/>
    </row>
    <row r="481" ht="15" customHeight="1">
      <c r="A481" t="inlineStr">
        <is>
          <t>A 32373-2021</t>
        </is>
      </c>
      <c r="B481" s="1" t="n">
        <v>44371</v>
      </c>
      <c r="C481" s="1" t="n">
        <v>45849</v>
      </c>
      <c r="D481" t="inlineStr">
        <is>
          <t>NORRBOTTENS LÄN</t>
        </is>
      </c>
      <c r="E481" t="inlineStr">
        <is>
          <t>BODEN</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32511-2021</t>
        </is>
      </c>
      <c r="B482" s="1" t="n">
        <v>44374</v>
      </c>
      <c r="C482" s="1" t="n">
        <v>45849</v>
      </c>
      <c r="D482" t="inlineStr">
        <is>
          <t>NORRBOTTENS LÄN</t>
        </is>
      </c>
      <c r="E482" t="inlineStr">
        <is>
          <t>BODEN</t>
        </is>
      </c>
      <c r="G482" t="n">
        <v>3.7</v>
      </c>
      <c r="H482" t="n">
        <v>0</v>
      </c>
      <c r="I482" t="n">
        <v>0</v>
      </c>
      <c r="J482" t="n">
        <v>0</v>
      </c>
      <c r="K482" t="n">
        <v>0</v>
      </c>
      <c r="L482" t="n">
        <v>0</v>
      </c>
      <c r="M482" t="n">
        <v>0</v>
      </c>
      <c r="N482" t="n">
        <v>0</v>
      </c>
      <c r="O482" t="n">
        <v>0</v>
      </c>
      <c r="P482" t="n">
        <v>0</v>
      </c>
      <c r="Q482" t="n">
        <v>0</v>
      </c>
      <c r="R482" s="2" t="inlineStr"/>
    </row>
    <row r="483" ht="15" customHeight="1">
      <c r="A483" t="inlineStr">
        <is>
          <t>A 33353-2021</t>
        </is>
      </c>
      <c r="B483" s="1" t="n">
        <v>44377</v>
      </c>
      <c r="C483" s="1" t="n">
        <v>45849</v>
      </c>
      <c r="D483" t="inlineStr">
        <is>
          <t>NORRBOTTENS LÄN</t>
        </is>
      </c>
      <c r="E483" t="inlineStr">
        <is>
          <t>BODEN</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33908-2021</t>
        </is>
      </c>
      <c r="B484" s="1" t="n">
        <v>44378</v>
      </c>
      <c r="C484" s="1" t="n">
        <v>45849</v>
      </c>
      <c r="D484" t="inlineStr">
        <is>
          <t>NORRBOTTENS LÄN</t>
        </is>
      </c>
      <c r="E484" t="inlineStr">
        <is>
          <t>BODEN</t>
        </is>
      </c>
      <c r="G484" t="n">
        <v>3.3</v>
      </c>
      <c r="H484" t="n">
        <v>0</v>
      </c>
      <c r="I484" t="n">
        <v>0</v>
      </c>
      <c r="J484" t="n">
        <v>0</v>
      </c>
      <c r="K484" t="n">
        <v>0</v>
      </c>
      <c r="L484" t="n">
        <v>0</v>
      </c>
      <c r="M484" t="n">
        <v>0</v>
      </c>
      <c r="N484" t="n">
        <v>0</v>
      </c>
      <c r="O484" t="n">
        <v>0</v>
      </c>
      <c r="P484" t="n">
        <v>0</v>
      </c>
      <c r="Q484" t="n">
        <v>0</v>
      </c>
      <c r="R484" s="2" t="inlineStr"/>
    </row>
    <row r="485" ht="15" customHeight="1">
      <c r="A485" t="inlineStr">
        <is>
          <t>A 33903-2021</t>
        </is>
      </c>
      <c r="B485" s="1" t="n">
        <v>44378</v>
      </c>
      <c r="C485" s="1" t="n">
        <v>45849</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34021-2021</t>
        </is>
      </c>
      <c r="B486" s="1" t="n">
        <v>44378</v>
      </c>
      <c r="C486" s="1" t="n">
        <v>45849</v>
      </c>
      <c r="D486" t="inlineStr">
        <is>
          <t>NORRBOTTENS LÄN</t>
        </is>
      </c>
      <c r="E486" t="inlineStr">
        <is>
          <t>BODEN</t>
        </is>
      </c>
      <c r="G486" t="n">
        <v>2</v>
      </c>
      <c r="H486" t="n">
        <v>0</v>
      </c>
      <c r="I486" t="n">
        <v>0</v>
      </c>
      <c r="J486" t="n">
        <v>0</v>
      </c>
      <c r="K486" t="n">
        <v>0</v>
      </c>
      <c r="L486" t="n">
        <v>0</v>
      </c>
      <c r="M486" t="n">
        <v>0</v>
      </c>
      <c r="N486" t="n">
        <v>0</v>
      </c>
      <c r="O486" t="n">
        <v>0</v>
      </c>
      <c r="P486" t="n">
        <v>0</v>
      </c>
      <c r="Q486" t="n">
        <v>0</v>
      </c>
      <c r="R486" s="2" t="inlineStr"/>
    </row>
    <row r="487" ht="15" customHeight="1">
      <c r="A487" t="inlineStr">
        <is>
          <t>A 35843-2021</t>
        </is>
      </c>
      <c r="B487" s="1" t="n">
        <v>44386</v>
      </c>
      <c r="C487" s="1" t="n">
        <v>45849</v>
      </c>
      <c r="D487" t="inlineStr">
        <is>
          <t>NORRBOTTENS LÄN</t>
        </is>
      </c>
      <c r="E487" t="inlineStr">
        <is>
          <t>BODEN</t>
        </is>
      </c>
      <c r="G487" t="n">
        <v>1.5</v>
      </c>
      <c r="H487" t="n">
        <v>0</v>
      </c>
      <c r="I487" t="n">
        <v>0</v>
      </c>
      <c r="J487" t="n">
        <v>0</v>
      </c>
      <c r="K487" t="n">
        <v>0</v>
      </c>
      <c r="L487" t="n">
        <v>0</v>
      </c>
      <c r="M487" t="n">
        <v>0</v>
      </c>
      <c r="N487" t="n">
        <v>0</v>
      </c>
      <c r="O487" t="n">
        <v>0</v>
      </c>
      <c r="P487" t="n">
        <v>0</v>
      </c>
      <c r="Q487" t="n">
        <v>0</v>
      </c>
      <c r="R487" s="2" t="inlineStr"/>
    </row>
    <row r="488" ht="15" customHeight="1">
      <c r="A488" t="inlineStr">
        <is>
          <t>A 36017-2021</t>
        </is>
      </c>
      <c r="B488" s="1" t="n">
        <v>44389</v>
      </c>
      <c r="C488" s="1" t="n">
        <v>45849</v>
      </c>
      <c r="D488" t="inlineStr">
        <is>
          <t>NORRBOTTENS LÄN</t>
        </is>
      </c>
      <c r="E488" t="inlineStr">
        <is>
          <t>BODEN</t>
        </is>
      </c>
      <c r="G488" t="n">
        <v>4.8</v>
      </c>
      <c r="H488" t="n">
        <v>0</v>
      </c>
      <c r="I488" t="n">
        <v>0</v>
      </c>
      <c r="J488" t="n">
        <v>0</v>
      </c>
      <c r="K488" t="n">
        <v>0</v>
      </c>
      <c r="L488" t="n">
        <v>0</v>
      </c>
      <c r="M488" t="n">
        <v>0</v>
      </c>
      <c r="N488" t="n">
        <v>0</v>
      </c>
      <c r="O488" t="n">
        <v>0</v>
      </c>
      <c r="P488" t="n">
        <v>0</v>
      </c>
      <c r="Q488" t="n">
        <v>0</v>
      </c>
      <c r="R488" s="2" t="inlineStr"/>
    </row>
    <row r="489" ht="15" customHeight="1">
      <c r="A489" t="inlineStr">
        <is>
          <t>A 36517-2021</t>
        </is>
      </c>
      <c r="B489" s="1" t="n">
        <v>44391</v>
      </c>
      <c r="C489" s="1" t="n">
        <v>45849</v>
      </c>
      <c r="D489" t="inlineStr">
        <is>
          <t>NORRBOTTENS LÄN</t>
        </is>
      </c>
      <c r="E489" t="inlineStr">
        <is>
          <t>BODEN</t>
        </is>
      </c>
      <c r="G489" t="n">
        <v>10.1</v>
      </c>
      <c r="H489" t="n">
        <v>0</v>
      </c>
      <c r="I489" t="n">
        <v>0</v>
      </c>
      <c r="J489" t="n">
        <v>0</v>
      </c>
      <c r="K489" t="n">
        <v>0</v>
      </c>
      <c r="L489" t="n">
        <v>0</v>
      </c>
      <c r="M489" t="n">
        <v>0</v>
      </c>
      <c r="N489" t="n">
        <v>0</v>
      </c>
      <c r="O489" t="n">
        <v>0</v>
      </c>
      <c r="P489" t="n">
        <v>0</v>
      </c>
      <c r="Q489" t="n">
        <v>0</v>
      </c>
      <c r="R489" s="2" t="inlineStr"/>
    </row>
    <row r="490" ht="15" customHeight="1">
      <c r="A490" t="inlineStr">
        <is>
          <t>A 36463-2021</t>
        </is>
      </c>
      <c r="B490" s="1" t="n">
        <v>44391</v>
      </c>
      <c r="C490" s="1" t="n">
        <v>45849</v>
      </c>
      <c r="D490" t="inlineStr">
        <is>
          <t>NORRBOTTENS LÄN</t>
        </is>
      </c>
      <c r="E490" t="inlineStr">
        <is>
          <t>BODEN</t>
        </is>
      </c>
      <c r="G490" t="n">
        <v>7.4</v>
      </c>
      <c r="H490" t="n">
        <v>0</v>
      </c>
      <c r="I490" t="n">
        <v>0</v>
      </c>
      <c r="J490" t="n">
        <v>0</v>
      </c>
      <c r="K490" t="n">
        <v>0</v>
      </c>
      <c r="L490" t="n">
        <v>0</v>
      </c>
      <c r="M490" t="n">
        <v>0</v>
      </c>
      <c r="N490" t="n">
        <v>0</v>
      </c>
      <c r="O490" t="n">
        <v>0</v>
      </c>
      <c r="P490" t="n">
        <v>0</v>
      </c>
      <c r="Q490" t="n">
        <v>0</v>
      </c>
      <c r="R490" s="2" t="inlineStr"/>
    </row>
    <row r="491" ht="15" customHeight="1">
      <c r="A491" t="inlineStr">
        <is>
          <t>A 36138-2021</t>
        </is>
      </c>
      <c r="B491" s="1" t="n">
        <v>44392</v>
      </c>
      <c r="C491" s="1" t="n">
        <v>45849</v>
      </c>
      <c r="D491" t="inlineStr">
        <is>
          <t>NORRBOTTENS LÄN</t>
        </is>
      </c>
      <c r="E491" t="inlineStr">
        <is>
          <t>BODEN</t>
        </is>
      </c>
      <c r="G491" t="n">
        <v>18.5</v>
      </c>
      <c r="H491" t="n">
        <v>0</v>
      </c>
      <c r="I491" t="n">
        <v>0</v>
      </c>
      <c r="J491" t="n">
        <v>0</v>
      </c>
      <c r="K491" t="n">
        <v>0</v>
      </c>
      <c r="L491" t="n">
        <v>0</v>
      </c>
      <c r="M491" t="n">
        <v>0</v>
      </c>
      <c r="N491" t="n">
        <v>0</v>
      </c>
      <c r="O491" t="n">
        <v>0</v>
      </c>
      <c r="P491" t="n">
        <v>0</v>
      </c>
      <c r="Q491" t="n">
        <v>0</v>
      </c>
      <c r="R491" s="2" t="inlineStr"/>
    </row>
    <row r="492" ht="15" customHeight="1">
      <c r="A492" t="inlineStr">
        <is>
          <t>A 36999-2021</t>
        </is>
      </c>
      <c r="B492" s="1" t="n">
        <v>44393</v>
      </c>
      <c r="C492" s="1" t="n">
        <v>45849</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39291-2021</t>
        </is>
      </c>
      <c r="B493" s="1" t="n">
        <v>44413</v>
      </c>
      <c r="C493" s="1" t="n">
        <v>45849</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39673-2021</t>
        </is>
      </c>
      <c r="B494" s="1" t="n">
        <v>44414</v>
      </c>
      <c r="C494" s="1" t="n">
        <v>45849</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39701-2021</t>
        </is>
      </c>
      <c r="B495" s="1" t="n">
        <v>44414</v>
      </c>
      <c r="C495" s="1" t="n">
        <v>45849</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39689-2021</t>
        </is>
      </c>
      <c r="B496" s="1" t="n">
        <v>44414</v>
      </c>
      <c r="C496" s="1" t="n">
        <v>45849</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39833-2021</t>
        </is>
      </c>
      <c r="B497" s="1" t="n">
        <v>44414</v>
      </c>
      <c r="C497" s="1" t="n">
        <v>45849</v>
      </c>
      <c r="D497" t="inlineStr">
        <is>
          <t>NORRBOTTENS LÄN</t>
        </is>
      </c>
      <c r="E497" t="inlineStr">
        <is>
          <t>BODEN</t>
        </is>
      </c>
      <c r="G497" t="n">
        <v>1.8</v>
      </c>
      <c r="H497" t="n">
        <v>0</v>
      </c>
      <c r="I497" t="n">
        <v>0</v>
      </c>
      <c r="J497" t="n">
        <v>0</v>
      </c>
      <c r="K497" t="n">
        <v>0</v>
      </c>
      <c r="L497" t="n">
        <v>0</v>
      </c>
      <c r="M497" t="n">
        <v>0</v>
      </c>
      <c r="N497" t="n">
        <v>0</v>
      </c>
      <c r="O497" t="n">
        <v>0</v>
      </c>
      <c r="P497" t="n">
        <v>0</v>
      </c>
      <c r="Q497" t="n">
        <v>0</v>
      </c>
      <c r="R497" s="2" t="inlineStr"/>
    </row>
    <row r="498" ht="15" customHeight="1">
      <c r="A498" t="inlineStr">
        <is>
          <t>A 39711-2021</t>
        </is>
      </c>
      <c r="B498" s="1" t="n">
        <v>44414</v>
      </c>
      <c r="C498" s="1" t="n">
        <v>45849</v>
      </c>
      <c r="D498" t="inlineStr">
        <is>
          <t>NORRBOTTENS LÄN</t>
        </is>
      </c>
      <c r="E498" t="inlineStr">
        <is>
          <t>BODEN</t>
        </is>
      </c>
      <c r="G498" t="n">
        <v>7</v>
      </c>
      <c r="H498" t="n">
        <v>0</v>
      </c>
      <c r="I498" t="n">
        <v>0</v>
      </c>
      <c r="J498" t="n">
        <v>0</v>
      </c>
      <c r="K498" t="n">
        <v>0</v>
      </c>
      <c r="L498" t="n">
        <v>0</v>
      </c>
      <c r="M498" t="n">
        <v>0</v>
      </c>
      <c r="N498" t="n">
        <v>0</v>
      </c>
      <c r="O498" t="n">
        <v>0</v>
      </c>
      <c r="P498" t="n">
        <v>0</v>
      </c>
      <c r="Q498" t="n">
        <v>0</v>
      </c>
      <c r="R498" s="2" t="inlineStr"/>
    </row>
    <row r="499" ht="15" customHeight="1">
      <c r="A499" t="inlineStr">
        <is>
          <t>A 39740-2021</t>
        </is>
      </c>
      <c r="B499" s="1" t="n">
        <v>44414</v>
      </c>
      <c r="C499" s="1" t="n">
        <v>45849</v>
      </c>
      <c r="D499" t="inlineStr">
        <is>
          <t>NORRBOTTENS LÄN</t>
        </is>
      </c>
      <c r="E499" t="inlineStr">
        <is>
          <t>BODEN</t>
        </is>
      </c>
      <c r="G499" t="n">
        <v>3.5</v>
      </c>
      <c r="H499" t="n">
        <v>0</v>
      </c>
      <c r="I499" t="n">
        <v>0</v>
      </c>
      <c r="J499" t="n">
        <v>0</v>
      </c>
      <c r="K499" t="n">
        <v>0</v>
      </c>
      <c r="L499" t="n">
        <v>0</v>
      </c>
      <c r="M499" t="n">
        <v>0</v>
      </c>
      <c r="N499" t="n">
        <v>0</v>
      </c>
      <c r="O499" t="n">
        <v>0</v>
      </c>
      <c r="P499" t="n">
        <v>0</v>
      </c>
      <c r="Q499" t="n">
        <v>0</v>
      </c>
      <c r="R499" s="2" t="inlineStr"/>
    </row>
    <row r="500" ht="15" customHeight="1">
      <c r="A500" t="inlineStr">
        <is>
          <t>A 39695-2021</t>
        </is>
      </c>
      <c r="B500" s="1" t="n">
        <v>44414</v>
      </c>
      <c r="C500" s="1" t="n">
        <v>45849</v>
      </c>
      <c r="D500" t="inlineStr">
        <is>
          <t>NORRBOTTENS LÄN</t>
        </is>
      </c>
      <c r="E500" t="inlineStr">
        <is>
          <t>BODEN</t>
        </is>
      </c>
      <c r="G500" t="n">
        <v>2.5</v>
      </c>
      <c r="H500" t="n">
        <v>0</v>
      </c>
      <c r="I500" t="n">
        <v>0</v>
      </c>
      <c r="J500" t="n">
        <v>0</v>
      </c>
      <c r="K500" t="n">
        <v>0</v>
      </c>
      <c r="L500" t="n">
        <v>0</v>
      </c>
      <c r="M500" t="n">
        <v>0</v>
      </c>
      <c r="N500" t="n">
        <v>0</v>
      </c>
      <c r="O500" t="n">
        <v>0</v>
      </c>
      <c r="P500" t="n">
        <v>0</v>
      </c>
      <c r="Q500" t="n">
        <v>0</v>
      </c>
      <c r="R500" s="2" t="inlineStr"/>
    </row>
    <row r="501" ht="15" customHeight="1">
      <c r="A501" t="inlineStr">
        <is>
          <t>A 39750-2021</t>
        </is>
      </c>
      <c r="B501" s="1" t="n">
        <v>44417</v>
      </c>
      <c r="C501" s="1" t="n">
        <v>45849</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39884-2021</t>
        </is>
      </c>
      <c r="B502" s="1" t="n">
        <v>44417</v>
      </c>
      <c r="C502" s="1" t="n">
        <v>45849</v>
      </c>
      <c r="D502" t="inlineStr">
        <is>
          <t>NORRBOTTENS LÄN</t>
        </is>
      </c>
      <c r="E502" t="inlineStr">
        <is>
          <t>BODEN</t>
        </is>
      </c>
      <c r="G502" t="n">
        <v>5.1</v>
      </c>
      <c r="H502" t="n">
        <v>0</v>
      </c>
      <c r="I502" t="n">
        <v>0</v>
      </c>
      <c r="J502" t="n">
        <v>0</v>
      </c>
      <c r="K502" t="n">
        <v>0</v>
      </c>
      <c r="L502" t="n">
        <v>0</v>
      </c>
      <c r="M502" t="n">
        <v>0</v>
      </c>
      <c r="N502" t="n">
        <v>0</v>
      </c>
      <c r="O502" t="n">
        <v>0</v>
      </c>
      <c r="P502" t="n">
        <v>0</v>
      </c>
      <c r="Q502" t="n">
        <v>0</v>
      </c>
      <c r="R502" s="2" t="inlineStr"/>
    </row>
    <row r="503" ht="15" customHeight="1">
      <c r="A503" t="inlineStr">
        <is>
          <t>A 40781-2021</t>
        </is>
      </c>
      <c r="B503" s="1" t="n">
        <v>44421</v>
      </c>
      <c r="C503" s="1" t="n">
        <v>45849</v>
      </c>
      <c r="D503" t="inlineStr">
        <is>
          <t>NORRBOTTENS LÄN</t>
        </is>
      </c>
      <c r="E503" t="inlineStr">
        <is>
          <t>BODEN</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41180-2021</t>
        </is>
      </c>
      <c r="B504" s="1" t="n">
        <v>44423</v>
      </c>
      <c r="C504" s="1" t="n">
        <v>45849</v>
      </c>
      <c r="D504" t="inlineStr">
        <is>
          <t>NORRBOTTENS LÄN</t>
        </is>
      </c>
      <c r="E504" t="inlineStr">
        <is>
          <t>BODEN</t>
        </is>
      </c>
      <c r="G504" t="n">
        <v>0.5</v>
      </c>
      <c r="H504" t="n">
        <v>0</v>
      </c>
      <c r="I504" t="n">
        <v>0</v>
      </c>
      <c r="J504" t="n">
        <v>0</v>
      </c>
      <c r="K504" t="n">
        <v>0</v>
      </c>
      <c r="L504" t="n">
        <v>0</v>
      </c>
      <c r="M504" t="n">
        <v>0</v>
      </c>
      <c r="N504" t="n">
        <v>0</v>
      </c>
      <c r="O504" t="n">
        <v>0</v>
      </c>
      <c r="P504" t="n">
        <v>0</v>
      </c>
      <c r="Q504" t="n">
        <v>0</v>
      </c>
      <c r="R504" s="2" t="inlineStr"/>
    </row>
    <row r="505" ht="15" customHeight="1">
      <c r="A505" t="inlineStr">
        <is>
          <t>A 41943-2021</t>
        </is>
      </c>
      <c r="B505" s="1" t="n">
        <v>44426</v>
      </c>
      <c r="C505" s="1" t="n">
        <v>45849</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42711-2021</t>
        </is>
      </c>
      <c r="B506" s="1" t="n">
        <v>44428</v>
      </c>
      <c r="C506" s="1" t="n">
        <v>45849</v>
      </c>
      <c r="D506" t="inlineStr">
        <is>
          <t>NORRBOTTENS LÄN</t>
        </is>
      </c>
      <c r="E506" t="inlineStr">
        <is>
          <t>BODEN</t>
        </is>
      </c>
      <c r="G506" t="n">
        <v>2.7</v>
      </c>
      <c r="H506" t="n">
        <v>0</v>
      </c>
      <c r="I506" t="n">
        <v>0</v>
      </c>
      <c r="J506" t="n">
        <v>0</v>
      </c>
      <c r="K506" t="n">
        <v>0</v>
      </c>
      <c r="L506" t="n">
        <v>0</v>
      </c>
      <c r="M506" t="n">
        <v>0</v>
      </c>
      <c r="N506" t="n">
        <v>0</v>
      </c>
      <c r="O506" t="n">
        <v>0</v>
      </c>
      <c r="P506" t="n">
        <v>0</v>
      </c>
      <c r="Q506" t="n">
        <v>0</v>
      </c>
      <c r="R506" s="2" t="inlineStr"/>
    </row>
    <row r="507" ht="15" customHeight="1">
      <c r="A507" t="inlineStr">
        <is>
          <t>A 45002-2021</t>
        </is>
      </c>
      <c r="B507" s="1" t="n">
        <v>44438</v>
      </c>
      <c r="C507" s="1" t="n">
        <v>45849</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45115-2021</t>
        </is>
      </c>
      <c r="B508" s="1" t="n">
        <v>44438</v>
      </c>
      <c r="C508" s="1" t="n">
        <v>45849</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45189-2021</t>
        </is>
      </c>
      <c r="B509" s="1" t="n">
        <v>44439</v>
      </c>
      <c r="C509" s="1" t="n">
        <v>45849</v>
      </c>
      <c r="D509" t="inlineStr">
        <is>
          <t>NORRBOTTENS LÄN</t>
        </is>
      </c>
      <c r="E509" t="inlineStr">
        <is>
          <t>BODEN</t>
        </is>
      </c>
      <c r="G509" t="n">
        <v>1</v>
      </c>
      <c r="H509" t="n">
        <v>0</v>
      </c>
      <c r="I509" t="n">
        <v>0</v>
      </c>
      <c r="J509" t="n">
        <v>0</v>
      </c>
      <c r="K509" t="n">
        <v>0</v>
      </c>
      <c r="L509" t="n">
        <v>0</v>
      </c>
      <c r="M509" t="n">
        <v>0</v>
      </c>
      <c r="N509" t="n">
        <v>0</v>
      </c>
      <c r="O509" t="n">
        <v>0</v>
      </c>
      <c r="P509" t="n">
        <v>0</v>
      </c>
      <c r="Q509" t="n">
        <v>0</v>
      </c>
      <c r="R509" s="2" t="inlineStr"/>
    </row>
    <row r="510" ht="15" customHeight="1">
      <c r="A510" t="inlineStr">
        <is>
          <t>A 45185-2021</t>
        </is>
      </c>
      <c r="B510" s="1" t="n">
        <v>44439</v>
      </c>
      <c r="C510" s="1" t="n">
        <v>45849</v>
      </c>
      <c r="D510" t="inlineStr">
        <is>
          <t>NORRBOTTENS LÄN</t>
        </is>
      </c>
      <c r="E510" t="inlineStr">
        <is>
          <t>BODEN</t>
        </is>
      </c>
      <c r="G510" t="n">
        <v>6.1</v>
      </c>
      <c r="H510" t="n">
        <v>0</v>
      </c>
      <c r="I510" t="n">
        <v>0</v>
      </c>
      <c r="J510" t="n">
        <v>0</v>
      </c>
      <c r="K510" t="n">
        <v>0</v>
      </c>
      <c r="L510" t="n">
        <v>0</v>
      </c>
      <c r="M510" t="n">
        <v>0</v>
      </c>
      <c r="N510" t="n">
        <v>0</v>
      </c>
      <c r="O510" t="n">
        <v>0</v>
      </c>
      <c r="P510" t="n">
        <v>0</v>
      </c>
      <c r="Q510" t="n">
        <v>0</v>
      </c>
      <c r="R510" s="2" t="inlineStr"/>
    </row>
    <row r="511" ht="15" customHeight="1">
      <c r="A511" t="inlineStr">
        <is>
          <t>A 45677-2021</t>
        </is>
      </c>
      <c r="B511" s="1" t="n">
        <v>44441</v>
      </c>
      <c r="C511" s="1" t="n">
        <v>45849</v>
      </c>
      <c r="D511" t="inlineStr">
        <is>
          <t>NORRBOTTENS LÄN</t>
        </is>
      </c>
      <c r="E511" t="inlineStr">
        <is>
          <t>BODEN</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46183-2021</t>
        </is>
      </c>
      <c r="B512" s="1" t="n">
        <v>44441</v>
      </c>
      <c r="C512" s="1" t="n">
        <v>45849</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46541-2021</t>
        </is>
      </c>
      <c r="B513" s="1" t="n">
        <v>44445</v>
      </c>
      <c r="C513" s="1" t="n">
        <v>45849</v>
      </c>
      <c r="D513" t="inlineStr">
        <is>
          <t>NORRBOTTENS LÄN</t>
        </is>
      </c>
      <c r="E513" t="inlineStr">
        <is>
          <t>BODEN</t>
        </is>
      </c>
      <c r="G513" t="n">
        <v>0.8</v>
      </c>
      <c r="H513" t="n">
        <v>0</v>
      </c>
      <c r="I513" t="n">
        <v>0</v>
      </c>
      <c r="J513" t="n">
        <v>0</v>
      </c>
      <c r="K513" t="n">
        <v>0</v>
      </c>
      <c r="L513" t="n">
        <v>0</v>
      </c>
      <c r="M513" t="n">
        <v>0</v>
      </c>
      <c r="N513" t="n">
        <v>0</v>
      </c>
      <c r="O513" t="n">
        <v>0</v>
      </c>
      <c r="P513" t="n">
        <v>0</v>
      </c>
      <c r="Q513" t="n">
        <v>0</v>
      </c>
      <c r="R513" s="2" t="inlineStr"/>
    </row>
    <row r="514" ht="15" customHeight="1">
      <c r="A514" t="inlineStr">
        <is>
          <t>A 46512-2021</t>
        </is>
      </c>
      <c r="B514" s="1" t="n">
        <v>44445</v>
      </c>
      <c r="C514" s="1" t="n">
        <v>45849</v>
      </c>
      <c r="D514" t="inlineStr">
        <is>
          <t>NORRBOTTENS LÄN</t>
        </is>
      </c>
      <c r="E514" t="inlineStr">
        <is>
          <t>BODEN</t>
        </is>
      </c>
      <c r="G514" t="n">
        <v>7.2</v>
      </c>
      <c r="H514" t="n">
        <v>0</v>
      </c>
      <c r="I514" t="n">
        <v>0</v>
      </c>
      <c r="J514" t="n">
        <v>0</v>
      </c>
      <c r="K514" t="n">
        <v>0</v>
      </c>
      <c r="L514" t="n">
        <v>0</v>
      </c>
      <c r="M514" t="n">
        <v>0</v>
      </c>
      <c r="N514" t="n">
        <v>0</v>
      </c>
      <c r="O514" t="n">
        <v>0</v>
      </c>
      <c r="P514" t="n">
        <v>0</v>
      </c>
      <c r="Q514" t="n">
        <v>0</v>
      </c>
      <c r="R514" s="2" t="inlineStr"/>
    </row>
    <row r="515" ht="15" customHeight="1">
      <c r="A515" t="inlineStr">
        <is>
          <t>A 49823-2021</t>
        </is>
      </c>
      <c r="B515" s="1" t="n">
        <v>44455</v>
      </c>
      <c r="C515" s="1" t="n">
        <v>45849</v>
      </c>
      <c r="D515" t="inlineStr">
        <is>
          <t>NORRBOTTENS LÄN</t>
        </is>
      </c>
      <c r="E515" t="inlineStr">
        <is>
          <t>BODEN</t>
        </is>
      </c>
      <c r="F515" t="inlineStr">
        <is>
          <t>Sveaskog</t>
        </is>
      </c>
      <c r="G515" t="n">
        <v>3.9</v>
      </c>
      <c r="H515" t="n">
        <v>0</v>
      </c>
      <c r="I515" t="n">
        <v>0</v>
      </c>
      <c r="J515" t="n">
        <v>0</v>
      </c>
      <c r="K515" t="n">
        <v>0</v>
      </c>
      <c r="L515" t="n">
        <v>0</v>
      </c>
      <c r="M515" t="n">
        <v>0</v>
      </c>
      <c r="N515" t="n">
        <v>0</v>
      </c>
      <c r="O515" t="n">
        <v>0</v>
      </c>
      <c r="P515" t="n">
        <v>0</v>
      </c>
      <c r="Q515" t="n">
        <v>0</v>
      </c>
      <c r="R515" s="2" t="inlineStr"/>
    </row>
    <row r="516" ht="15" customHeight="1">
      <c r="A516" t="inlineStr">
        <is>
          <t>A 51328-2021</t>
        </is>
      </c>
      <c r="B516" s="1" t="n">
        <v>44461</v>
      </c>
      <c r="C516" s="1" t="n">
        <v>45849</v>
      </c>
      <c r="D516" t="inlineStr">
        <is>
          <t>NORRBOTTENS LÄN</t>
        </is>
      </c>
      <c r="E516" t="inlineStr">
        <is>
          <t>BODEN</t>
        </is>
      </c>
      <c r="G516" t="n">
        <v>5.6</v>
      </c>
      <c r="H516" t="n">
        <v>0</v>
      </c>
      <c r="I516" t="n">
        <v>0</v>
      </c>
      <c r="J516" t="n">
        <v>0</v>
      </c>
      <c r="K516" t="n">
        <v>0</v>
      </c>
      <c r="L516" t="n">
        <v>0</v>
      </c>
      <c r="M516" t="n">
        <v>0</v>
      </c>
      <c r="N516" t="n">
        <v>0</v>
      </c>
      <c r="O516" t="n">
        <v>0</v>
      </c>
      <c r="P516" t="n">
        <v>0</v>
      </c>
      <c r="Q516" t="n">
        <v>0</v>
      </c>
      <c r="R516" s="2" t="inlineStr"/>
    </row>
    <row r="517" ht="15" customHeight="1">
      <c r="A517" t="inlineStr">
        <is>
          <t>A 51902-2021</t>
        </is>
      </c>
      <c r="B517" s="1" t="n">
        <v>44463</v>
      </c>
      <c r="C517" s="1" t="n">
        <v>45849</v>
      </c>
      <c r="D517" t="inlineStr">
        <is>
          <t>NORRBOTTENS LÄN</t>
        </is>
      </c>
      <c r="E517" t="inlineStr">
        <is>
          <t>BODEN</t>
        </is>
      </c>
      <c r="G517" t="n">
        <v>0.8</v>
      </c>
      <c r="H517" t="n">
        <v>0</v>
      </c>
      <c r="I517" t="n">
        <v>0</v>
      </c>
      <c r="J517" t="n">
        <v>0</v>
      </c>
      <c r="K517" t="n">
        <v>0</v>
      </c>
      <c r="L517" t="n">
        <v>0</v>
      </c>
      <c r="M517" t="n">
        <v>0</v>
      </c>
      <c r="N517" t="n">
        <v>0</v>
      </c>
      <c r="O517" t="n">
        <v>0</v>
      </c>
      <c r="P517" t="n">
        <v>0</v>
      </c>
      <c r="Q517" t="n">
        <v>0</v>
      </c>
      <c r="R517" s="2" t="inlineStr"/>
    </row>
    <row r="518" ht="15" customHeight="1">
      <c r="A518" t="inlineStr">
        <is>
          <t>A 51963-2021</t>
        </is>
      </c>
      <c r="B518" s="1" t="n">
        <v>44463</v>
      </c>
      <c r="C518" s="1" t="n">
        <v>45849</v>
      </c>
      <c r="D518" t="inlineStr">
        <is>
          <t>NORRBOTTENS LÄN</t>
        </is>
      </c>
      <c r="E518" t="inlineStr">
        <is>
          <t>BODEN</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52075-2021</t>
        </is>
      </c>
      <c r="B519" s="1" t="n">
        <v>44463</v>
      </c>
      <c r="C519" s="1" t="n">
        <v>45849</v>
      </c>
      <c r="D519" t="inlineStr">
        <is>
          <t>NORRBOTTENS LÄN</t>
        </is>
      </c>
      <c r="E519" t="inlineStr">
        <is>
          <t>BODEN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51973-2021</t>
        </is>
      </c>
      <c r="B520" s="1" t="n">
        <v>44463</v>
      </c>
      <c r="C520" s="1" t="n">
        <v>45849</v>
      </c>
      <c r="D520" t="inlineStr">
        <is>
          <t>NORRBOTTENS LÄN</t>
        </is>
      </c>
      <c r="E520" t="inlineStr">
        <is>
          <t>BODEN</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52345-2021</t>
        </is>
      </c>
      <c r="B521" s="1" t="n">
        <v>44464</v>
      </c>
      <c r="C521" s="1" t="n">
        <v>45849</v>
      </c>
      <c r="D521" t="inlineStr">
        <is>
          <t>NORRBOTTENS LÄN</t>
        </is>
      </c>
      <c r="E521" t="inlineStr">
        <is>
          <t>BODEN</t>
        </is>
      </c>
      <c r="G521" t="n">
        <v>11.7</v>
      </c>
      <c r="H521" t="n">
        <v>0</v>
      </c>
      <c r="I521" t="n">
        <v>0</v>
      </c>
      <c r="J521" t="n">
        <v>0</v>
      </c>
      <c r="K521" t="n">
        <v>0</v>
      </c>
      <c r="L521" t="n">
        <v>0</v>
      </c>
      <c r="M521" t="n">
        <v>0</v>
      </c>
      <c r="N521" t="n">
        <v>0</v>
      </c>
      <c r="O521" t="n">
        <v>0</v>
      </c>
      <c r="P521" t="n">
        <v>0</v>
      </c>
      <c r="Q521" t="n">
        <v>0</v>
      </c>
      <c r="R521" s="2" t="inlineStr"/>
    </row>
    <row r="522" ht="15" customHeight="1">
      <c r="A522" t="inlineStr">
        <is>
          <t>A 53005-2021</t>
        </is>
      </c>
      <c r="B522" s="1" t="n">
        <v>44467</v>
      </c>
      <c r="C522" s="1" t="n">
        <v>45849</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53628-2021</t>
        </is>
      </c>
      <c r="B523" s="1" t="n">
        <v>44469</v>
      </c>
      <c r="C523" s="1" t="n">
        <v>45849</v>
      </c>
      <c r="D523" t="inlineStr">
        <is>
          <t>NORRBOTTENS LÄN</t>
        </is>
      </c>
      <c r="E523" t="inlineStr">
        <is>
          <t>BODEN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53630-2021</t>
        </is>
      </c>
      <c r="B524" s="1" t="n">
        <v>44469</v>
      </c>
      <c r="C524" s="1" t="n">
        <v>45849</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53633-2021</t>
        </is>
      </c>
      <c r="B525" s="1" t="n">
        <v>44469</v>
      </c>
      <c r="C525" s="1" t="n">
        <v>45849</v>
      </c>
      <c r="D525" t="inlineStr">
        <is>
          <t>NORRBOTTENS LÄN</t>
        </is>
      </c>
      <c r="E525" t="inlineStr">
        <is>
          <t>BODEN</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54818-2021</t>
        </is>
      </c>
      <c r="B526" s="1" t="n">
        <v>44473</v>
      </c>
      <c r="C526" s="1" t="n">
        <v>45849</v>
      </c>
      <c r="D526" t="inlineStr">
        <is>
          <t>NORRBOTTENS LÄN</t>
        </is>
      </c>
      <c r="E526" t="inlineStr">
        <is>
          <t>BODEN</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55024-2021</t>
        </is>
      </c>
      <c r="B527" s="1" t="n">
        <v>44474</v>
      </c>
      <c r="C527" s="1" t="n">
        <v>45849</v>
      </c>
      <c r="D527" t="inlineStr">
        <is>
          <t>NORRBOTTENS LÄN</t>
        </is>
      </c>
      <c r="E527" t="inlineStr">
        <is>
          <t>BODEN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v>
      </c>
      <c r="C528" s="1" t="n">
        <v>45849</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54935-2021</t>
        </is>
      </c>
      <c r="B529" s="1" t="n">
        <v>44474</v>
      </c>
      <c r="C529" s="1" t="n">
        <v>45849</v>
      </c>
      <c r="D529" t="inlineStr">
        <is>
          <t>NORRBOTTENS LÄN</t>
        </is>
      </c>
      <c r="E529" t="inlineStr">
        <is>
          <t>BODEN</t>
        </is>
      </c>
      <c r="G529" t="n">
        <v>2.9</v>
      </c>
      <c r="H529" t="n">
        <v>0</v>
      </c>
      <c r="I529" t="n">
        <v>0</v>
      </c>
      <c r="J529" t="n">
        <v>0</v>
      </c>
      <c r="K529" t="n">
        <v>0</v>
      </c>
      <c r="L529" t="n">
        <v>0</v>
      </c>
      <c r="M529" t="n">
        <v>0</v>
      </c>
      <c r="N529" t="n">
        <v>0</v>
      </c>
      <c r="O529" t="n">
        <v>0</v>
      </c>
      <c r="P529" t="n">
        <v>0</v>
      </c>
      <c r="Q529" t="n">
        <v>0</v>
      </c>
      <c r="R529" s="2" t="inlineStr"/>
    </row>
    <row r="530" ht="15" customHeight="1">
      <c r="A530" t="inlineStr">
        <is>
          <t>A 54881-2021</t>
        </is>
      </c>
      <c r="B530" s="1" t="n">
        <v>44474</v>
      </c>
      <c r="C530" s="1" t="n">
        <v>45849</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56111-2021</t>
        </is>
      </c>
      <c r="B531" s="1" t="n">
        <v>44477</v>
      </c>
      <c r="C531" s="1" t="n">
        <v>45849</v>
      </c>
      <c r="D531" t="inlineStr">
        <is>
          <t>NORRBOTTENS LÄN</t>
        </is>
      </c>
      <c r="E531" t="inlineStr">
        <is>
          <t>BODEN</t>
        </is>
      </c>
      <c r="G531" t="n">
        <v>2.3</v>
      </c>
      <c r="H531" t="n">
        <v>0</v>
      </c>
      <c r="I531" t="n">
        <v>0</v>
      </c>
      <c r="J531" t="n">
        <v>0</v>
      </c>
      <c r="K531" t="n">
        <v>0</v>
      </c>
      <c r="L531" t="n">
        <v>0</v>
      </c>
      <c r="M531" t="n">
        <v>0</v>
      </c>
      <c r="N531" t="n">
        <v>0</v>
      </c>
      <c r="O531" t="n">
        <v>0</v>
      </c>
      <c r="P531" t="n">
        <v>0</v>
      </c>
      <c r="Q531" t="n">
        <v>0</v>
      </c>
      <c r="R531" s="2" t="inlineStr"/>
    </row>
    <row r="532" ht="15" customHeight="1">
      <c r="A532" t="inlineStr">
        <is>
          <t>A 56467-2021</t>
        </is>
      </c>
      <c r="B532" s="1" t="n">
        <v>44480</v>
      </c>
      <c r="C532" s="1" t="n">
        <v>45849</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56485-2021</t>
        </is>
      </c>
      <c r="B533" s="1" t="n">
        <v>44480</v>
      </c>
      <c r="C533" s="1" t="n">
        <v>45849</v>
      </c>
      <c r="D533" t="inlineStr">
        <is>
          <t>NORRBOTTENS LÄN</t>
        </is>
      </c>
      <c r="E533" t="inlineStr">
        <is>
          <t>BODEN</t>
        </is>
      </c>
      <c r="G533" t="n">
        <v>6.1</v>
      </c>
      <c r="H533" t="n">
        <v>0</v>
      </c>
      <c r="I533" t="n">
        <v>0</v>
      </c>
      <c r="J533" t="n">
        <v>0</v>
      </c>
      <c r="K533" t="n">
        <v>0</v>
      </c>
      <c r="L533" t="n">
        <v>0</v>
      </c>
      <c r="M533" t="n">
        <v>0</v>
      </c>
      <c r="N533" t="n">
        <v>0</v>
      </c>
      <c r="O533" t="n">
        <v>0</v>
      </c>
      <c r="P533" t="n">
        <v>0</v>
      </c>
      <c r="Q533" t="n">
        <v>0</v>
      </c>
      <c r="R533" s="2" t="inlineStr"/>
    </row>
    <row r="534" ht="15" customHeight="1">
      <c r="A534" t="inlineStr">
        <is>
          <t>A 57583-2021</t>
        </is>
      </c>
      <c r="B534" s="1" t="n">
        <v>44484</v>
      </c>
      <c r="C534" s="1" t="n">
        <v>45849</v>
      </c>
      <c r="D534" t="inlineStr">
        <is>
          <t>NORRBOTTENS LÄN</t>
        </is>
      </c>
      <c r="E534" t="inlineStr">
        <is>
          <t>BODEN</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57578-2021</t>
        </is>
      </c>
      <c r="B535" s="1" t="n">
        <v>44484</v>
      </c>
      <c r="C535" s="1" t="n">
        <v>45849</v>
      </c>
      <c r="D535" t="inlineStr">
        <is>
          <t>NORRBOTTENS LÄN</t>
        </is>
      </c>
      <c r="E535" t="inlineStr">
        <is>
          <t>BODEN</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57600-2021</t>
        </is>
      </c>
      <c r="B536" s="1" t="n">
        <v>44484</v>
      </c>
      <c r="C536" s="1" t="n">
        <v>45849</v>
      </c>
      <c r="D536" t="inlineStr">
        <is>
          <t>NORRBOTTENS LÄN</t>
        </is>
      </c>
      <c r="E536" t="inlineStr">
        <is>
          <t>BODEN</t>
        </is>
      </c>
      <c r="G536" t="n">
        <v>5.3</v>
      </c>
      <c r="H536" t="n">
        <v>0</v>
      </c>
      <c r="I536" t="n">
        <v>0</v>
      </c>
      <c r="J536" t="n">
        <v>0</v>
      </c>
      <c r="K536" t="n">
        <v>0</v>
      </c>
      <c r="L536" t="n">
        <v>0</v>
      </c>
      <c r="M536" t="n">
        <v>0</v>
      </c>
      <c r="N536" t="n">
        <v>0</v>
      </c>
      <c r="O536" t="n">
        <v>0</v>
      </c>
      <c r="P536" t="n">
        <v>0</v>
      </c>
      <c r="Q536" t="n">
        <v>0</v>
      </c>
      <c r="R536" s="2" t="inlineStr"/>
    </row>
    <row r="537" ht="15" customHeight="1">
      <c r="A537" t="inlineStr">
        <is>
          <t>A 57604-2021</t>
        </is>
      </c>
      <c r="B537" s="1" t="n">
        <v>44484</v>
      </c>
      <c r="C537" s="1" t="n">
        <v>45849</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57873-2021</t>
        </is>
      </c>
      <c r="B538" s="1" t="n">
        <v>44484</v>
      </c>
      <c r="C538" s="1" t="n">
        <v>45849</v>
      </c>
      <c r="D538" t="inlineStr">
        <is>
          <t>NORRBOTTENS LÄN</t>
        </is>
      </c>
      <c r="E538" t="inlineStr">
        <is>
          <t>BODEN</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57895-2021</t>
        </is>
      </c>
      <c r="B539" s="1" t="n">
        <v>44486</v>
      </c>
      <c r="C539" s="1" t="n">
        <v>45849</v>
      </c>
      <c r="D539" t="inlineStr">
        <is>
          <t>NORRBOTTENS LÄN</t>
        </is>
      </c>
      <c r="E539" t="inlineStr">
        <is>
          <t>BODEN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58036-2021</t>
        </is>
      </c>
      <c r="B540" s="1" t="n">
        <v>44487</v>
      </c>
      <c r="C540" s="1" t="n">
        <v>45849</v>
      </c>
      <c r="D540" t="inlineStr">
        <is>
          <t>NORRBOTTENS LÄN</t>
        </is>
      </c>
      <c r="E540" t="inlineStr">
        <is>
          <t>BODEN</t>
        </is>
      </c>
      <c r="G540" t="n">
        <v>1.8</v>
      </c>
      <c r="H540" t="n">
        <v>0</v>
      </c>
      <c r="I540" t="n">
        <v>0</v>
      </c>
      <c r="J540" t="n">
        <v>0</v>
      </c>
      <c r="K540" t="n">
        <v>0</v>
      </c>
      <c r="L540" t="n">
        <v>0</v>
      </c>
      <c r="M540" t="n">
        <v>0</v>
      </c>
      <c r="N540" t="n">
        <v>0</v>
      </c>
      <c r="O540" t="n">
        <v>0</v>
      </c>
      <c r="P540" t="n">
        <v>0</v>
      </c>
      <c r="Q540" t="n">
        <v>0</v>
      </c>
      <c r="R540" s="2" t="inlineStr"/>
    </row>
    <row r="541" ht="15" customHeight="1">
      <c r="A541" t="inlineStr">
        <is>
          <t>A 58101-2021</t>
        </is>
      </c>
      <c r="B541" s="1" t="n">
        <v>44487</v>
      </c>
      <c r="C541" s="1" t="n">
        <v>45849</v>
      </c>
      <c r="D541" t="inlineStr">
        <is>
          <t>NORRBOTTENS LÄN</t>
        </is>
      </c>
      <c r="E541" t="inlineStr">
        <is>
          <t>BODEN</t>
        </is>
      </c>
      <c r="G541" t="n">
        <v>3.3</v>
      </c>
      <c r="H541" t="n">
        <v>0</v>
      </c>
      <c r="I541" t="n">
        <v>0</v>
      </c>
      <c r="J541" t="n">
        <v>0</v>
      </c>
      <c r="K541" t="n">
        <v>0</v>
      </c>
      <c r="L541" t="n">
        <v>0</v>
      </c>
      <c r="M541" t="n">
        <v>0</v>
      </c>
      <c r="N541" t="n">
        <v>0</v>
      </c>
      <c r="O541" t="n">
        <v>0</v>
      </c>
      <c r="P541" t="n">
        <v>0</v>
      </c>
      <c r="Q541" t="n">
        <v>0</v>
      </c>
      <c r="R541" s="2" t="inlineStr"/>
    </row>
    <row r="542" ht="15" customHeight="1">
      <c r="A542" t="inlineStr">
        <is>
          <t>A 58877-2021</t>
        </is>
      </c>
      <c r="B542" s="1" t="n">
        <v>44489</v>
      </c>
      <c r="C542" s="1" t="n">
        <v>45849</v>
      </c>
      <c r="D542" t="inlineStr">
        <is>
          <t>NORRBOTTENS LÄN</t>
        </is>
      </c>
      <c r="E542" t="inlineStr">
        <is>
          <t>BODEN</t>
        </is>
      </c>
      <c r="G542" t="n">
        <v>5.9</v>
      </c>
      <c r="H542" t="n">
        <v>0</v>
      </c>
      <c r="I542" t="n">
        <v>0</v>
      </c>
      <c r="J542" t="n">
        <v>0</v>
      </c>
      <c r="K542" t="n">
        <v>0</v>
      </c>
      <c r="L542" t="n">
        <v>0</v>
      </c>
      <c r="M542" t="n">
        <v>0</v>
      </c>
      <c r="N542" t="n">
        <v>0</v>
      </c>
      <c r="O542" t="n">
        <v>0</v>
      </c>
      <c r="P542" t="n">
        <v>0</v>
      </c>
      <c r="Q542" t="n">
        <v>0</v>
      </c>
      <c r="R542" s="2" t="inlineStr"/>
    </row>
    <row r="543" ht="15" customHeight="1">
      <c r="A543" t="inlineStr">
        <is>
          <t>A 58898-2021</t>
        </is>
      </c>
      <c r="B543" s="1" t="n">
        <v>44489</v>
      </c>
      <c r="C543" s="1" t="n">
        <v>45849</v>
      </c>
      <c r="D543" t="inlineStr">
        <is>
          <t>NORRBOTTENS LÄN</t>
        </is>
      </c>
      <c r="E543" t="inlineStr">
        <is>
          <t>BODEN</t>
        </is>
      </c>
      <c r="G543" t="n">
        <v>0.7</v>
      </c>
      <c r="H543" t="n">
        <v>0</v>
      </c>
      <c r="I543" t="n">
        <v>0</v>
      </c>
      <c r="J543" t="n">
        <v>0</v>
      </c>
      <c r="K543" t="n">
        <v>0</v>
      </c>
      <c r="L543" t="n">
        <v>0</v>
      </c>
      <c r="M543" t="n">
        <v>0</v>
      </c>
      <c r="N543" t="n">
        <v>0</v>
      </c>
      <c r="O543" t="n">
        <v>0</v>
      </c>
      <c r="P543" t="n">
        <v>0</v>
      </c>
      <c r="Q543" t="n">
        <v>0</v>
      </c>
      <c r="R543" s="2" t="inlineStr"/>
    </row>
    <row r="544" ht="15" customHeight="1">
      <c r="A544" t="inlineStr">
        <is>
          <t>A 58977-2021</t>
        </is>
      </c>
      <c r="B544" s="1" t="n">
        <v>44489</v>
      </c>
      <c r="C544" s="1" t="n">
        <v>45849</v>
      </c>
      <c r="D544" t="inlineStr">
        <is>
          <t>NORRBOTTENS LÄN</t>
        </is>
      </c>
      <c r="E544" t="inlineStr">
        <is>
          <t>BODEN</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59331-2021</t>
        </is>
      </c>
      <c r="B545" s="1" t="n">
        <v>44490</v>
      </c>
      <c r="C545" s="1" t="n">
        <v>45849</v>
      </c>
      <c r="D545" t="inlineStr">
        <is>
          <t>NORRBOTTENS LÄN</t>
        </is>
      </c>
      <c r="E545" t="inlineStr">
        <is>
          <t>BODEN</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59540-2021</t>
        </is>
      </c>
      <c r="B546" s="1" t="n">
        <v>44491</v>
      </c>
      <c r="C546" s="1" t="n">
        <v>45849</v>
      </c>
      <c r="D546" t="inlineStr">
        <is>
          <t>NORRBOTTENS LÄN</t>
        </is>
      </c>
      <c r="E546" t="inlineStr">
        <is>
          <t>BODEN</t>
        </is>
      </c>
      <c r="G546" t="n">
        <v>8.1</v>
      </c>
      <c r="H546" t="n">
        <v>0</v>
      </c>
      <c r="I546" t="n">
        <v>0</v>
      </c>
      <c r="J546" t="n">
        <v>0</v>
      </c>
      <c r="K546" t="n">
        <v>0</v>
      </c>
      <c r="L546" t="n">
        <v>0</v>
      </c>
      <c r="M546" t="n">
        <v>0</v>
      </c>
      <c r="N546" t="n">
        <v>0</v>
      </c>
      <c r="O546" t="n">
        <v>0</v>
      </c>
      <c r="P546" t="n">
        <v>0</v>
      </c>
      <c r="Q546" t="n">
        <v>0</v>
      </c>
      <c r="R546" s="2" t="inlineStr"/>
    </row>
    <row r="547" ht="15" customHeight="1">
      <c r="A547" t="inlineStr">
        <is>
          <t>A 61412-2021</t>
        </is>
      </c>
      <c r="B547" s="1" t="n">
        <v>44500</v>
      </c>
      <c r="C547" s="1" t="n">
        <v>45849</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63790-2021</t>
        </is>
      </c>
      <c r="B548" s="1" t="n">
        <v>44509</v>
      </c>
      <c r="C548" s="1" t="n">
        <v>45849</v>
      </c>
      <c r="D548" t="inlineStr">
        <is>
          <t>NORRBOTTENS LÄN</t>
        </is>
      </c>
      <c r="E548" t="inlineStr">
        <is>
          <t>BODEN</t>
        </is>
      </c>
      <c r="G548" t="n">
        <v>1.1</v>
      </c>
      <c r="H548" t="n">
        <v>0</v>
      </c>
      <c r="I548" t="n">
        <v>0</v>
      </c>
      <c r="J548" t="n">
        <v>0</v>
      </c>
      <c r="K548" t="n">
        <v>0</v>
      </c>
      <c r="L548" t="n">
        <v>0</v>
      </c>
      <c r="M548" t="n">
        <v>0</v>
      </c>
      <c r="N548" t="n">
        <v>0</v>
      </c>
      <c r="O548" t="n">
        <v>0</v>
      </c>
      <c r="P548" t="n">
        <v>0</v>
      </c>
      <c r="Q548" t="n">
        <v>0</v>
      </c>
      <c r="R548" s="2" t="inlineStr"/>
    </row>
    <row r="549" ht="15" customHeight="1">
      <c r="A549" t="inlineStr">
        <is>
          <t>A 65218-2021</t>
        </is>
      </c>
      <c r="B549" s="1" t="n">
        <v>44515</v>
      </c>
      <c r="C549" s="1" t="n">
        <v>45849</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65225-2021</t>
        </is>
      </c>
      <c r="B550" s="1" t="n">
        <v>44515</v>
      </c>
      <c r="C550" s="1" t="n">
        <v>45849</v>
      </c>
      <c r="D550" t="inlineStr">
        <is>
          <t>NORRBOTTENS LÄN</t>
        </is>
      </c>
      <c r="E550" t="inlineStr">
        <is>
          <t>BODEN</t>
        </is>
      </c>
      <c r="G550" t="n">
        <v>8.1</v>
      </c>
      <c r="H550" t="n">
        <v>0</v>
      </c>
      <c r="I550" t="n">
        <v>0</v>
      </c>
      <c r="J550" t="n">
        <v>0</v>
      </c>
      <c r="K550" t="n">
        <v>0</v>
      </c>
      <c r="L550" t="n">
        <v>0</v>
      </c>
      <c r="M550" t="n">
        <v>0</v>
      </c>
      <c r="N550" t="n">
        <v>0</v>
      </c>
      <c r="O550" t="n">
        <v>0</v>
      </c>
      <c r="P550" t="n">
        <v>0</v>
      </c>
      <c r="Q550" t="n">
        <v>0</v>
      </c>
      <c r="R550" s="2" t="inlineStr"/>
    </row>
    <row r="551" ht="15" customHeight="1">
      <c r="A551" t="inlineStr">
        <is>
          <t>A 66464-2021</t>
        </is>
      </c>
      <c r="B551" s="1" t="n">
        <v>44518</v>
      </c>
      <c r="C551" s="1" t="n">
        <v>45849</v>
      </c>
      <c r="D551" t="inlineStr">
        <is>
          <t>NORRBOTTENS LÄN</t>
        </is>
      </c>
      <c r="E551" t="inlineStr">
        <is>
          <t>BODEN</t>
        </is>
      </c>
      <c r="G551" t="n">
        <v>1.8</v>
      </c>
      <c r="H551" t="n">
        <v>0</v>
      </c>
      <c r="I551" t="n">
        <v>0</v>
      </c>
      <c r="J551" t="n">
        <v>0</v>
      </c>
      <c r="K551" t="n">
        <v>0</v>
      </c>
      <c r="L551" t="n">
        <v>0</v>
      </c>
      <c r="M551" t="n">
        <v>0</v>
      </c>
      <c r="N551" t="n">
        <v>0</v>
      </c>
      <c r="O551" t="n">
        <v>0</v>
      </c>
      <c r="P551" t="n">
        <v>0</v>
      </c>
      <c r="Q551" t="n">
        <v>0</v>
      </c>
      <c r="R551" s="2" t="inlineStr"/>
    </row>
    <row r="552" ht="15" customHeight="1">
      <c r="A552" t="inlineStr">
        <is>
          <t>A 67068-2021</t>
        </is>
      </c>
      <c r="B552" s="1" t="n">
        <v>44522</v>
      </c>
      <c r="C552" s="1" t="n">
        <v>45849</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67430-2021</t>
        </is>
      </c>
      <c r="B553" s="1" t="n">
        <v>44524</v>
      </c>
      <c r="C553" s="1" t="n">
        <v>45849</v>
      </c>
      <c r="D553" t="inlineStr">
        <is>
          <t>NORRBOTTENS LÄN</t>
        </is>
      </c>
      <c r="E553" t="inlineStr">
        <is>
          <t>BODEN</t>
        </is>
      </c>
      <c r="G553" t="n">
        <v>10.6</v>
      </c>
      <c r="H553" t="n">
        <v>0</v>
      </c>
      <c r="I553" t="n">
        <v>0</v>
      </c>
      <c r="J553" t="n">
        <v>0</v>
      </c>
      <c r="K553" t="n">
        <v>0</v>
      </c>
      <c r="L553" t="n">
        <v>0</v>
      </c>
      <c r="M553" t="n">
        <v>0</v>
      </c>
      <c r="N553" t="n">
        <v>0</v>
      </c>
      <c r="O553" t="n">
        <v>0</v>
      </c>
      <c r="P553" t="n">
        <v>0</v>
      </c>
      <c r="Q553" t="n">
        <v>0</v>
      </c>
      <c r="R553" s="2" t="inlineStr"/>
    </row>
    <row r="554" ht="15" customHeight="1">
      <c r="A554" t="inlineStr">
        <is>
          <t>A 67438-2021</t>
        </is>
      </c>
      <c r="B554" s="1" t="n">
        <v>44524</v>
      </c>
      <c r="C554" s="1" t="n">
        <v>45849</v>
      </c>
      <c r="D554" t="inlineStr">
        <is>
          <t>NORRBOTTENS LÄN</t>
        </is>
      </c>
      <c r="E554" t="inlineStr">
        <is>
          <t>BODEN</t>
        </is>
      </c>
      <c r="G554" t="n">
        <v>3.2</v>
      </c>
      <c r="H554" t="n">
        <v>0</v>
      </c>
      <c r="I554" t="n">
        <v>0</v>
      </c>
      <c r="J554" t="n">
        <v>0</v>
      </c>
      <c r="K554" t="n">
        <v>0</v>
      </c>
      <c r="L554" t="n">
        <v>0</v>
      </c>
      <c r="M554" t="n">
        <v>0</v>
      </c>
      <c r="N554" t="n">
        <v>0</v>
      </c>
      <c r="O554" t="n">
        <v>0</v>
      </c>
      <c r="P554" t="n">
        <v>0</v>
      </c>
      <c r="Q554" t="n">
        <v>0</v>
      </c>
      <c r="R554" s="2" t="inlineStr"/>
    </row>
    <row r="555" ht="15" customHeight="1">
      <c r="A555" t="inlineStr">
        <is>
          <t>A 68569-2021</t>
        </is>
      </c>
      <c r="B555" s="1" t="n">
        <v>44529</v>
      </c>
      <c r="C555" s="1" t="n">
        <v>45849</v>
      </c>
      <c r="D555" t="inlineStr">
        <is>
          <t>NORRBOTTENS LÄN</t>
        </is>
      </c>
      <c r="E555" t="inlineStr">
        <is>
          <t>BODEN</t>
        </is>
      </c>
      <c r="G555" t="n">
        <v>0.8</v>
      </c>
      <c r="H555" t="n">
        <v>0</v>
      </c>
      <c r="I555" t="n">
        <v>0</v>
      </c>
      <c r="J555" t="n">
        <v>0</v>
      </c>
      <c r="K555" t="n">
        <v>0</v>
      </c>
      <c r="L555" t="n">
        <v>0</v>
      </c>
      <c r="M555" t="n">
        <v>0</v>
      </c>
      <c r="N555" t="n">
        <v>0</v>
      </c>
      <c r="O555" t="n">
        <v>0</v>
      </c>
      <c r="P555" t="n">
        <v>0</v>
      </c>
      <c r="Q555" t="n">
        <v>0</v>
      </c>
      <c r="R555" s="2" t="inlineStr"/>
    </row>
    <row r="556" ht="15" customHeight="1">
      <c r="A556" t="inlineStr">
        <is>
          <t>A 68591-2021</t>
        </is>
      </c>
      <c r="B556" s="1" t="n">
        <v>44529</v>
      </c>
      <c r="C556" s="1" t="n">
        <v>45849</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68560-2021</t>
        </is>
      </c>
      <c r="B557" s="1" t="n">
        <v>44529</v>
      </c>
      <c r="C557" s="1" t="n">
        <v>45849</v>
      </c>
      <c r="D557" t="inlineStr">
        <is>
          <t>NORRBOTTENS LÄN</t>
        </is>
      </c>
      <c r="E557" t="inlineStr">
        <is>
          <t>BODEN</t>
        </is>
      </c>
      <c r="G557" t="n">
        <v>3.5</v>
      </c>
      <c r="H557" t="n">
        <v>0</v>
      </c>
      <c r="I557" t="n">
        <v>0</v>
      </c>
      <c r="J557" t="n">
        <v>0</v>
      </c>
      <c r="K557" t="n">
        <v>0</v>
      </c>
      <c r="L557" t="n">
        <v>0</v>
      </c>
      <c r="M557" t="n">
        <v>0</v>
      </c>
      <c r="N557" t="n">
        <v>0</v>
      </c>
      <c r="O557" t="n">
        <v>0</v>
      </c>
      <c r="P557" t="n">
        <v>0</v>
      </c>
      <c r="Q557" t="n">
        <v>0</v>
      </c>
      <c r="R557" s="2" t="inlineStr"/>
    </row>
    <row r="558" ht="15" customHeight="1">
      <c r="A558" t="inlineStr">
        <is>
          <t>A 68514-2021</t>
        </is>
      </c>
      <c r="B558" s="1" t="n">
        <v>44529</v>
      </c>
      <c r="C558" s="1" t="n">
        <v>45849</v>
      </c>
      <c r="D558" t="inlineStr">
        <is>
          <t>NORRBOTTENS LÄN</t>
        </is>
      </c>
      <c r="E558" t="inlineStr">
        <is>
          <t>BODEN</t>
        </is>
      </c>
      <c r="G558" t="n">
        <v>6.2</v>
      </c>
      <c r="H558" t="n">
        <v>0</v>
      </c>
      <c r="I558" t="n">
        <v>0</v>
      </c>
      <c r="J558" t="n">
        <v>0</v>
      </c>
      <c r="K558" t="n">
        <v>0</v>
      </c>
      <c r="L558" t="n">
        <v>0</v>
      </c>
      <c r="M558" t="n">
        <v>0</v>
      </c>
      <c r="N558" t="n">
        <v>0</v>
      </c>
      <c r="O558" t="n">
        <v>0</v>
      </c>
      <c r="P558" t="n">
        <v>0</v>
      </c>
      <c r="Q558" t="n">
        <v>0</v>
      </c>
      <c r="R558" s="2" t="inlineStr"/>
    </row>
    <row r="559" ht="15" customHeight="1">
      <c r="A559" t="inlineStr">
        <is>
          <t>A 68565-2021</t>
        </is>
      </c>
      <c r="B559" s="1" t="n">
        <v>44529</v>
      </c>
      <c r="C559" s="1" t="n">
        <v>45849</v>
      </c>
      <c r="D559" t="inlineStr">
        <is>
          <t>NORRBOTTENS LÄN</t>
        </is>
      </c>
      <c r="E559" t="inlineStr">
        <is>
          <t>BODEN</t>
        </is>
      </c>
      <c r="G559" t="n">
        <v>2.2</v>
      </c>
      <c r="H559" t="n">
        <v>0</v>
      </c>
      <c r="I559" t="n">
        <v>0</v>
      </c>
      <c r="J559" t="n">
        <v>0</v>
      </c>
      <c r="K559" t="n">
        <v>0</v>
      </c>
      <c r="L559" t="n">
        <v>0</v>
      </c>
      <c r="M559" t="n">
        <v>0</v>
      </c>
      <c r="N559" t="n">
        <v>0</v>
      </c>
      <c r="O559" t="n">
        <v>0</v>
      </c>
      <c r="P559" t="n">
        <v>0</v>
      </c>
      <c r="Q559" t="n">
        <v>0</v>
      </c>
      <c r="R559" s="2" t="inlineStr"/>
    </row>
    <row r="560" ht="15" customHeight="1">
      <c r="A560" t="inlineStr">
        <is>
          <t>A 68589-2021</t>
        </is>
      </c>
      <c r="B560" s="1" t="n">
        <v>44529</v>
      </c>
      <c r="C560" s="1" t="n">
        <v>45849</v>
      </c>
      <c r="D560" t="inlineStr">
        <is>
          <t>NORRBOTTENS LÄN</t>
        </is>
      </c>
      <c r="E560" t="inlineStr">
        <is>
          <t>BODEN</t>
        </is>
      </c>
      <c r="G560" t="n">
        <v>3.1</v>
      </c>
      <c r="H560" t="n">
        <v>0</v>
      </c>
      <c r="I560" t="n">
        <v>0</v>
      </c>
      <c r="J560" t="n">
        <v>0</v>
      </c>
      <c r="K560" t="n">
        <v>0</v>
      </c>
      <c r="L560" t="n">
        <v>0</v>
      </c>
      <c r="M560" t="n">
        <v>0</v>
      </c>
      <c r="N560" t="n">
        <v>0</v>
      </c>
      <c r="O560" t="n">
        <v>0</v>
      </c>
      <c r="P560" t="n">
        <v>0</v>
      </c>
      <c r="Q560" t="n">
        <v>0</v>
      </c>
      <c r="R560" s="2" t="inlineStr"/>
    </row>
    <row r="561" ht="15" customHeight="1">
      <c r="A561" t="inlineStr">
        <is>
          <t>A 68611-2021</t>
        </is>
      </c>
      <c r="B561" s="1" t="n">
        <v>44529</v>
      </c>
      <c r="C561" s="1" t="n">
        <v>45849</v>
      </c>
      <c r="D561" t="inlineStr">
        <is>
          <t>NORRBOTTENS LÄN</t>
        </is>
      </c>
      <c r="E561" t="inlineStr">
        <is>
          <t>BODEN</t>
        </is>
      </c>
      <c r="G561" t="n">
        <v>1.9</v>
      </c>
      <c r="H561" t="n">
        <v>0</v>
      </c>
      <c r="I561" t="n">
        <v>0</v>
      </c>
      <c r="J561" t="n">
        <v>0</v>
      </c>
      <c r="K561" t="n">
        <v>0</v>
      </c>
      <c r="L561" t="n">
        <v>0</v>
      </c>
      <c r="M561" t="n">
        <v>0</v>
      </c>
      <c r="N561" t="n">
        <v>0</v>
      </c>
      <c r="O561" t="n">
        <v>0</v>
      </c>
      <c r="P561" t="n">
        <v>0</v>
      </c>
      <c r="Q561" t="n">
        <v>0</v>
      </c>
      <c r="R561" s="2" t="inlineStr"/>
    </row>
    <row r="562" ht="15" customHeight="1">
      <c r="A562" t="inlineStr">
        <is>
          <t>A 68914-2021</t>
        </is>
      </c>
      <c r="B562" s="1" t="n">
        <v>44530</v>
      </c>
      <c r="C562" s="1" t="n">
        <v>45849</v>
      </c>
      <c r="D562" t="inlineStr">
        <is>
          <t>NORRBOTTENS LÄN</t>
        </is>
      </c>
      <c r="E562" t="inlineStr">
        <is>
          <t>BODEN</t>
        </is>
      </c>
      <c r="G562" t="n">
        <v>1.2</v>
      </c>
      <c r="H562" t="n">
        <v>0</v>
      </c>
      <c r="I562" t="n">
        <v>0</v>
      </c>
      <c r="J562" t="n">
        <v>0</v>
      </c>
      <c r="K562" t="n">
        <v>0</v>
      </c>
      <c r="L562" t="n">
        <v>0</v>
      </c>
      <c r="M562" t="n">
        <v>0</v>
      </c>
      <c r="N562" t="n">
        <v>0</v>
      </c>
      <c r="O562" t="n">
        <v>0</v>
      </c>
      <c r="P562" t="n">
        <v>0</v>
      </c>
      <c r="Q562" t="n">
        <v>0</v>
      </c>
      <c r="R562" s="2" t="inlineStr"/>
    </row>
    <row r="563" ht="15" customHeight="1">
      <c r="A563" t="inlineStr">
        <is>
          <t>A 69124-2021</t>
        </is>
      </c>
      <c r="B563" s="1" t="n">
        <v>44530</v>
      </c>
      <c r="C563" s="1" t="n">
        <v>45849</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69808-2021</t>
        </is>
      </c>
      <c r="B564" s="1" t="n">
        <v>44532</v>
      </c>
      <c r="C564" s="1" t="n">
        <v>45849</v>
      </c>
      <c r="D564" t="inlineStr">
        <is>
          <t>NORRBOTTENS LÄN</t>
        </is>
      </c>
      <c r="E564" t="inlineStr">
        <is>
          <t>BODEN</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70956-2021</t>
        </is>
      </c>
      <c r="B565" s="1" t="n">
        <v>44538</v>
      </c>
      <c r="C565" s="1" t="n">
        <v>45849</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71833-2021</t>
        </is>
      </c>
      <c r="B566" s="1" t="n">
        <v>44543</v>
      </c>
      <c r="C566" s="1" t="n">
        <v>45849</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73910-2021</t>
        </is>
      </c>
      <c r="B567" s="1" t="n">
        <v>44552</v>
      </c>
      <c r="C567" s="1" t="n">
        <v>45849</v>
      </c>
      <c r="D567" t="inlineStr">
        <is>
          <t>NORRBOTTENS LÄN</t>
        </is>
      </c>
      <c r="E567" t="inlineStr">
        <is>
          <t>BODEN</t>
        </is>
      </c>
      <c r="G567" t="n">
        <v>2.8</v>
      </c>
      <c r="H567" t="n">
        <v>0</v>
      </c>
      <c r="I567" t="n">
        <v>0</v>
      </c>
      <c r="J567" t="n">
        <v>0</v>
      </c>
      <c r="K567" t="n">
        <v>0</v>
      </c>
      <c r="L567" t="n">
        <v>0</v>
      </c>
      <c r="M567" t="n">
        <v>0</v>
      </c>
      <c r="N567" t="n">
        <v>0</v>
      </c>
      <c r="O567" t="n">
        <v>0</v>
      </c>
      <c r="P567" t="n">
        <v>0</v>
      </c>
      <c r="Q567" t="n">
        <v>0</v>
      </c>
      <c r="R567" s="2" t="inlineStr"/>
    </row>
    <row r="568" ht="15" customHeight="1">
      <c r="A568" t="inlineStr">
        <is>
          <t>A 74264-2021</t>
        </is>
      </c>
      <c r="B568" s="1" t="n">
        <v>44558</v>
      </c>
      <c r="C568" s="1" t="n">
        <v>45849</v>
      </c>
      <c r="D568" t="inlineStr">
        <is>
          <t>NORRBOTTENS LÄN</t>
        </is>
      </c>
      <c r="E568" t="inlineStr">
        <is>
          <t>BODEN</t>
        </is>
      </c>
      <c r="G568" t="n">
        <v>4.5</v>
      </c>
      <c r="H568" t="n">
        <v>0</v>
      </c>
      <c r="I568" t="n">
        <v>0</v>
      </c>
      <c r="J568" t="n">
        <v>0</v>
      </c>
      <c r="K568" t="n">
        <v>0</v>
      </c>
      <c r="L568" t="n">
        <v>0</v>
      </c>
      <c r="M568" t="n">
        <v>0</v>
      </c>
      <c r="N568" t="n">
        <v>0</v>
      </c>
      <c r="O568" t="n">
        <v>0</v>
      </c>
      <c r="P568" t="n">
        <v>0</v>
      </c>
      <c r="Q568" t="n">
        <v>0</v>
      </c>
      <c r="R568" s="2" t="inlineStr"/>
    </row>
    <row r="569" ht="15" customHeight="1">
      <c r="A569" t="inlineStr">
        <is>
          <t>A 452-2022</t>
        </is>
      </c>
      <c r="B569" s="1" t="n">
        <v>44565</v>
      </c>
      <c r="C569" s="1" t="n">
        <v>45849</v>
      </c>
      <c r="D569" t="inlineStr">
        <is>
          <t>NORRBOTTENS LÄN</t>
        </is>
      </c>
      <c r="E569" t="inlineStr">
        <is>
          <t>BODEN</t>
        </is>
      </c>
      <c r="G569" t="n">
        <v>3.7</v>
      </c>
      <c r="H569" t="n">
        <v>0</v>
      </c>
      <c r="I569" t="n">
        <v>0</v>
      </c>
      <c r="J569" t="n">
        <v>0</v>
      </c>
      <c r="K569" t="n">
        <v>0</v>
      </c>
      <c r="L569" t="n">
        <v>0</v>
      </c>
      <c r="M569" t="n">
        <v>0</v>
      </c>
      <c r="N569" t="n">
        <v>0</v>
      </c>
      <c r="O569" t="n">
        <v>0</v>
      </c>
      <c r="P569" t="n">
        <v>0</v>
      </c>
      <c r="Q569" t="n">
        <v>0</v>
      </c>
      <c r="R569" s="2" t="inlineStr"/>
    </row>
    <row r="570" ht="15" customHeight="1">
      <c r="A570" t="inlineStr">
        <is>
          <t>A 467-2022</t>
        </is>
      </c>
      <c r="B570" s="1" t="n">
        <v>44565</v>
      </c>
      <c r="C570" s="1" t="n">
        <v>45849</v>
      </c>
      <c r="D570" t="inlineStr">
        <is>
          <t>NORRBOTTENS LÄN</t>
        </is>
      </c>
      <c r="E570" t="inlineStr">
        <is>
          <t>BODEN</t>
        </is>
      </c>
      <c r="G570" t="n">
        <v>3.4</v>
      </c>
      <c r="H570" t="n">
        <v>0</v>
      </c>
      <c r="I570" t="n">
        <v>0</v>
      </c>
      <c r="J570" t="n">
        <v>0</v>
      </c>
      <c r="K570" t="n">
        <v>0</v>
      </c>
      <c r="L570" t="n">
        <v>0</v>
      </c>
      <c r="M570" t="n">
        <v>0</v>
      </c>
      <c r="N570" t="n">
        <v>0</v>
      </c>
      <c r="O570" t="n">
        <v>0</v>
      </c>
      <c r="P570" t="n">
        <v>0</v>
      </c>
      <c r="Q570" t="n">
        <v>0</v>
      </c>
      <c r="R570" s="2" t="inlineStr"/>
    </row>
    <row r="571" ht="15" customHeight="1">
      <c r="A571" t="inlineStr">
        <is>
          <t>A 446-2022</t>
        </is>
      </c>
      <c r="B571" s="1" t="n">
        <v>44565</v>
      </c>
      <c r="C571" s="1" t="n">
        <v>45849</v>
      </c>
      <c r="D571" t="inlineStr">
        <is>
          <t>NORRBOTTENS LÄN</t>
        </is>
      </c>
      <c r="E571" t="inlineStr">
        <is>
          <t>BODEN</t>
        </is>
      </c>
      <c r="G571" t="n">
        <v>2.1</v>
      </c>
      <c r="H571" t="n">
        <v>0</v>
      </c>
      <c r="I571" t="n">
        <v>0</v>
      </c>
      <c r="J571" t="n">
        <v>0</v>
      </c>
      <c r="K571" t="n">
        <v>0</v>
      </c>
      <c r="L571" t="n">
        <v>0</v>
      </c>
      <c r="M571" t="n">
        <v>0</v>
      </c>
      <c r="N571" t="n">
        <v>0</v>
      </c>
      <c r="O571" t="n">
        <v>0</v>
      </c>
      <c r="P571" t="n">
        <v>0</v>
      </c>
      <c r="Q571" t="n">
        <v>0</v>
      </c>
      <c r="R571" s="2" t="inlineStr"/>
    </row>
    <row r="572" ht="15" customHeight="1">
      <c r="A572" t="inlineStr">
        <is>
          <t>A 706-2022</t>
        </is>
      </c>
      <c r="B572" s="1" t="n">
        <v>44566</v>
      </c>
      <c r="C572" s="1" t="n">
        <v>45849</v>
      </c>
      <c r="D572" t="inlineStr">
        <is>
          <t>NORRBOTTENS LÄN</t>
        </is>
      </c>
      <c r="E572" t="inlineStr">
        <is>
          <t>BODEN</t>
        </is>
      </c>
      <c r="G572" t="n">
        <v>12.4</v>
      </c>
      <c r="H572" t="n">
        <v>0</v>
      </c>
      <c r="I572" t="n">
        <v>0</v>
      </c>
      <c r="J572" t="n">
        <v>0</v>
      </c>
      <c r="K572" t="n">
        <v>0</v>
      </c>
      <c r="L572" t="n">
        <v>0</v>
      </c>
      <c r="M572" t="n">
        <v>0</v>
      </c>
      <c r="N572" t="n">
        <v>0</v>
      </c>
      <c r="O572" t="n">
        <v>0</v>
      </c>
      <c r="P572" t="n">
        <v>0</v>
      </c>
      <c r="Q572" t="n">
        <v>0</v>
      </c>
      <c r="R572" s="2" t="inlineStr"/>
    </row>
    <row r="573" ht="15" customHeight="1">
      <c r="A573" t="inlineStr">
        <is>
          <t>A 710-2022</t>
        </is>
      </c>
      <c r="B573" s="1" t="n">
        <v>44566</v>
      </c>
      <c r="C573" s="1" t="n">
        <v>45849</v>
      </c>
      <c r="D573" t="inlineStr">
        <is>
          <t>NORRBOTTENS LÄN</t>
        </is>
      </c>
      <c r="E573" t="inlineStr">
        <is>
          <t>BODEN</t>
        </is>
      </c>
      <c r="G573" t="n">
        <v>4.6</v>
      </c>
      <c r="H573" t="n">
        <v>0</v>
      </c>
      <c r="I573" t="n">
        <v>0</v>
      </c>
      <c r="J573" t="n">
        <v>0</v>
      </c>
      <c r="K573" t="n">
        <v>0</v>
      </c>
      <c r="L573" t="n">
        <v>0</v>
      </c>
      <c r="M573" t="n">
        <v>0</v>
      </c>
      <c r="N573" t="n">
        <v>0</v>
      </c>
      <c r="O573" t="n">
        <v>0</v>
      </c>
      <c r="P573" t="n">
        <v>0</v>
      </c>
      <c r="Q573" t="n">
        <v>0</v>
      </c>
      <c r="R573" s="2" t="inlineStr"/>
    </row>
    <row r="574" ht="15" customHeight="1">
      <c r="A574" t="inlineStr">
        <is>
          <t>A 711-2022</t>
        </is>
      </c>
      <c r="B574" s="1" t="n">
        <v>44566</v>
      </c>
      <c r="C574" s="1" t="n">
        <v>45849</v>
      </c>
      <c r="D574" t="inlineStr">
        <is>
          <t>NORRBOTTENS LÄN</t>
        </is>
      </c>
      <c r="E574" t="inlineStr">
        <is>
          <t>BODEN</t>
        </is>
      </c>
      <c r="G574" t="n">
        <v>4</v>
      </c>
      <c r="H574" t="n">
        <v>0</v>
      </c>
      <c r="I574" t="n">
        <v>0</v>
      </c>
      <c r="J574" t="n">
        <v>0</v>
      </c>
      <c r="K574" t="n">
        <v>0</v>
      </c>
      <c r="L574" t="n">
        <v>0</v>
      </c>
      <c r="M574" t="n">
        <v>0</v>
      </c>
      <c r="N574" t="n">
        <v>0</v>
      </c>
      <c r="O574" t="n">
        <v>0</v>
      </c>
      <c r="P574" t="n">
        <v>0</v>
      </c>
      <c r="Q574" t="n">
        <v>0</v>
      </c>
      <c r="R574" s="2" t="inlineStr"/>
    </row>
    <row r="575" ht="15" customHeight="1">
      <c r="A575" t="inlineStr">
        <is>
          <t>A 714-2022</t>
        </is>
      </c>
      <c r="B575" s="1" t="n">
        <v>44566</v>
      </c>
      <c r="C575" s="1" t="n">
        <v>45849</v>
      </c>
      <c r="D575" t="inlineStr">
        <is>
          <t>NORRBOTTENS LÄN</t>
        </is>
      </c>
      <c r="E575" t="inlineStr">
        <is>
          <t>BODEN</t>
        </is>
      </c>
      <c r="G575" t="n">
        <v>5.6</v>
      </c>
      <c r="H575" t="n">
        <v>0</v>
      </c>
      <c r="I575" t="n">
        <v>0</v>
      </c>
      <c r="J575" t="n">
        <v>0</v>
      </c>
      <c r="K575" t="n">
        <v>0</v>
      </c>
      <c r="L575" t="n">
        <v>0</v>
      </c>
      <c r="M575" t="n">
        <v>0</v>
      </c>
      <c r="N575" t="n">
        <v>0</v>
      </c>
      <c r="O575" t="n">
        <v>0</v>
      </c>
      <c r="P575" t="n">
        <v>0</v>
      </c>
      <c r="Q575" t="n">
        <v>0</v>
      </c>
      <c r="R575" s="2" t="inlineStr"/>
    </row>
    <row r="576" ht="15" customHeight="1">
      <c r="A576" t="inlineStr">
        <is>
          <t>A 708-2022</t>
        </is>
      </c>
      <c r="B576" s="1" t="n">
        <v>44566</v>
      </c>
      <c r="C576" s="1" t="n">
        <v>45849</v>
      </c>
      <c r="D576" t="inlineStr">
        <is>
          <t>NORRBOTTENS LÄN</t>
        </is>
      </c>
      <c r="E576" t="inlineStr">
        <is>
          <t>BODEN</t>
        </is>
      </c>
      <c r="G576" t="n">
        <v>3</v>
      </c>
      <c r="H576" t="n">
        <v>0</v>
      </c>
      <c r="I576" t="n">
        <v>0</v>
      </c>
      <c r="J576" t="n">
        <v>0</v>
      </c>
      <c r="K576" t="n">
        <v>0</v>
      </c>
      <c r="L576" t="n">
        <v>0</v>
      </c>
      <c r="M576" t="n">
        <v>0</v>
      </c>
      <c r="N576" t="n">
        <v>0</v>
      </c>
      <c r="O576" t="n">
        <v>0</v>
      </c>
      <c r="P576" t="n">
        <v>0</v>
      </c>
      <c r="Q576" t="n">
        <v>0</v>
      </c>
      <c r="R576" s="2" t="inlineStr"/>
    </row>
    <row r="577" ht="15" customHeight="1">
      <c r="A577" t="inlineStr">
        <is>
          <t>A 718-2022</t>
        </is>
      </c>
      <c r="B577" s="1" t="n">
        <v>44568</v>
      </c>
      <c r="C577" s="1" t="n">
        <v>45849</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1454-2022</t>
        </is>
      </c>
      <c r="B578" s="1" t="n">
        <v>44573</v>
      </c>
      <c r="C578" s="1" t="n">
        <v>45849</v>
      </c>
      <c r="D578" t="inlineStr">
        <is>
          <t>NORRBOTTENS LÄN</t>
        </is>
      </c>
      <c r="E578" t="inlineStr">
        <is>
          <t>BODEN</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1497-2022</t>
        </is>
      </c>
      <c r="B579" s="1" t="n">
        <v>44573</v>
      </c>
      <c r="C579" s="1" t="n">
        <v>45849</v>
      </c>
      <c r="D579" t="inlineStr">
        <is>
          <t>NORRBOTTENS LÄN</t>
        </is>
      </c>
      <c r="E579" t="inlineStr">
        <is>
          <t>BODEN</t>
        </is>
      </c>
      <c r="F579" t="inlineStr">
        <is>
          <t>Övriga statliga verk och myndigheter</t>
        </is>
      </c>
      <c r="G579" t="n">
        <v>9.9</v>
      </c>
      <c r="H579" t="n">
        <v>0</v>
      </c>
      <c r="I579" t="n">
        <v>0</v>
      </c>
      <c r="J579" t="n">
        <v>0</v>
      </c>
      <c r="K579" t="n">
        <v>0</v>
      </c>
      <c r="L579" t="n">
        <v>0</v>
      </c>
      <c r="M579" t="n">
        <v>0</v>
      </c>
      <c r="N579" t="n">
        <v>0</v>
      </c>
      <c r="O579" t="n">
        <v>0</v>
      </c>
      <c r="P579" t="n">
        <v>0</v>
      </c>
      <c r="Q579" t="n">
        <v>0</v>
      </c>
      <c r="R579" s="2" t="inlineStr"/>
    </row>
    <row r="580" ht="15" customHeight="1">
      <c r="A580" t="inlineStr">
        <is>
          <t>A 1447-2022</t>
        </is>
      </c>
      <c r="B580" s="1" t="n">
        <v>44573</v>
      </c>
      <c r="C580" s="1" t="n">
        <v>45849</v>
      </c>
      <c r="D580" t="inlineStr">
        <is>
          <t>NORRBOTTENS LÄN</t>
        </is>
      </c>
      <c r="E580" t="inlineStr">
        <is>
          <t>BODEN</t>
        </is>
      </c>
      <c r="F580" t="inlineStr">
        <is>
          <t>Sveaskog</t>
        </is>
      </c>
      <c r="G580" t="n">
        <v>3</v>
      </c>
      <c r="H580" t="n">
        <v>0</v>
      </c>
      <c r="I580" t="n">
        <v>0</v>
      </c>
      <c r="J580" t="n">
        <v>0</v>
      </c>
      <c r="K580" t="n">
        <v>0</v>
      </c>
      <c r="L580" t="n">
        <v>0</v>
      </c>
      <c r="M580" t="n">
        <v>0</v>
      </c>
      <c r="N580" t="n">
        <v>0</v>
      </c>
      <c r="O580" t="n">
        <v>0</v>
      </c>
      <c r="P580" t="n">
        <v>0</v>
      </c>
      <c r="Q580" t="n">
        <v>0</v>
      </c>
      <c r="R580" s="2" t="inlineStr"/>
    </row>
    <row r="581" ht="15" customHeight="1">
      <c r="A581" t="inlineStr">
        <is>
          <t>A 1507-2022</t>
        </is>
      </c>
      <c r="B581" s="1" t="n">
        <v>44573</v>
      </c>
      <c r="C581" s="1" t="n">
        <v>45849</v>
      </c>
      <c r="D581" t="inlineStr">
        <is>
          <t>NORRBOTTENS LÄN</t>
        </is>
      </c>
      <c r="E581" t="inlineStr">
        <is>
          <t>BODEN</t>
        </is>
      </c>
      <c r="F581" t="inlineStr">
        <is>
          <t>Övriga statliga verk och myndigheter</t>
        </is>
      </c>
      <c r="G581" t="n">
        <v>15.4</v>
      </c>
      <c r="H581" t="n">
        <v>0</v>
      </c>
      <c r="I581" t="n">
        <v>0</v>
      </c>
      <c r="J581" t="n">
        <v>0</v>
      </c>
      <c r="K581" t="n">
        <v>0</v>
      </c>
      <c r="L581" t="n">
        <v>0</v>
      </c>
      <c r="M581" t="n">
        <v>0</v>
      </c>
      <c r="N581" t="n">
        <v>0</v>
      </c>
      <c r="O581" t="n">
        <v>0</v>
      </c>
      <c r="P581" t="n">
        <v>0</v>
      </c>
      <c r="Q581" t="n">
        <v>0</v>
      </c>
      <c r="R581" s="2" t="inlineStr"/>
    </row>
    <row r="582" ht="15" customHeight="1">
      <c r="A582" t="inlineStr">
        <is>
          <t>A 2100-2022</t>
        </is>
      </c>
      <c r="B582" s="1" t="n">
        <v>44577</v>
      </c>
      <c r="C582" s="1" t="n">
        <v>45849</v>
      </c>
      <c r="D582" t="inlineStr">
        <is>
          <t>NORRBOTTENS LÄN</t>
        </is>
      </c>
      <c r="E582" t="inlineStr">
        <is>
          <t>BODEN</t>
        </is>
      </c>
      <c r="G582" t="n">
        <v>1.3</v>
      </c>
      <c r="H582" t="n">
        <v>0</v>
      </c>
      <c r="I582" t="n">
        <v>0</v>
      </c>
      <c r="J582" t="n">
        <v>0</v>
      </c>
      <c r="K582" t="n">
        <v>0</v>
      </c>
      <c r="L582" t="n">
        <v>0</v>
      </c>
      <c r="M582" t="n">
        <v>0</v>
      </c>
      <c r="N582" t="n">
        <v>0</v>
      </c>
      <c r="O582" t="n">
        <v>0</v>
      </c>
      <c r="P582" t="n">
        <v>0</v>
      </c>
      <c r="Q582" t="n">
        <v>0</v>
      </c>
      <c r="R582" s="2" t="inlineStr"/>
    </row>
    <row r="583" ht="15" customHeight="1">
      <c r="A583" t="inlineStr">
        <is>
          <t>A 3462-2022</t>
        </is>
      </c>
      <c r="B583" s="1" t="n">
        <v>44585</v>
      </c>
      <c r="C583" s="1" t="n">
        <v>45849</v>
      </c>
      <c r="D583" t="inlineStr">
        <is>
          <t>NORRBOTTENS LÄN</t>
        </is>
      </c>
      <c r="E583" t="inlineStr">
        <is>
          <t>BODEN</t>
        </is>
      </c>
      <c r="G583" t="n">
        <v>3.1</v>
      </c>
      <c r="H583" t="n">
        <v>0</v>
      </c>
      <c r="I583" t="n">
        <v>0</v>
      </c>
      <c r="J583" t="n">
        <v>0</v>
      </c>
      <c r="K583" t="n">
        <v>0</v>
      </c>
      <c r="L583" t="n">
        <v>0</v>
      </c>
      <c r="M583" t="n">
        <v>0</v>
      </c>
      <c r="N583" t="n">
        <v>0</v>
      </c>
      <c r="O583" t="n">
        <v>0</v>
      </c>
      <c r="P583" t="n">
        <v>0</v>
      </c>
      <c r="Q583" t="n">
        <v>0</v>
      </c>
      <c r="R583" s="2" t="inlineStr"/>
    </row>
    <row r="584" ht="15" customHeight="1">
      <c r="A584" t="inlineStr">
        <is>
          <t>A 4975-2022</t>
        </is>
      </c>
      <c r="B584" s="1" t="n">
        <v>44593</v>
      </c>
      <c r="C584" s="1" t="n">
        <v>45849</v>
      </c>
      <c r="D584" t="inlineStr">
        <is>
          <t>NORRBOTTENS LÄN</t>
        </is>
      </c>
      <c r="E584" t="inlineStr">
        <is>
          <t>BODEN</t>
        </is>
      </c>
      <c r="F584" t="inlineStr">
        <is>
          <t>Sveaskog</t>
        </is>
      </c>
      <c r="G584" t="n">
        <v>5.1</v>
      </c>
      <c r="H584" t="n">
        <v>0</v>
      </c>
      <c r="I584" t="n">
        <v>0</v>
      </c>
      <c r="J584" t="n">
        <v>0</v>
      </c>
      <c r="K584" t="n">
        <v>0</v>
      </c>
      <c r="L584" t="n">
        <v>0</v>
      </c>
      <c r="M584" t="n">
        <v>0</v>
      </c>
      <c r="N584" t="n">
        <v>0</v>
      </c>
      <c r="O584" t="n">
        <v>0</v>
      </c>
      <c r="P584" t="n">
        <v>0</v>
      </c>
      <c r="Q584" t="n">
        <v>0</v>
      </c>
      <c r="R584" s="2" t="inlineStr"/>
    </row>
    <row r="585" ht="15" customHeight="1">
      <c r="A585" t="inlineStr">
        <is>
          <t>A 5733-2022</t>
        </is>
      </c>
      <c r="B585" s="1" t="n">
        <v>44596</v>
      </c>
      <c r="C585" s="1" t="n">
        <v>45849</v>
      </c>
      <c r="D585" t="inlineStr">
        <is>
          <t>NORRBOTTENS LÄN</t>
        </is>
      </c>
      <c r="E585" t="inlineStr">
        <is>
          <t>BODEN</t>
        </is>
      </c>
      <c r="F585" t="inlineStr">
        <is>
          <t>Övriga statliga verk och myndigheter</t>
        </is>
      </c>
      <c r="G585" t="n">
        <v>7.3</v>
      </c>
      <c r="H585" t="n">
        <v>0</v>
      </c>
      <c r="I585" t="n">
        <v>0</v>
      </c>
      <c r="J585" t="n">
        <v>0</v>
      </c>
      <c r="K585" t="n">
        <v>0</v>
      </c>
      <c r="L585" t="n">
        <v>0</v>
      </c>
      <c r="M585" t="n">
        <v>0</v>
      </c>
      <c r="N585" t="n">
        <v>0</v>
      </c>
      <c r="O585" t="n">
        <v>0</v>
      </c>
      <c r="P585" t="n">
        <v>0</v>
      </c>
      <c r="Q585" t="n">
        <v>0</v>
      </c>
      <c r="R585" s="2" t="inlineStr"/>
    </row>
    <row r="586" ht="15" customHeight="1">
      <c r="A586" t="inlineStr">
        <is>
          <t>A 6181-2022</t>
        </is>
      </c>
      <c r="B586" s="1" t="n">
        <v>44600</v>
      </c>
      <c r="C586" s="1" t="n">
        <v>45849</v>
      </c>
      <c r="D586" t="inlineStr">
        <is>
          <t>NORRBOTTENS LÄN</t>
        </is>
      </c>
      <c r="E586" t="inlineStr">
        <is>
          <t>BODEN</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6738-2022</t>
        </is>
      </c>
      <c r="B587" s="1" t="n">
        <v>44602</v>
      </c>
      <c r="C587" s="1" t="n">
        <v>45849</v>
      </c>
      <c r="D587" t="inlineStr">
        <is>
          <t>NORRBOTTENS LÄN</t>
        </is>
      </c>
      <c r="E587" t="inlineStr">
        <is>
          <t>BODEN</t>
        </is>
      </c>
      <c r="G587" t="n">
        <v>6.5</v>
      </c>
      <c r="H587" t="n">
        <v>0</v>
      </c>
      <c r="I587" t="n">
        <v>0</v>
      </c>
      <c r="J587" t="n">
        <v>0</v>
      </c>
      <c r="K587" t="n">
        <v>0</v>
      </c>
      <c r="L587" t="n">
        <v>0</v>
      </c>
      <c r="M587" t="n">
        <v>0</v>
      </c>
      <c r="N587" t="n">
        <v>0</v>
      </c>
      <c r="O587" t="n">
        <v>0</v>
      </c>
      <c r="P587" t="n">
        <v>0</v>
      </c>
      <c r="Q587" t="n">
        <v>0</v>
      </c>
      <c r="R587" s="2" t="inlineStr"/>
    </row>
    <row r="588" ht="15" customHeight="1">
      <c r="A588" t="inlineStr">
        <is>
          <t>A 8112-2022</t>
        </is>
      </c>
      <c r="B588" s="1" t="n">
        <v>44609</v>
      </c>
      <c r="C588" s="1" t="n">
        <v>45849</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8120-2022</t>
        </is>
      </c>
      <c r="B589" s="1" t="n">
        <v>44609</v>
      </c>
      <c r="C589" s="1" t="n">
        <v>45849</v>
      </c>
      <c r="D589" t="inlineStr">
        <is>
          <t>NORRBOTTENS LÄN</t>
        </is>
      </c>
      <c r="E589" t="inlineStr">
        <is>
          <t>BODEN</t>
        </is>
      </c>
      <c r="G589" t="n">
        <v>1.7</v>
      </c>
      <c r="H589" t="n">
        <v>0</v>
      </c>
      <c r="I589" t="n">
        <v>0</v>
      </c>
      <c r="J589" t="n">
        <v>0</v>
      </c>
      <c r="K589" t="n">
        <v>0</v>
      </c>
      <c r="L589" t="n">
        <v>0</v>
      </c>
      <c r="M589" t="n">
        <v>0</v>
      </c>
      <c r="N589" t="n">
        <v>0</v>
      </c>
      <c r="O589" t="n">
        <v>0</v>
      </c>
      <c r="P589" t="n">
        <v>0</v>
      </c>
      <c r="Q589" t="n">
        <v>0</v>
      </c>
      <c r="R589" s="2" t="inlineStr"/>
    </row>
    <row r="590" ht="15" customHeight="1">
      <c r="A590" t="inlineStr">
        <is>
          <t>A 8078-2022</t>
        </is>
      </c>
      <c r="B590" s="1" t="n">
        <v>44609</v>
      </c>
      <c r="C590" s="1" t="n">
        <v>45849</v>
      </c>
      <c r="D590" t="inlineStr">
        <is>
          <t>NORRBOTTENS LÄN</t>
        </is>
      </c>
      <c r="E590" t="inlineStr">
        <is>
          <t>BODEN</t>
        </is>
      </c>
      <c r="G590" t="n">
        <v>2.3</v>
      </c>
      <c r="H590" t="n">
        <v>0</v>
      </c>
      <c r="I590" t="n">
        <v>0</v>
      </c>
      <c r="J590" t="n">
        <v>0</v>
      </c>
      <c r="K590" t="n">
        <v>0</v>
      </c>
      <c r="L590" t="n">
        <v>0</v>
      </c>
      <c r="M590" t="n">
        <v>0</v>
      </c>
      <c r="N590" t="n">
        <v>0</v>
      </c>
      <c r="O590" t="n">
        <v>0</v>
      </c>
      <c r="P590" t="n">
        <v>0</v>
      </c>
      <c r="Q590" t="n">
        <v>0</v>
      </c>
      <c r="R590" s="2" t="inlineStr"/>
    </row>
    <row r="591" ht="15" customHeight="1">
      <c r="A591" t="inlineStr">
        <is>
          <t>A 8125-2022</t>
        </is>
      </c>
      <c r="B591" s="1" t="n">
        <v>44609</v>
      </c>
      <c r="C591" s="1" t="n">
        <v>45849</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8118-2022</t>
        </is>
      </c>
      <c r="B592" s="1" t="n">
        <v>44609</v>
      </c>
      <c r="C592" s="1" t="n">
        <v>45849</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8123-2022</t>
        </is>
      </c>
      <c r="B593" s="1" t="n">
        <v>44609</v>
      </c>
      <c r="C593" s="1" t="n">
        <v>45849</v>
      </c>
      <c r="D593" t="inlineStr">
        <is>
          <t>NORRBOTTENS LÄN</t>
        </is>
      </c>
      <c r="E593" t="inlineStr">
        <is>
          <t>BODEN</t>
        </is>
      </c>
      <c r="G593" t="n">
        <v>1.8</v>
      </c>
      <c r="H593" t="n">
        <v>0</v>
      </c>
      <c r="I593" t="n">
        <v>0</v>
      </c>
      <c r="J593" t="n">
        <v>0</v>
      </c>
      <c r="K593" t="n">
        <v>0</v>
      </c>
      <c r="L593" t="n">
        <v>0</v>
      </c>
      <c r="M593" t="n">
        <v>0</v>
      </c>
      <c r="N593" t="n">
        <v>0</v>
      </c>
      <c r="O593" t="n">
        <v>0</v>
      </c>
      <c r="P593" t="n">
        <v>0</v>
      </c>
      <c r="Q593" t="n">
        <v>0</v>
      </c>
      <c r="R593" s="2" t="inlineStr"/>
    </row>
    <row r="594" ht="15" customHeight="1">
      <c r="A594" t="inlineStr">
        <is>
          <t>A 8121-2022</t>
        </is>
      </c>
      <c r="B594" s="1" t="n">
        <v>44609</v>
      </c>
      <c r="C594" s="1" t="n">
        <v>45849</v>
      </c>
      <c r="D594" t="inlineStr">
        <is>
          <t>NORRBOTTENS LÄN</t>
        </is>
      </c>
      <c r="E594" t="inlineStr">
        <is>
          <t>BODEN</t>
        </is>
      </c>
      <c r="G594" t="n">
        <v>1.5</v>
      </c>
      <c r="H594" t="n">
        <v>0</v>
      </c>
      <c r="I594" t="n">
        <v>0</v>
      </c>
      <c r="J594" t="n">
        <v>0</v>
      </c>
      <c r="K594" t="n">
        <v>0</v>
      </c>
      <c r="L594" t="n">
        <v>0</v>
      </c>
      <c r="M594" t="n">
        <v>0</v>
      </c>
      <c r="N594" t="n">
        <v>0</v>
      </c>
      <c r="O594" t="n">
        <v>0</v>
      </c>
      <c r="P594" t="n">
        <v>0</v>
      </c>
      <c r="Q594" t="n">
        <v>0</v>
      </c>
      <c r="R594" s="2" t="inlineStr"/>
    </row>
    <row r="595" ht="15" customHeight="1">
      <c r="A595" t="inlineStr">
        <is>
          <t>A 8776-2022</t>
        </is>
      </c>
      <c r="B595" s="1" t="n">
        <v>44614</v>
      </c>
      <c r="C595" s="1" t="n">
        <v>45849</v>
      </c>
      <c r="D595" t="inlineStr">
        <is>
          <t>NORRBOTTENS LÄN</t>
        </is>
      </c>
      <c r="E595" t="inlineStr">
        <is>
          <t>BODEN</t>
        </is>
      </c>
      <c r="G595" t="n">
        <v>4</v>
      </c>
      <c r="H595" t="n">
        <v>0</v>
      </c>
      <c r="I595" t="n">
        <v>0</v>
      </c>
      <c r="J595" t="n">
        <v>0</v>
      </c>
      <c r="K595" t="n">
        <v>0</v>
      </c>
      <c r="L595" t="n">
        <v>0</v>
      </c>
      <c r="M595" t="n">
        <v>0</v>
      </c>
      <c r="N595" t="n">
        <v>0</v>
      </c>
      <c r="O595" t="n">
        <v>0</v>
      </c>
      <c r="P595" t="n">
        <v>0</v>
      </c>
      <c r="Q595" t="n">
        <v>0</v>
      </c>
      <c r="R595" s="2" t="inlineStr"/>
    </row>
    <row r="596" ht="15" customHeight="1">
      <c r="A596" t="inlineStr">
        <is>
          <t>A 9494-2022</t>
        </is>
      </c>
      <c r="B596" s="1" t="n">
        <v>44616</v>
      </c>
      <c r="C596" s="1" t="n">
        <v>45849</v>
      </c>
      <c r="D596" t="inlineStr">
        <is>
          <t>NORRBOTTENS LÄN</t>
        </is>
      </c>
      <c r="E596" t="inlineStr">
        <is>
          <t>BODEN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9495-2022</t>
        </is>
      </c>
      <c r="B597" s="1" t="n">
        <v>44616</v>
      </c>
      <c r="C597" s="1" t="n">
        <v>45849</v>
      </c>
      <c r="D597" t="inlineStr">
        <is>
          <t>NORRBOTTENS LÄN</t>
        </is>
      </c>
      <c r="E597" t="inlineStr">
        <is>
          <t>BODEN</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9530-2022</t>
        </is>
      </c>
      <c r="B598" s="1" t="n">
        <v>44617</v>
      </c>
      <c r="C598" s="1" t="n">
        <v>45849</v>
      </c>
      <c r="D598" t="inlineStr">
        <is>
          <t>NORRBOTTENS LÄN</t>
        </is>
      </c>
      <c r="E598" t="inlineStr">
        <is>
          <t>BODEN</t>
        </is>
      </c>
      <c r="G598" t="n">
        <v>1</v>
      </c>
      <c r="H598" t="n">
        <v>0</v>
      </c>
      <c r="I598" t="n">
        <v>0</v>
      </c>
      <c r="J598" t="n">
        <v>0</v>
      </c>
      <c r="K598" t="n">
        <v>0</v>
      </c>
      <c r="L598" t="n">
        <v>0</v>
      </c>
      <c r="M598" t="n">
        <v>0</v>
      </c>
      <c r="N598" t="n">
        <v>0</v>
      </c>
      <c r="O598" t="n">
        <v>0</v>
      </c>
      <c r="P598" t="n">
        <v>0</v>
      </c>
      <c r="Q598" t="n">
        <v>0</v>
      </c>
      <c r="R598" s="2" t="inlineStr"/>
    </row>
    <row r="599" ht="15" customHeight="1">
      <c r="A599" t="inlineStr">
        <is>
          <t>A 9527-2022</t>
        </is>
      </c>
      <c r="B599" s="1" t="n">
        <v>44617</v>
      </c>
      <c r="C599" s="1" t="n">
        <v>45849</v>
      </c>
      <c r="D599" t="inlineStr">
        <is>
          <t>NORRBOTTENS LÄN</t>
        </is>
      </c>
      <c r="E599" t="inlineStr">
        <is>
          <t>BODEN</t>
        </is>
      </c>
      <c r="G599" t="n">
        <v>1.3</v>
      </c>
      <c r="H599" t="n">
        <v>0</v>
      </c>
      <c r="I599" t="n">
        <v>0</v>
      </c>
      <c r="J599" t="n">
        <v>0</v>
      </c>
      <c r="K599" t="n">
        <v>0</v>
      </c>
      <c r="L599" t="n">
        <v>0</v>
      </c>
      <c r="M599" t="n">
        <v>0</v>
      </c>
      <c r="N599" t="n">
        <v>0</v>
      </c>
      <c r="O599" t="n">
        <v>0</v>
      </c>
      <c r="P599" t="n">
        <v>0</v>
      </c>
      <c r="Q599" t="n">
        <v>0</v>
      </c>
      <c r="R599" s="2" t="inlineStr"/>
    </row>
    <row r="600" ht="15" customHeight="1">
      <c r="A600" t="inlineStr">
        <is>
          <t>A 10216-2022</t>
        </is>
      </c>
      <c r="B600" s="1" t="n">
        <v>44622</v>
      </c>
      <c r="C600" s="1" t="n">
        <v>45849</v>
      </c>
      <c r="D600" t="inlineStr">
        <is>
          <t>NORRBOTTENS LÄN</t>
        </is>
      </c>
      <c r="E600" t="inlineStr">
        <is>
          <t>BODEN</t>
        </is>
      </c>
      <c r="G600" t="n">
        <v>6.4</v>
      </c>
      <c r="H600" t="n">
        <v>0</v>
      </c>
      <c r="I600" t="n">
        <v>0</v>
      </c>
      <c r="J600" t="n">
        <v>0</v>
      </c>
      <c r="K600" t="n">
        <v>0</v>
      </c>
      <c r="L600" t="n">
        <v>0</v>
      </c>
      <c r="M600" t="n">
        <v>0</v>
      </c>
      <c r="N600" t="n">
        <v>0</v>
      </c>
      <c r="O600" t="n">
        <v>0</v>
      </c>
      <c r="P600" t="n">
        <v>0</v>
      </c>
      <c r="Q600" t="n">
        <v>0</v>
      </c>
      <c r="R600" s="2" t="inlineStr"/>
    </row>
    <row r="601" ht="15" customHeight="1">
      <c r="A601" t="inlineStr">
        <is>
          <t>A 10709-2022</t>
        </is>
      </c>
      <c r="B601" s="1" t="n">
        <v>44625</v>
      </c>
      <c r="C601" s="1" t="n">
        <v>45849</v>
      </c>
      <c r="D601" t="inlineStr">
        <is>
          <t>NORRBOTTENS LÄN</t>
        </is>
      </c>
      <c r="E601" t="inlineStr">
        <is>
          <t>BODEN</t>
        </is>
      </c>
      <c r="G601" t="n">
        <v>0.4</v>
      </c>
      <c r="H601" t="n">
        <v>0</v>
      </c>
      <c r="I601" t="n">
        <v>0</v>
      </c>
      <c r="J601" t="n">
        <v>0</v>
      </c>
      <c r="K601" t="n">
        <v>0</v>
      </c>
      <c r="L601" t="n">
        <v>0</v>
      </c>
      <c r="M601" t="n">
        <v>0</v>
      </c>
      <c r="N601" t="n">
        <v>0</v>
      </c>
      <c r="O601" t="n">
        <v>0</v>
      </c>
      <c r="P601" t="n">
        <v>0</v>
      </c>
      <c r="Q601" t="n">
        <v>0</v>
      </c>
      <c r="R601" s="2" t="inlineStr"/>
    </row>
    <row r="602" ht="15" customHeight="1">
      <c r="A602" t="inlineStr">
        <is>
          <t>A 11092-2022</t>
        </is>
      </c>
      <c r="B602" s="1" t="n">
        <v>44628</v>
      </c>
      <c r="C602" s="1" t="n">
        <v>45849</v>
      </c>
      <c r="D602" t="inlineStr">
        <is>
          <t>NORRBOTTENS LÄN</t>
        </is>
      </c>
      <c r="E602" t="inlineStr">
        <is>
          <t>BODEN</t>
        </is>
      </c>
      <c r="G602" t="n">
        <v>4.8</v>
      </c>
      <c r="H602" t="n">
        <v>0</v>
      </c>
      <c r="I602" t="n">
        <v>0</v>
      </c>
      <c r="J602" t="n">
        <v>0</v>
      </c>
      <c r="K602" t="n">
        <v>0</v>
      </c>
      <c r="L602" t="n">
        <v>0</v>
      </c>
      <c r="M602" t="n">
        <v>0</v>
      </c>
      <c r="N602" t="n">
        <v>0</v>
      </c>
      <c r="O602" t="n">
        <v>0</v>
      </c>
      <c r="P602" t="n">
        <v>0</v>
      </c>
      <c r="Q602" t="n">
        <v>0</v>
      </c>
      <c r="R602" s="2" t="inlineStr"/>
    </row>
    <row r="603" ht="15" customHeight="1">
      <c r="A603" t="inlineStr">
        <is>
          <t>A 11935-2022</t>
        </is>
      </c>
      <c r="B603" s="1" t="n">
        <v>44635</v>
      </c>
      <c r="C603" s="1" t="n">
        <v>45849</v>
      </c>
      <c r="D603" t="inlineStr">
        <is>
          <t>NORRBOTTENS LÄN</t>
        </is>
      </c>
      <c r="E603" t="inlineStr">
        <is>
          <t>BODEN</t>
        </is>
      </c>
      <c r="F603" t="inlineStr">
        <is>
          <t>Kyrkan</t>
        </is>
      </c>
      <c r="G603" t="n">
        <v>16.5</v>
      </c>
      <c r="H603" t="n">
        <v>0</v>
      </c>
      <c r="I603" t="n">
        <v>0</v>
      </c>
      <c r="J603" t="n">
        <v>0</v>
      </c>
      <c r="K603" t="n">
        <v>0</v>
      </c>
      <c r="L603" t="n">
        <v>0</v>
      </c>
      <c r="M603" t="n">
        <v>0</v>
      </c>
      <c r="N603" t="n">
        <v>0</v>
      </c>
      <c r="O603" t="n">
        <v>0</v>
      </c>
      <c r="P603" t="n">
        <v>0</v>
      </c>
      <c r="Q603" t="n">
        <v>0</v>
      </c>
      <c r="R603" s="2" t="inlineStr"/>
    </row>
    <row r="604" ht="15" customHeight="1">
      <c r="A604" t="inlineStr">
        <is>
          <t>A 12832-2022</t>
        </is>
      </c>
      <c r="B604" s="1" t="n">
        <v>44642</v>
      </c>
      <c r="C604" s="1" t="n">
        <v>45849</v>
      </c>
      <c r="D604" t="inlineStr">
        <is>
          <t>NORRBOTTENS LÄN</t>
        </is>
      </c>
      <c r="E604" t="inlineStr">
        <is>
          <t>BODEN</t>
        </is>
      </c>
      <c r="G604" t="n">
        <v>6.6</v>
      </c>
      <c r="H604" t="n">
        <v>0</v>
      </c>
      <c r="I604" t="n">
        <v>0</v>
      </c>
      <c r="J604" t="n">
        <v>0</v>
      </c>
      <c r="K604" t="n">
        <v>0</v>
      </c>
      <c r="L604" t="n">
        <v>0</v>
      </c>
      <c r="M604" t="n">
        <v>0</v>
      </c>
      <c r="N604" t="n">
        <v>0</v>
      </c>
      <c r="O604" t="n">
        <v>0</v>
      </c>
      <c r="P604" t="n">
        <v>0</v>
      </c>
      <c r="Q604" t="n">
        <v>0</v>
      </c>
      <c r="R604" s="2" t="inlineStr"/>
    </row>
    <row r="605" ht="15" customHeight="1">
      <c r="A605" t="inlineStr">
        <is>
          <t>A 12902-2022</t>
        </is>
      </c>
      <c r="B605" s="1" t="n">
        <v>44642</v>
      </c>
      <c r="C605" s="1" t="n">
        <v>45849</v>
      </c>
      <c r="D605" t="inlineStr">
        <is>
          <t>NORRBOTTENS LÄN</t>
        </is>
      </c>
      <c r="E605" t="inlineStr">
        <is>
          <t>BODEN</t>
        </is>
      </c>
      <c r="F605" t="inlineStr">
        <is>
          <t>Övriga statliga verk och myndigheter</t>
        </is>
      </c>
      <c r="G605" t="n">
        <v>5.4</v>
      </c>
      <c r="H605" t="n">
        <v>0</v>
      </c>
      <c r="I605" t="n">
        <v>0</v>
      </c>
      <c r="J605" t="n">
        <v>0</v>
      </c>
      <c r="K605" t="n">
        <v>0</v>
      </c>
      <c r="L605" t="n">
        <v>0</v>
      </c>
      <c r="M605" t="n">
        <v>0</v>
      </c>
      <c r="N605" t="n">
        <v>0</v>
      </c>
      <c r="O605" t="n">
        <v>0</v>
      </c>
      <c r="P605" t="n">
        <v>0</v>
      </c>
      <c r="Q605" t="n">
        <v>0</v>
      </c>
      <c r="R605" s="2" t="inlineStr"/>
    </row>
    <row r="606" ht="15" customHeight="1">
      <c r="A606" t="inlineStr">
        <is>
          <t>A 12893-2022</t>
        </is>
      </c>
      <c r="B606" s="1" t="n">
        <v>44642</v>
      </c>
      <c r="C606" s="1" t="n">
        <v>45849</v>
      </c>
      <c r="D606" t="inlineStr">
        <is>
          <t>NORRBOTTENS LÄN</t>
        </is>
      </c>
      <c r="E606" t="inlineStr">
        <is>
          <t>BODEN</t>
        </is>
      </c>
      <c r="F606" t="inlineStr">
        <is>
          <t>Övriga statliga verk och myndigheter</t>
        </is>
      </c>
      <c r="G606" t="n">
        <v>15.8</v>
      </c>
      <c r="H606" t="n">
        <v>0</v>
      </c>
      <c r="I606" t="n">
        <v>0</v>
      </c>
      <c r="J606" t="n">
        <v>0</v>
      </c>
      <c r="K606" t="n">
        <v>0</v>
      </c>
      <c r="L606" t="n">
        <v>0</v>
      </c>
      <c r="M606" t="n">
        <v>0</v>
      </c>
      <c r="N606" t="n">
        <v>0</v>
      </c>
      <c r="O606" t="n">
        <v>0</v>
      </c>
      <c r="P606" t="n">
        <v>0</v>
      </c>
      <c r="Q606" t="n">
        <v>0</v>
      </c>
      <c r="R606" s="2" t="inlineStr"/>
    </row>
    <row r="607" ht="15" customHeight="1">
      <c r="A607" t="inlineStr">
        <is>
          <t>A 13556-2022</t>
        </is>
      </c>
      <c r="B607" s="1" t="n">
        <v>44648</v>
      </c>
      <c r="C607" s="1" t="n">
        <v>45849</v>
      </c>
      <c r="D607" t="inlineStr">
        <is>
          <t>NORRBOTTENS LÄN</t>
        </is>
      </c>
      <c r="E607" t="inlineStr">
        <is>
          <t>BODEN</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13573-2022</t>
        </is>
      </c>
      <c r="B608" s="1" t="n">
        <v>44648</v>
      </c>
      <c r="C608" s="1" t="n">
        <v>45849</v>
      </c>
      <c r="D608" t="inlineStr">
        <is>
          <t>NORRBOTTENS LÄN</t>
        </is>
      </c>
      <c r="E608" t="inlineStr">
        <is>
          <t>BODEN</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13592-2022</t>
        </is>
      </c>
      <c r="B609" s="1" t="n">
        <v>44648</v>
      </c>
      <c r="C609" s="1" t="n">
        <v>45849</v>
      </c>
      <c r="D609" t="inlineStr">
        <is>
          <t>NORRBOTTENS LÄN</t>
        </is>
      </c>
      <c r="E609" t="inlineStr">
        <is>
          <t>BODEN</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13552-2022</t>
        </is>
      </c>
      <c r="B610" s="1" t="n">
        <v>44648</v>
      </c>
      <c r="C610" s="1" t="n">
        <v>45849</v>
      </c>
      <c r="D610" t="inlineStr">
        <is>
          <t>NORRBOTTENS LÄN</t>
        </is>
      </c>
      <c r="E610" t="inlineStr">
        <is>
          <t>BODEN</t>
        </is>
      </c>
      <c r="F610" t="inlineStr">
        <is>
          <t>Sveaskog</t>
        </is>
      </c>
      <c r="G610" t="n">
        <v>4.1</v>
      </c>
      <c r="H610" t="n">
        <v>0</v>
      </c>
      <c r="I610" t="n">
        <v>0</v>
      </c>
      <c r="J610" t="n">
        <v>0</v>
      </c>
      <c r="K610" t="n">
        <v>0</v>
      </c>
      <c r="L610" t="n">
        <v>0</v>
      </c>
      <c r="M610" t="n">
        <v>0</v>
      </c>
      <c r="N610" t="n">
        <v>0</v>
      </c>
      <c r="O610" t="n">
        <v>0</v>
      </c>
      <c r="P610" t="n">
        <v>0</v>
      </c>
      <c r="Q610" t="n">
        <v>0</v>
      </c>
      <c r="R610" s="2" t="inlineStr"/>
    </row>
    <row r="611" ht="15" customHeight="1">
      <c r="A611" t="inlineStr">
        <is>
          <t>A 13577-2022</t>
        </is>
      </c>
      <c r="B611" s="1" t="n">
        <v>44648</v>
      </c>
      <c r="C611" s="1" t="n">
        <v>45849</v>
      </c>
      <c r="D611" t="inlineStr">
        <is>
          <t>NORRBOTTENS LÄN</t>
        </is>
      </c>
      <c r="E611" t="inlineStr">
        <is>
          <t>BODEN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13535-2022</t>
        </is>
      </c>
      <c r="B612" s="1" t="n">
        <v>44648</v>
      </c>
      <c r="C612" s="1" t="n">
        <v>45849</v>
      </c>
      <c r="D612" t="inlineStr">
        <is>
          <t>NORRBOTTENS LÄN</t>
        </is>
      </c>
      <c r="E612" t="inlineStr">
        <is>
          <t>BODEN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13568-2022</t>
        </is>
      </c>
      <c r="B613" s="1" t="n">
        <v>44648</v>
      </c>
      <c r="C613" s="1" t="n">
        <v>45849</v>
      </c>
      <c r="D613" t="inlineStr">
        <is>
          <t>NORRBOTTENS LÄN</t>
        </is>
      </c>
      <c r="E613" t="inlineStr">
        <is>
          <t>BODEN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13663-2022</t>
        </is>
      </c>
      <c r="B614" s="1" t="n">
        <v>44648</v>
      </c>
      <c r="C614" s="1" t="n">
        <v>45849</v>
      </c>
      <c r="D614" t="inlineStr">
        <is>
          <t>NORRBOTTENS LÄN</t>
        </is>
      </c>
      <c r="E614" t="inlineStr">
        <is>
          <t>BODEN</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13715-2022</t>
        </is>
      </c>
      <c r="B615" s="1" t="n">
        <v>44648</v>
      </c>
      <c r="C615" s="1" t="n">
        <v>45849</v>
      </c>
      <c r="D615" t="inlineStr">
        <is>
          <t>NORRBOTTENS LÄN</t>
        </is>
      </c>
      <c r="E615" t="inlineStr">
        <is>
          <t>BODEN</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13659-2022</t>
        </is>
      </c>
      <c r="B616" s="1" t="n">
        <v>44648</v>
      </c>
      <c r="C616" s="1" t="n">
        <v>45849</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13714-2022</t>
        </is>
      </c>
      <c r="B617" s="1" t="n">
        <v>44648</v>
      </c>
      <c r="C617" s="1" t="n">
        <v>45849</v>
      </c>
      <c r="D617" t="inlineStr">
        <is>
          <t>NORRBOTTENS LÄN</t>
        </is>
      </c>
      <c r="E617" t="inlineStr">
        <is>
          <t>BODEN</t>
        </is>
      </c>
      <c r="F617" t="inlineStr">
        <is>
          <t>Sveaskog</t>
        </is>
      </c>
      <c r="G617" t="n">
        <v>4.5</v>
      </c>
      <c r="H617" t="n">
        <v>0</v>
      </c>
      <c r="I617" t="n">
        <v>0</v>
      </c>
      <c r="J617" t="n">
        <v>0</v>
      </c>
      <c r="K617" t="n">
        <v>0</v>
      </c>
      <c r="L617" t="n">
        <v>0</v>
      </c>
      <c r="M617" t="n">
        <v>0</v>
      </c>
      <c r="N617" t="n">
        <v>0</v>
      </c>
      <c r="O617" t="n">
        <v>0</v>
      </c>
      <c r="P617" t="n">
        <v>0</v>
      </c>
      <c r="Q617" t="n">
        <v>0</v>
      </c>
      <c r="R617" s="2" t="inlineStr"/>
    </row>
    <row r="618" ht="15" customHeight="1">
      <c r="A618" t="inlineStr">
        <is>
          <t>A 14307-2022</t>
        </is>
      </c>
      <c r="B618" s="1" t="n">
        <v>44651</v>
      </c>
      <c r="C618" s="1" t="n">
        <v>45849</v>
      </c>
      <c r="D618" t="inlineStr">
        <is>
          <t>NORRBOTTENS LÄN</t>
        </is>
      </c>
      <c r="E618" t="inlineStr">
        <is>
          <t>BODEN</t>
        </is>
      </c>
      <c r="F618" t="inlineStr">
        <is>
          <t>SCA</t>
        </is>
      </c>
      <c r="G618" t="n">
        <v>17.2</v>
      </c>
      <c r="H618" t="n">
        <v>0</v>
      </c>
      <c r="I618" t="n">
        <v>0</v>
      </c>
      <c r="J618" t="n">
        <v>0</v>
      </c>
      <c r="K618" t="n">
        <v>0</v>
      </c>
      <c r="L618" t="n">
        <v>0</v>
      </c>
      <c r="M618" t="n">
        <v>0</v>
      </c>
      <c r="N618" t="n">
        <v>0</v>
      </c>
      <c r="O618" t="n">
        <v>0</v>
      </c>
      <c r="P618" t="n">
        <v>0</v>
      </c>
      <c r="Q618" t="n">
        <v>0</v>
      </c>
      <c r="R618" s="2" t="inlineStr"/>
    </row>
    <row r="619" ht="15" customHeight="1">
      <c r="A619" t="inlineStr">
        <is>
          <t>A 14545-2022</t>
        </is>
      </c>
      <c r="B619" s="1" t="n">
        <v>44657</v>
      </c>
      <c r="C619" s="1" t="n">
        <v>45849</v>
      </c>
      <c r="D619" t="inlineStr">
        <is>
          <t>NORRBOTTENS LÄN</t>
        </is>
      </c>
      <c r="E619" t="inlineStr">
        <is>
          <t>BODEN</t>
        </is>
      </c>
      <c r="G619" t="n">
        <v>4.1</v>
      </c>
      <c r="H619" t="n">
        <v>0</v>
      </c>
      <c r="I619" t="n">
        <v>0</v>
      </c>
      <c r="J619" t="n">
        <v>0</v>
      </c>
      <c r="K619" t="n">
        <v>0</v>
      </c>
      <c r="L619" t="n">
        <v>0</v>
      </c>
      <c r="M619" t="n">
        <v>0</v>
      </c>
      <c r="N619" t="n">
        <v>0</v>
      </c>
      <c r="O619" t="n">
        <v>0</v>
      </c>
      <c r="P619" t="n">
        <v>0</v>
      </c>
      <c r="Q619" t="n">
        <v>0</v>
      </c>
      <c r="R619" s="2" t="inlineStr"/>
    </row>
    <row r="620" ht="15" customHeight="1">
      <c r="A620" t="inlineStr">
        <is>
          <t>A 14995-2022</t>
        </is>
      </c>
      <c r="B620" s="1" t="n">
        <v>44657</v>
      </c>
      <c r="C620" s="1" t="n">
        <v>45849</v>
      </c>
      <c r="D620" t="inlineStr">
        <is>
          <t>NORRBOTTENS LÄN</t>
        </is>
      </c>
      <c r="E620" t="inlineStr">
        <is>
          <t>BODEN</t>
        </is>
      </c>
      <c r="G620" t="n">
        <v>1.3</v>
      </c>
      <c r="H620" t="n">
        <v>0</v>
      </c>
      <c r="I620" t="n">
        <v>0</v>
      </c>
      <c r="J620" t="n">
        <v>0</v>
      </c>
      <c r="K620" t="n">
        <v>0</v>
      </c>
      <c r="L620" t="n">
        <v>0</v>
      </c>
      <c r="M620" t="n">
        <v>0</v>
      </c>
      <c r="N620" t="n">
        <v>0</v>
      </c>
      <c r="O620" t="n">
        <v>0</v>
      </c>
      <c r="P620" t="n">
        <v>0</v>
      </c>
      <c r="Q620" t="n">
        <v>0</v>
      </c>
      <c r="R620" s="2" t="inlineStr"/>
    </row>
    <row r="621" ht="15" customHeight="1">
      <c r="A621" t="inlineStr">
        <is>
          <t>A 15017-2022</t>
        </is>
      </c>
      <c r="B621" s="1" t="n">
        <v>44657</v>
      </c>
      <c r="C621" s="1" t="n">
        <v>45849</v>
      </c>
      <c r="D621" t="inlineStr">
        <is>
          <t>NORRBOTTENS LÄN</t>
        </is>
      </c>
      <c r="E621" t="inlineStr">
        <is>
          <t>BODEN</t>
        </is>
      </c>
      <c r="G621" t="n">
        <v>3.7</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45849</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15406-2022</t>
        </is>
      </c>
      <c r="B623" s="1" t="n">
        <v>44659</v>
      </c>
      <c r="C623" s="1" t="n">
        <v>45849</v>
      </c>
      <c r="D623" t="inlineStr">
        <is>
          <t>NORRBOTTENS LÄN</t>
        </is>
      </c>
      <c r="E623" t="inlineStr">
        <is>
          <t>BODEN</t>
        </is>
      </c>
      <c r="G623" t="n">
        <v>11.2</v>
      </c>
      <c r="H623" t="n">
        <v>0</v>
      </c>
      <c r="I623" t="n">
        <v>0</v>
      </c>
      <c r="J623" t="n">
        <v>0</v>
      </c>
      <c r="K623" t="n">
        <v>0</v>
      </c>
      <c r="L623" t="n">
        <v>0</v>
      </c>
      <c r="M623" t="n">
        <v>0</v>
      </c>
      <c r="N623" t="n">
        <v>0</v>
      </c>
      <c r="O623" t="n">
        <v>0</v>
      </c>
      <c r="P623" t="n">
        <v>0</v>
      </c>
      <c r="Q623" t="n">
        <v>0</v>
      </c>
      <c r="R623" s="2" t="inlineStr"/>
    </row>
    <row r="624" ht="15" customHeight="1">
      <c r="A624" t="inlineStr">
        <is>
          <t>A 15807-2022</t>
        </is>
      </c>
      <c r="B624" s="1" t="n">
        <v>44663</v>
      </c>
      <c r="C624" s="1" t="n">
        <v>45849</v>
      </c>
      <c r="D624" t="inlineStr">
        <is>
          <t>NORRBOTTENS LÄN</t>
        </is>
      </c>
      <c r="E624" t="inlineStr">
        <is>
          <t>BODEN</t>
        </is>
      </c>
      <c r="F624" t="inlineStr">
        <is>
          <t>SCA</t>
        </is>
      </c>
      <c r="G624" t="n">
        <v>32.9</v>
      </c>
      <c r="H624" t="n">
        <v>0</v>
      </c>
      <c r="I624" t="n">
        <v>0</v>
      </c>
      <c r="J624" t="n">
        <v>0</v>
      </c>
      <c r="K624" t="n">
        <v>0</v>
      </c>
      <c r="L624" t="n">
        <v>0</v>
      </c>
      <c r="M624" t="n">
        <v>0</v>
      </c>
      <c r="N624" t="n">
        <v>0</v>
      </c>
      <c r="O624" t="n">
        <v>0</v>
      </c>
      <c r="P624" t="n">
        <v>0</v>
      </c>
      <c r="Q624" t="n">
        <v>0</v>
      </c>
      <c r="R624" s="2" t="inlineStr"/>
    </row>
    <row r="625" ht="15" customHeight="1">
      <c r="A625" t="inlineStr">
        <is>
          <t>A 16478-2022</t>
        </is>
      </c>
      <c r="B625" s="1" t="n">
        <v>44671</v>
      </c>
      <c r="C625" s="1" t="n">
        <v>45849</v>
      </c>
      <c r="D625" t="inlineStr">
        <is>
          <t>NORRBOTTENS LÄN</t>
        </is>
      </c>
      <c r="E625" t="inlineStr">
        <is>
          <t>BODEN</t>
        </is>
      </c>
      <c r="G625" t="n">
        <v>1.9</v>
      </c>
      <c r="H625" t="n">
        <v>0</v>
      </c>
      <c r="I625" t="n">
        <v>0</v>
      </c>
      <c r="J625" t="n">
        <v>0</v>
      </c>
      <c r="K625" t="n">
        <v>0</v>
      </c>
      <c r="L625" t="n">
        <v>0</v>
      </c>
      <c r="M625" t="n">
        <v>0</v>
      </c>
      <c r="N625" t="n">
        <v>0</v>
      </c>
      <c r="O625" t="n">
        <v>0</v>
      </c>
      <c r="P625" t="n">
        <v>0</v>
      </c>
      <c r="Q625" t="n">
        <v>0</v>
      </c>
      <c r="R625" s="2" t="inlineStr"/>
    </row>
    <row r="626" ht="15" customHeight="1">
      <c r="A626" t="inlineStr">
        <is>
          <t>A 16531-2022</t>
        </is>
      </c>
      <c r="B626" s="1" t="n">
        <v>44671</v>
      </c>
      <c r="C626" s="1" t="n">
        <v>45849</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16530-2022</t>
        </is>
      </c>
      <c r="B627" s="1" t="n">
        <v>44671</v>
      </c>
      <c r="C627" s="1" t="n">
        <v>45849</v>
      </c>
      <c r="D627" t="inlineStr">
        <is>
          <t>NORRBOTTENS LÄN</t>
        </is>
      </c>
      <c r="E627" t="inlineStr">
        <is>
          <t>BODEN</t>
        </is>
      </c>
      <c r="G627" t="n">
        <v>8.9</v>
      </c>
      <c r="H627" t="n">
        <v>0</v>
      </c>
      <c r="I627" t="n">
        <v>0</v>
      </c>
      <c r="J627" t="n">
        <v>0</v>
      </c>
      <c r="K627" t="n">
        <v>0</v>
      </c>
      <c r="L627" t="n">
        <v>0</v>
      </c>
      <c r="M627" t="n">
        <v>0</v>
      </c>
      <c r="N627" t="n">
        <v>0</v>
      </c>
      <c r="O627" t="n">
        <v>0</v>
      </c>
      <c r="P627" t="n">
        <v>0</v>
      </c>
      <c r="Q627" t="n">
        <v>0</v>
      </c>
      <c r="R627" s="2" t="inlineStr"/>
    </row>
    <row r="628" ht="15" customHeight="1">
      <c r="A628" t="inlineStr">
        <is>
          <t>A 16741-2022</t>
        </is>
      </c>
      <c r="B628" s="1" t="n">
        <v>44673</v>
      </c>
      <c r="C628" s="1" t="n">
        <v>45849</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17121-2022</t>
        </is>
      </c>
      <c r="B629" s="1" t="n">
        <v>44677</v>
      </c>
      <c r="C629" s="1" t="n">
        <v>45849</v>
      </c>
      <c r="D629" t="inlineStr">
        <is>
          <t>NORRBOTTENS LÄN</t>
        </is>
      </c>
      <c r="E629" t="inlineStr">
        <is>
          <t>BODEN</t>
        </is>
      </c>
      <c r="G629" t="n">
        <v>0.5</v>
      </c>
      <c r="H629" t="n">
        <v>0</v>
      </c>
      <c r="I629" t="n">
        <v>0</v>
      </c>
      <c r="J629" t="n">
        <v>0</v>
      </c>
      <c r="K629" t="n">
        <v>0</v>
      </c>
      <c r="L629" t="n">
        <v>0</v>
      </c>
      <c r="M629" t="n">
        <v>0</v>
      </c>
      <c r="N629" t="n">
        <v>0</v>
      </c>
      <c r="O629" t="n">
        <v>0</v>
      </c>
      <c r="P629" t="n">
        <v>0</v>
      </c>
      <c r="Q629" t="n">
        <v>0</v>
      </c>
      <c r="R629" s="2" t="inlineStr"/>
    </row>
    <row r="630" ht="15" customHeight="1">
      <c r="A630" t="inlineStr">
        <is>
          <t>A 17289-2022</t>
        </is>
      </c>
      <c r="B630" s="1" t="n">
        <v>44678</v>
      </c>
      <c r="C630" s="1" t="n">
        <v>45849</v>
      </c>
      <c r="D630" t="inlineStr">
        <is>
          <t>NORRBOTTENS LÄN</t>
        </is>
      </c>
      <c r="E630" t="inlineStr">
        <is>
          <t>BODEN</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19403-2022</t>
        </is>
      </c>
      <c r="B631" s="1" t="n">
        <v>44693</v>
      </c>
      <c r="C631" s="1" t="n">
        <v>45849</v>
      </c>
      <c r="D631" t="inlineStr">
        <is>
          <t>NORRBOTTENS LÄN</t>
        </is>
      </c>
      <c r="E631" t="inlineStr">
        <is>
          <t>BODEN</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19404-2022</t>
        </is>
      </c>
      <c r="B632" s="1" t="n">
        <v>44693</v>
      </c>
      <c r="C632" s="1" t="n">
        <v>45849</v>
      </c>
      <c r="D632" t="inlineStr">
        <is>
          <t>NORRBOTTENS LÄN</t>
        </is>
      </c>
      <c r="E632" t="inlineStr">
        <is>
          <t>BODEN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21216-2022</t>
        </is>
      </c>
      <c r="B633" s="1" t="n">
        <v>44705</v>
      </c>
      <c r="C633" s="1" t="n">
        <v>45849</v>
      </c>
      <c r="D633" t="inlineStr">
        <is>
          <t>NORRBOTTENS LÄN</t>
        </is>
      </c>
      <c r="E633" t="inlineStr">
        <is>
          <t>BODEN</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21421-2022</t>
        </is>
      </c>
      <c r="B634" s="1" t="n">
        <v>44706</v>
      </c>
      <c r="C634" s="1" t="n">
        <v>45849</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21420-2022</t>
        </is>
      </c>
      <c r="B635" s="1" t="n">
        <v>44706</v>
      </c>
      <c r="C635" s="1" t="n">
        <v>45849</v>
      </c>
      <c r="D635" t="inlineStr">
        <is>
          <t>NORRBOTTENS LÄN</t>
        </is>
      </c>
      <c r="E635" t="inlineStr">
        <is>
          <t>BODEN</t>
        </is>
      </c>
      <c r="G635" t="n">
        <v>4</v>
      </c>
      <c r="H635" t="n">
        <v>0</v>
      </c>
      <c r="I635" t="n">
        <v>0</v>
      </c>
      <c r="J635" t="n">
        <v>0</v>
      </c>
      <c r="K635" t="n">
        <v>0</v>
      </c>
      <c r="L635" t="n">
        <v>0</v>
      </c>
      <c r="M635" t="n">
        <v>0</v>
      </c>
      <c r="N635" t="n">
        <v>0</v>
      </c>
      <c r="O635" t="n">
        <v>0</v>
      </c>
      <c r="P635" t="n">
        <v>0</v>
      </c>
      <c r="Q635" t="n">
        <v>0</v>
      </c>
      <c r="R635" s="2" t="inlineStr"/>
    </row>
    <row r="636" ht="15" customHeight="1">
      <c r="A636" t="inlineStr">
        <is>
          <t>A 22959-2022</t>
        </is>
      </c>
      <c r="B636" s="1" t="n">
        <v>44715</v>
      </c>
      <c r="C636" s="1" t="n">
        <v>45849</v>
      </c>
      <c r="D636" t="inlineStr">
        <is>
          <t>NORRBOTTENS LÄN</t>
        </is>
      </c>
      <c r="E636" t="inlineStr">
        <is>
          <t>BODEN</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23546-2022</t>
        </is>
      </c>
      <c r="B637" s="1" t="n">
        <v>44721</v>
      </c>
      <c r="C637" s="1" t="n">
        <v>45849</v>
      </c>
      <c r="D637" t="inlineStr">
        <is>
          <t>NORRBOTTENS LÄN</t>
        </is>
      </c>
      <c r="E637" t="inlineStr">
        <is>
          <t>BODEN</t>
        </is>
      </c>
      <c r="G637" t="n">
        <v>6.7</v>
      </c>
      <c r="H637" t="n">
        <v>0</v>
      </c>
      <c r="I637" t="n">
        <v>0</v>
      </c>
      <c r="J637" t="n">
        <v>0</v>
      </c>
      <c r="K637" t="n">
        <v>0</v>
      </c>
      <c r="L637" t="n">
        <v>0</v>
      </c>
      <c r="M637" t="n">
        <v>0</v>
      </c>
      <c r="N637" t="n">
        <v>0</v>
      </c>
      <c r="O637" t="n">
        <v>0</v>
      </c>
      <c r="P637" t="n">
        <v>0</v>
      </c>
      <c r="Q637" t="n">
        <v>0</v>
      </c>
      <c r="R637" s="2" t="inlineStr"/>
    </row>
    <row r="638" ht="15" customHeight="1">
      <c r="A638" t="inlineStr">
        <is>
          <t>A 23871-2022</t>
        </is>
      </c>
      <c r="B638" s="1" t="n">
        <v>44722</v>
      </c>
      <c r="C638" s="1" t="n">
        <v>45849</v>
      </c>
      <c r="D638" t="inlineStr">
        <is>
          <t>NORRBOTTENS LÄN</t>
        </is>
      </c>
      <c r="E638" t="inlineStr">
        <is>
          <t>BODEN</t>
        </is>
      </c>
      <c r="G638" t="n">
        <v>4.8</v>
      </c>
      <c r="H638" t="n">
        <v>0</v>
      </c>
      <c r="I638" t="n">
        <v>0</v>
      </c>
      <c r="J638" t="n">
        <v>0</v>
      </c>
      <c r="K638" t="n">
        <v>0</v>
      </c>
      <c r="L638" t="n">
        <v>0</v>
      </c>
      <c r="M638" t="n">
        <v>0</v>
      </c>
      <c r="N638" t="n">
        <v>0</v>
      </c>
      <c r="O638" t="n">
        <v>0</v>
      </c>
      <c r="P638" t="n">
        <v>0</v>
      </c>
      <c r="Q638" t="n">
        <v>0</v>
      </c>
      <c r="R638" s="2" t="inlineStr"/>
    </row>
    <row r="639" ht="15" customHeight="1">
      <c r="A639" t="inlineStr">
        <is>
          <t>A 24400-2022</t>
        </is>
      </c>
      <c r="B639" s="1" t="n">
        <v>44726</v>
      </c>
      <c r="C639" s="1" t="n">
        <v>45849</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24691-2022</t>
        </is>
      </c>
      <c r="B640" s="1" t="n">
        <v>44727</v>
      </c>
      <c r="C640" s="1" t="n">
        <v>45849</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25070-2022</t>
        </is>
      </c>
      <c r="B641" s="1" t="n">
        <v>44729</v>
      </c>
      <c r="C641" s="1" t="n">
        <v>45849</v>
      </c>
      <c r="D641" t="inlineStr">
        <is>
          <t>NORRBOTTENS LÄN</t>
        </is>
      </c>
      <c r="E641" t="inlineStr">
        <is>
          <t>BODEN</t>
        </is>
      </c>
      <c r="G641" t="n">
        <v>19.5</v>
      </c>
      <c r="H641" t="n">
        <v>0</v>
      </c>
      <c r="I641" t="n">
        <v>0</v>
      </c>
      <c r="J641" t="n">
        <v>0</v>
      </c>
      <c r="K641" t="n">
        <v>0</v>
      </c>
      <c r="L641" t="n">
        <v>0</v>
      </c>
      <c r="M641" t="n">
        <v>0</v>
      </c>
      <c r="N641" t="n">
        <v>0</v>
      </c>
      <c r="O641" t="n">
        <v>0</v>
      </c>
      <c r="P641" t="n">
        <v>0</v>
      </c>
      <c r="Q641" t="n">
        <v>0</v>
      </c>
      <c r="R641" s="2" t="inlineStr"/>
    </row>
    <row r="642" ht="15" customHeight="1">
      <c r="A642" t="inlineStr">
        <is>
          <t>A 25627-2022</t>
        </is>
      </c>
      <c r="B642" s="1" t="n">
        <v>44733</v>
      </c>
      <c r="C642" s="1" t="n">
        <v>45849</v>
      </c>
      <c r="D642" t="inlineStr">
        <is>
          <t>NORRBOTTENS LÄN</t>
        </is>
      </c>
      <c r="E642" t="inlineStr">
        <is>
          <t>BODEN</t>
        </is>
      </c>
      <c r="G642" t="n">
        <v>4.4</v>
      </c>
      <c r="H642" t="n">
        <v>0</v>
      </c>
      <c r="I642" t="n">
        <v>0</v>
      </c>
      <c r="J642" t="n">
        <v>0</v>
      </c>
      <c r="K642" t="n">
        <v>0</v>
      </c>
      <c r="L642" t="n">
        <v>0</v>
      </c>
      <c r="M642" t="n">
        <v>0</v>
      </c>
      <c r="N642" t="n">
        <v>0</v>
      </c>
      <c r="O642" t="n">
        <v>0</v>
      </c>
      <c r="P642" t="n">
        <v>0</v>
      </c>
      <c r="Q642" t="n">
        <v>0</v>
      </c>
      <c r="R642" s="2" t="inlineStr"/>
    </row>
    <row r="643" ht="15" customHeight="1">
      <c r="A643" t="inlineStr">
        <is>
          <t>A 26022-2022</t>
        </is>
      </c>
      <c r="B643" s="1" t="n">
        <v>44734</v>
      </c>
      <c r="C643" s="1" t="n">
        <v>45849</v>
      </c>
      <c r="D643" t="inlineStr">
        <is>
          <t>NORRBOTTENS LÄN</t>
        </is>
      </c>
      <c r="E643" t="inlineStr">
        <is>
          <t>BODEN</t>
        </is>
      </c>
      <c r="G643" t="n">
        <v>1.9</v>
      </c>
      <c r="H643" t="n">
        <v>0</v>
      </c>
      <c r="I643" t="n">
        <v>0</v>
      </c>
      <c r="J643" t="n">
        <v>0</v>
      </c>
      <c r="K643" t="n">
        <v>0</v>
      </c>
      <c r="L643" t="n">
        <v>0</v>
      </c>
      <c r="M643" t="n">
        <v>0</v>
      </c>
      <c r="N643" t="n">
        <v>0</v>
      </c>
      <c r="O643" t="n">
        <v>0</v>
      </c>
      <c r="P643" t="n">
        <v>0</v>
      </c>
      <c r="Q643" t="n">
        <v>0</v>
      </c>
      <c r="R643" s="2" t="inlineStr"/>
    </row>
    <row r="644" ht="15" customHeight="1">
      <c r="A644" t="inlineStr">
        <is>
          <t>A 26014-2022</t>
        </is>
      </c>
      <c r="B644" s="1" t="n">
        <v>44734</v>
      </c>
      <c r="C644" s="1" t="n">
        <v>45849</v>
      </c>
      <c r="D644" t="inlineStr">
        <is>
          <t>NORRBOTTENS LÄN</t>
        </is>
      </c>
      <c r="E644" t="inlineStr">
        <is>
          <t>BODEN</t>
        </is>
      </c>
      <c r="G644" t="n">
        <v>1.4</v>
      </c>
      <c r="H644" t="n">
        <v>0</v>
      </c>
      <c r="I644" t="n">
        <v>0</v>
      </c>
      <c r="J644" t="n">
        <v>0</v>
      </c>
      <c r="K644" t="n">
        <v>0</v>
      </c>
      <c r="L644" t="n">
        <v>0</v>
      </c>
      <c r="M644" t="n">
        <v>0</v>
      </c>
      <c r="N644" t="n">
        <v>0</v>
      </c>
      <c r="O644" t="n">
        <v>0</v>
      </c>
      <c r="P644" t="n">
        <v>0</v>
      </c>
      <c r="Q644" t="n">
        <v>0</v>
      </c>
      <c r="R644" s="2" t="inlineStr"/>
    </row>
    <row r="645" ht="15" customHeight="1">
      <c r="A645" t="inlineStr">
        <is>
          <t>A 26013-2022</t>
        </is>
      </c>
      <c r="B645" s="1" t="n">
        <v>44734</v>
      </c>
      <c r="C645" s="1" t="n">
        <v>45849</v>
      </c>
      <c r="D645" t="inlineStr">
        <is>
          <t>NORRBOTTENS LÄN</t>
        </is>
      </c>
      <c r="E645" t="inlineStr">
        <is>
          <t>BODEN</t>
        </is>
      </c>
      <c r="G645" t="n">
        <v>9.1</v>
      </c>
      <c r="H645" t="n">
        <v>0</v>
      </c>
      <c r="I645" t="n">
        <v>0</v>
      </c>
      <c r="J645" t="n">
        <v>0</v>
      </c>
      <c r="K645" t="n">
        <v>0</v>
      </c>
      <c r="L645" t="n">
        <v>0</v>
      </c>
      <c r="M645" t="n">
        <v>0</v>
      </c>
      <c r="N645" t="n">
        <v>0</v>
      </c>
      <c r="O645" t="n">
        <v>0</v>
      </c>
      <c r="P645" t="n">
        <v>0</v>
      </c>
      <c r="Q645" t="n">
        <v>0</v>
      </c>
      <c r="R645" s="2" t="inlineStr"/>
    </row>
    <row r="646" ht="15" customHeight="1">
      <c r="A646" t="inlineStr">
        <is>
          <t>A 26359-2022</t>
        </is>
      </c>
      <c r="B646" s="1" t="n">
        <v>44735</v>
      </c>
      <c r="C646" s="1" t="n">
        <v>45849</v>
      </c>
      <c r="D646" t="inlineStr">
        <is>
          <t>NORRBOTTENS LÄN</t>
        </is>
      </c>
      <c r="E646" t="inlineStr">
        <is>
          <t>BODEN</t>
        </is>
      </c>
      <c r="F646" t="inlineStr">
        <is>
          <t>Sveaskog</t>
        </is>
      </c>
      <c r="G646" t="n">
        <v>11.4</v>
      </c>
      <c r="H646" t="n">
        <v>0</v>
      </c>
      <c r="I646" t="n">
        <v>0</v>
      </c>
      <c r="J646" t="n">
        <v>0</v>
      </c>
      <c r="K646" t="n">
        <v>0</v>
      </c>
      <c r="L646" t="n">
        <v>0</v>
      </c>
      <c r="M646" t="n">
        <v>0</v>
      </c>
      <c r="N646" t="n">
        <v>0</v>
      </c>
      <c r="O646" t="n">
        <v>0</v>
      </c>
      <c r="P646" t="n">
        <v>0</v>
      </c>
      <c r="Q646" t="n">
        <v>0</v>
      </c>
      <c r="R646" s="2" t="inlineStr"/>
    </row>
    <row r="647" ht="15" customHeight="1">
      <c r="A647" t="inlineStr">
        <is>
          <t>A 27688-2022</t>
        </is>
      </c>
      <c r="B647" s="1" t="n">
        <v>44743</v>
      </c>
      <c r="C647" s="1" t="n">
        <v>45849</v>
      </c>
      <c r="D647" t="inlineStr">
        <is>
          <t>NORRBOTTENS LÄN</t>
        </is>
      </c>
      <c r="E647" t="inlineStr">
        <is>
          <t>BODEN</t>
        </is>
      </c>
      <c r="G647" t="n">
        <v>13.5</v>
      </c>
      <c r="H647" t="n">
        <v>0</v>
      </c>
      <c r="I647" t="n">
        <v>0</v>
      </c>
      <c r="J647" t="n">
        <v>0</v>
      </c>
      <c r="K647" t="n">
        <v>0</v>
      </c>
      <c r="L647" t="n">
        <v>0</v>
      </c>
      <c r="M647" t="n">
        <v>0</v>
      </c>
      <c r="N647" t="n">
        <v>0</v>
      </c>
      <c r="O647" t="n">
        <v>0</v>
      </c>
      <c r="P647" t="n">
        <v>0</v>
      </c>
      <c r="Q647" t="n">
        <v>0</v>
      </c>
      <c r="R647" s="2" t="inlineStr"/>
    </row>
    <row r="648" ht="15" customHeight="1">
      <c r="A648" t="inlineStr">
        <is>
          <t>A 27716-2022</t>
        </is>
      </c>
      <c r="B648" s="1" t="n">
        <v>44743</v>
      </c>
      <c r="C648" s="1" t="n">
        <v>45849</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27894-2022</t>
        </is>
      </c>
      <c r="B649" s="1" t="n">
        <v>44743</v>
      </c>
      <c r="C649" s="1" t="n">
        <v>45849</v>
      </c>
      <c r="D649" t="inlineStr">
        <is>
          <t>NORRBOTTENS LÄN</t>
        </is>
      </c>
      <c r="E649" t="inlineStr">
        <is>
          <t>BODEN</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28432-2022</t>
        </is>
      </c>
      <c r="B650" s="1" t="n">
        <v>44747</v>
      </c>
      <c r="C650" s="1" t="n">
        <v>45849</v>
      </c>
      <c r="D650" t="inlineStr">
        <is>
          <t>NORRBOTTENS LÄN</t>
        </is>
      </c>
      <c r="E650" t="inlineStr">
        <is>
          <t>BODEN</t>
        </is>
      </c>
      <c r="G650" t="n">
        <v>2.4</v>
      </c>
      <c r="H650" t="n">
        <v>0</v>
      </c>
      <c r="I650" t="n">
        <v>0</v>
      </c>
      <c r="J650" t="n">
        <v>0</v>
      </c>
      <c r="K650" t="n">
        <v>0</v>
      </c>
      <c r="L650" t="n">
        <v>0</v>
      </c>
      <c r="M650" t="n">
        <v>0</v>
      </c>
      <c r="N650" t="n">
        <v>0</v>
      </c>
      <c r="O650" t="n">
        <v>0</v>
      </c>
      <c r="P650" t="n">
        <v>0</v>
      </c>
      <c r="Q650" t="n">
        <v>0</v>
      </c>
      <c r="R650" s="2" t="inlineStr"/>
    </row>
    <row r="651" ht="15" customHeight="1">
      <c r="A651" t="inlineStr">
        <is>
          <t>A 29119-2022</t>
        </is>
      </c>
      <c r="B651" s="1" t="n">
        <v>44749</v>
      </c>
      <c r="C651" s="1" t="n">
        <v>45849</v>
      </c>
      <c r="D651" t="inlineStr">
        <is>
          <t>NORRBOTTENS LÄN</t>
        </is>
      </c>
      <c r="E651" t="inlineStr">
        <is>
          <t>BODEN</t>
        </is>
      </c>
      <c r="G651" t="n">
        <v>10.4</v>
      </c>
      <c r="H651" t="n">
        <v>0</v>
      </c>
      <c r="I651" t="n">
        <v>0</v>
      </c>
      <c r="J651" t="n">
        <v>0</v>
      </c>
      <c r="K651" t="n">
        <v>0</v>
      </c>
      <c r="L651" t="n">
        <v>0</v>
      </c>
      <c r="M651" t="n">
        <v>0</v>
      </c>
      <c r="N651" t="n">
        <v>0</v>
      </c>
      <c r="O651" t="n">
        <v>0</v>
      </c>
      <c r="P651" t="n">
        <v>0</v>
      </c>
      <c r="Q651" t="n">
        <v>0</v>
      </c>
      <c r="R651" s="2" t="inlineStr"/>
    </row>
    <row r="652" ht="15" customHeight="1">
      <c r="A652" t="inlineStr">
        <is>
          <t>A 29797-2022</t>
        </is>
      </c>
      <c r="B652" s="1" t="n">
        <v>44755</v>
      </c>
      <c r="C652" s="1" t="n">
        <v>45849</v>
      </c>
      <c r="D652" t="inlineStr">
        <is>
          <t>NORRBOTTENS LÄN</t>
        </is>
      </c>
      <c r="E652" t="inlineStr">
        <is>
          <t>BODEN</t>
        </is>
      </c>
      <c r="F652" t="inlineStr">
        <is>
          <t>Kyrkan</t>
        </is>
      </c>
      <c r="G652" t="n">
        <v>29.2</v>
      </c>
      <c r="H652" t="n">
        <v>0</v>
      </c>
      <c r="I652" t="n">
        <v>0</v>
      </c>
      <c r="J652" t="n">
        <v>0</v>
      </c>
      <c r="K652" t="n">
        <v>0</v>
      </c>
      <c r="L652" t="n">
        <v>0</v>
      </c>
      <c r="M652" t="n">
        <v>0</v>
      </c>
      <c r="N652" t="n">
        <v>0</v>
      </c>
      <c r="O652" t="n">
        <v>0</v>
      </c>
      <c r="P652" t="n">
        <v>0</v>
      </c>
      <c r="Q652" t="n">
        <v>0</v>
      </c>
      <c r="R652" s="2" t="inlineStr"/>
    </row>
    <row r="653" ht="15" customHeight="1">
      <c r="A653" t="inlineStr">
        <is>
          <t>A 30178-2022</t>
        </is>
      </c>
      <c r="B653" s="1" t="n">
        <v>44757</v>
      </c>
      <c r="C653" s="1" t="n">
        <v>45849</v>
      </c>
      <c r="D653" t="inlineStr">
        <is>
          <t>NORRBOTTENS LÄN</t>
        </is>
      </c>
      <c r="E653" t="inlineStr">
        <is>
          <t>BODEN</t>
        </is>
      </c>
      <c r="F653" t="inlineStr">
        <is>
          <t>Sveaskog</t>
        </is>
      </c>
      <c r="G653" t="n">
        <v>16.7</v>
      </c>
      <c r="H653" t="n">
        <v>0</v>
      </c>
      <c r="I653" t="n">
        <v>0</v>
      </c>
      <c r="J653" t="n">
        <v>0</v>
      </c>
      <c r="K653" t="n">
        <v>0</v>
      </c>
      <c r="L653" t="n">
        <v>0</v>
      </c>
      <c r="M653" t="n">
        <v>0</v>
      </c>
      <c r="N653" t="n">
        <v>0</v>
      </c>
      <c r="O653" t="n">
        <v>0</v>
      </c>
      <c r="P653" t="n">
        <v>0</v>
      </c>
      <c r="Q653" t="n">
        <v>0</v>
      </c>
      <c r="R653" s="2" t="inlineStr"/>
    </row>
    <row r="654" ht="15" customHeight="1">
      <c r="A654" t="inlineStr">
        <is>
          <t>A 31766-2022</t>
        </is>
      </c>
      <c r="B654" s="1" t="n">
        <v>44776</v>
      </c>
      <c r="C654" s="1" t="n">
        <v>45849</v>
      </c>
      <c r="D654" t="inlineStr">
        <is>
          <t>NORRBOTTENS LÄN</t>
        </is>
      </c>
      <c r="E654" t="inlineStr">
        <is>
          <t>BODEN</t>
        </is>
      </c>
      <c r="G654" t="n">
        <v>3.3</v>
      </c>
      <c r="H654" t="n">
        <v>0</v>
      </c>
      <c r="I654" t="n">
        <v>0</v>
      </c>
      <c r="J654" t="n">
        <v>0</v>
      </c>
      <c r="K654" t="n">
        <v>0</v>
      </c>
      <c r="L654" t="n">
        <v>0</v>
      </c>
      <c r="M654" t="n">
        <v>0</v>
      </c>
      <c r="N654" t="n">
        <v>0</v>
      </c>
      <c r="O654" t="n">
        <v>0</v>
      </c>
      <c r="P654" t="n">
        <v>0</v>
      </c>
      <c r="Q654" t="n">
        <v>0</v>
      </c>
      <c r="R654" s="2" t="inlineStr"/>
    </row>
    <row r="655" ht="15" customHeight="1">
      <c r="A655" t="inlineStr">
        <is>
          <t>A 32754-2022</t>
        </is>
      </c>
      <c r="B655" s="1" t="n">
        <v>44783</v>
      </c>
      <c r="C655" s="1" t="n">
        <v>45849</v>
      </c>
      <c r="D655" t="inlineStr">
        <is>
          <t>NORRBOTTENS LÄN</t>
        </is>
      </c>
      <c r="E655" t="inlineStr">
        <is>
          <t>BODEN</t>
        </is>
      </c>
      <c r="G655" t="n">
        <v>0.9</v>
      </c>
      <c r="H655" t="n">
        <v>0</v>
      </c>
      <c r="I655" t="n">
        <v>0</v>
      </c>
      <c r="J655" t="n">
        <v>0</v>
      </c>
      <c r="K655" t="n">
        <v>0</v>
      </c>
      <c r="L655" t="n">
        <v>0</v>
      </c>
      <c r="M655" t="n">
        <v>0</v>
      </c>
      <c r="N655" t="n">
        <v>0</v>
      </c>
      <c r="O655" t="n">
        <v>0</v>
      </c>
      <c r="P655" t="n">
        <v>0</v>
      </c>
      <c r="Q655" t="n">
        <v>0</v>
      </c>
      <c r="R655" s="2" t="inlineStr"/>
    </row>
    <row r="656" ht="15" customHeight="1">
      <c r="A656" t="inlineStr">
        <is>
          <t>A 33399-2022</t>
        </is>
      </c>
      <c r="B656" s="1" t="n">
        <v>44788</v>
      </c>
      <c r="C656" s="1" t="n">
        <v>45849</v>
      </c>
      <c r="D656" t="inlineStr">
        <is>
          <t>NORRBOTTENS LÄN</t>
        </is>
      </c>
      <c r="E656" t="inlineStr">
        <is>
          <t>BODEN</t>
        </is>
      </c>
      <c r="G656" t="n">
        <v>9.9</v>
      </c>
      <c r="H656" t="n">
        <v>0</v>
      </c>
      <c r="I656" t="n">
        <v>0</v>
      </c>
      <c r="J656" t="n">
        <v>0</v>
      </c>
      <c r="K656" t="n">
        <v>0</v>
      </c>
      <c r="L656" t="n">
        <v>0</v>
      </c>
      <c r="M656" t="n">
        <v>0</v>
      </c>
      <c r="N656" t="n">
        <v>0</v>
      </c>
      <c r="O656" t="n">
        <v>0</v>
      </c>
      <c r="P656" t="n">
        <v>0</v>
      </c>
      <c r="Q656" t="n">
        <v>0</v>
      </c>
      <c r="R656" s="2" t="inlineStr"/>
    </row>
    <row r="657" ht="15" customHeight="1">
      <c r="A657" t="inlineStr">
        <is>
          <t>A 33454-2022</t>
        </is>
      </c>
      <c r="B657" s="1" t="n">
        <v>44788</v>
      </c>
      <c r="C657" s="1" t="n">
        <v>45849</v>
      </c>
      <c r="D657" t="inlineStr">
        <is>
          <t>NORRBOTTENS LÄN</t>
        </is>
      </c>
      <c r="E657" t="inlineStr">
        <is>
          <t>BODEN</t>
        </is>
      </c>
      <c r="G657" t="n">
        <v>2.7</v>
      </c>
      <c r="H657" t="n">
        <v>0</v>
      </c>
      <c r="I657" t="n">
        <v>0</v>
      </c>
      <c r="J657" t="n">
        <v>0</v>
      </c>
      <c r="K657" t="n">
        <v>0</v>
      </c>
      <c r="L657" t="n">
        <v>0</v>
      </c>
      <c r="M657" t="n">
        <v>0</v>
      </c>
      <c r="N657" t="n">
        <v>0</v>
      </c>
      <c r="O657" t="n">
        <v>0</v>
      </c>
      <c r="P657" t="n">
        <v>0</v>
      </c>
      <c r="Q657" t="n">
        <v>0</v>
      </c>
      <c r="R657" s="2" t="inlineStr"/>
    </row>
    <row r="658" ht="15" customHeight="1">
      <c r="A658" t="inlineStr">
        <is>
          <t>A 33517-2022</t>
        </is>
      </c>
      <c r="B658" s="1" t="n">
        <v>44789</v>
      </c>
      <c r="C658" s="1" t="n">
        <v>45849</v>
      </c>
      <c r="D658" t="inlineStr">
        <is>
          <t>NORRBOTTENS LÄN</t>
        </is>
      </c>
      <c r="E658" t="inlineStr">
        <is>
          <t>BODEN</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33518-2022</t>
        </is>
      </c>
      <c r="B659" s="1" t="n">
        <v>44789</v>
      </c>
      <c r="C659" s="1" t="n">
        <v>45849</v>
      </c>
      <c r="D659" t="inlineStr">
        <is>
          <t>NORRBOTTENS LÄN</t>
        </is>
      </c>
      <c r="E659" t="inlineStr">
        <is>
          <t>BODEN</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33516-2022</t>
        </is>
      </c>
      <c r="B660" s="1" t="n">
        <v>44789</v>
      </c>
      <c r="C660" s="1" t="n">
        <v>45849</v>
      </c>
      <c r="D660" t="inlineStr">
        <is>
          <t>NORRBOTTENS LÄN</t>
        </is>
      </c>
      <c r="E660" t="inlineStr">
        <is>
          <t>BODEN</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33739-2022</t>
        </is>
      </c>
      <c r="B661" s="1" t="n">
        <v>44790</v>
      </c>
      <c r="C661" s="1" t="n">
        <v>45849</v>
      </c>
      <c r="D661" t="inlineStr">
        <is>
          <t>NORRBOTTENS LÄN</t>
        </is>
      </c>
      <c r="E661" t="inlineStr">
        <is>
          <t>BODEN</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34760-2022</t>
        </is>
      </c>
      <c r="B662" s="1" t="n">
        <v>44795</v>
      </c>
      <c r="C662" s="1" t="n">
        <v>45849</v>
      </c>
      <c r="D662" t="inlineStr">
        <is>
          <t>NORRBOTTENS LÄN</t>
        </is>
      </c>
      <c r="E662" t="inlineStr">
        <is>
          <t>BODEN</t>
        </is>
      </c>
      <c r="G662" t="n">
        <v>4.9</v>
      </c>
      <c r="H662" t="n">
        <v>0</v>
      </c>
      <c r="I662" t="n">
        <v>0</v>
      </c>
      <c r="J662" t="n">
        <v>0</v>
      </c>
      <c r="K662" t="n">
        <v>0</v>
      </c>
      <c r="L662" t="n">
        <v>0</v>
      </c>
      <c r="M662" t="n">
        <v>0</v>
      </c>
      <c r="N662" t="n">
        <v>0</v>
      </c>
      <c r="O662" t="n">
        <v>0</v>
      </c>
      <c r="P662" t="n">
        <v>0</v>
      </c>
      <c r="Q662" t="n">
        <v>0</v>
      </c>
      <c r="R662" s="2" t="inlineStr"/>
    </row>
    <row r="663" ht="15" customHeight="1">
      <c r="A663" t="inlineStr">
        <is>
          <t>A 34811-2022</t>
        </is>
      </c>
      <c r="B663" s="1" t="n">
        <v>44796</v>
      </c>
      <c r="C663" s="1" t="n">
        <v>45849</v>
      </c>
      <c r="D663" t="inlineStr">
        <is>
          <t>NORRBOTTENS LÄN</t>
        </is>
      </c>
      <c r="E663" t="inlineStr">
        <is>
          <t>BODEN</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34789-2022</t>
        </is>
      </c>
      <c r="B664" s="1" t="n">
        <v>44795</v>
      </c>
      <c r="C664" s="1" t="n">
        <v>45849</v>
      </c>
      <c r="D664" t="inlineStr">
        <is>
          <t>NORRBOTTENS LÄN</t>
        </is>
      </c>
      <c r="E664" t="inlineStr">
        <is>
          <t>BODEN</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34796-2022</t>
        </is>
      </c>
      <c r="B665" s="1" t="n">
        <v>44796</v>
      </c>
      <c r="C665" s="1" t="n">
        <v>45849</v>
      </c>
      <c r="D665" t="inlineStr">
        <is>
          <t>NORRBOTTENS LÄN</t>
        </is>
      </c>
      <c r="E665" t="inlineStr">
        <is>
          <t>BODEN</t>
        </is>
      </c>
      <c r="F665" t="inlineStr">
        <is>
          <t>SCA</t>
        </is>
      </c>
      <c r="G665" t="n">
        <v>6.5</v>
      </c>
      <c r="H665" t="n">
        <v>0</v>
      </c>
      <c r="I665" t="n">
        <v>0</v>
      </c>
      <c r="J665" t="n">
        <v>0</v>
      </c>
      <c r="K665" t="n">
        <v>0</v>
      </c>
      <c r="L665" t="n">
        <v>0</v>
      </c>
      <c r="M665" t="n">
        <v>0</v>
      </c>
      <c r="N665" t="n">
        <v>0</v>
      </c>
      <c r="O665" t="n">
        <v>0</v>
      </c>
      <c r="P665" t="n">
        <v>0</v>
      </c>
      <c r="Q665" t="n">
        <v>0</v>
      </c>
      <c r="R665" s="2" t="inlineStr"/>
    </row>
    <row r="666" ht="15" customHeight="1">
      <c r="A666" t="inlineStr">
        <is>
          <t>A 35044-2022</t>
        </is>
      </c>
      <c r="B666" s="1" t="n">
        <v>44796</v>
      </c>
      <c r="C666" s="1" t="n">
        <v>45849</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35046-2022</t>
        </is>
      </c>
      <c r="B667" s="1" t="n">
        <v>44796</v>
      </c>
      <c r="C667" s="1" t="n">
        <v>45849</v>
      </c>
      <c r="D667" t="inlineStr">
        <is>
          <t>NORRBOTTENS LÄN</t>
        </is>
      </c>
      <c r="E667" t="inlineStr">
        <is>
          <t>BODEN</t>
        </is>
      </c>
      <c r="G667" t="n">
        <v>1.2</v>
      </c>
      <c r="H667" t="n">
        <v>0</v>
      </c>
      <c r="I667" t="n">
        <v>0</v>
      </c>
      <c r="J667" t="n">
        <v>0</v>
      </c>
      <c r="K667" t="n">
        <v>0</v>
      </c>
      <c r="L667" t="n">
        <v>0</v>
      </c>
      <c r="M667" t="n">
        <v>0</v>
      </c>
      <c r="N667" t="n">
        <v>0</v>
      </c>
      <c r="O667" t="n">
        <v>0</v>
      </c>
      <c r="P667" t="n">
        <v>0</v>
      </c>
      <c r="Q667" t="n">
        <v>0</v>
      </c>
      <c r="R667" s="2" t="inlineStr"/>
    </row>
    <row r="668" ht="15" customHeight="1">
      <c r="A668" t="inlineStr">
        <is>
          <t>A 35041-2022</t>
        </is>
      </c>
      <c r="B668" s="1" t="n">
        <v>44796</v>
      </c>
      <c r="C668" s="1" t="n">
        <v>45849</v>
      </c>
      <c r="D668" t="inlineStr">
        <is>
          <t>NORRBOTTENS LÄN</t>
        </is>
      </c>
      <c r="E668" t="inlineStr">
        <is>
          <t>BODEN</t>
        </is>
      </c>
      <c r="G668" t="n">
        <v>0.8</v>
      </c>
      <c r="H668" t="n">
        <v>0</v>
      </c>
      <c r="I668" t="n">
        <v>0</v>
      </c>
      <c r="J668" t="n">
        <v>0</v>
      </c>
      <c r="K668" t="n">
        <v>0</v>
      </c>
      <c r="L668" t="n">
        <v>0</v>
      </c>
      <c r="M668" t="n">
        <v>0</v>
      </c>
      <c r="N668" t="n">
        <v>0</v>
      </c>
      <c r="O668" t="n">
        <v>0</v>
      </c>
      <c r="P668" t="n">
        <v>0</v>
      </c>
      <c r="Q668" t="n">
        <v>0</v>
      </c>
      <c r="R668" s="2" t="inlineStr"/>
    </row>
    <row r="669" ht="15" customHeight="1">
      <c r="A669" t="inlineStr">
        <is>
          <t>A 35040-2022</t>
        </is>
      </c>
      <c r="B669" s="1" t="n">
        <v>44796</v>
      </c>
      <c r="C669" s="1" t="n">
        <v>45849</v>
      </c>
      <c r="D669" t="inlineStr">
        <is>
          <t>NORRBOTTENS LÄN</t>
        </is>
      </c>
      <c r="E669" t="inlineStr">
        <is>
          <t>BODEN</t>
        </is>
      </c>
      <c r="G669" t="n">
        <v>1.4</v>
      </c>
      <c r="H669" t="n">
        <v>0</v>
      </c>
      <c r="I669" t="n">
        <v>0</v>
      </c>
      <c r="J669" t="n">
        <v>0</v>
      </c>
      <c r="K669" t="n">
        <v>0</v>
      </c>
      <c r="L669" t="n">
        <v>0</v>
      </c>
      <c r="M669" t="n">
        <v>0</v>
      </c>
      <c r="N669" t="n">
        <v>0</v>
      </c>
      <c r="O669" t="n">
        <v>0</v>
      </c>
      <c r="P669" t="n">
        <v>0</v>
      </c>
      <c r="Q669" t="n">
        <v>0</v>
      </c>
      <c r="R669" s="2" t="inlineStr"/>
    </row>
    <row r="670" ht="15" customHeight="1">
      <c r="A670" t="inlineStr">
        <is>
          <t>A 35069-2022</t>
        </is>
      </c>
      <c r="B670" s="1" t="n">
        <v>44797</v>
      </c>
      <c r="C670" s="1" t="n">
        <v>45849</v>
      </c>
      <c r="D670" t="inlineStr">
        <is>
          <t>NORRBOTTENS LÄN</t>
        </is>
      </c>
      <c r="E670" t="inlineStr">
        <is>
          <t>BODEN</t>
        </is>
      </c>
      <c r="G670" t="n">
        <v>9.1</v>
      </c>
      <c r="H670" t="n">
        <v>0</v>
      </c>
      <c r="I670" t="n">
        <v>0</v>
      </c>
      <c r="J670" t="n">
        <v>0</v>
      </c>
      <c r="K670" t="n">
        <v>0</v>
      </c>
      <c r="L670" t="n">
        <v>0</v>
      </c>
      <c r="M670" t="n">
        <v>0</v>
      </c>
      <c r="N670" t="n">
        <v>0</v>
      </c>
      <c r="O670" t="n">
        <v>0</v>
      </c>
      <c r="P670" t="n">
        <v>0</v>
      </c>
      <c r="Q670" t="n">
        <v>0</v>
      </c>
      <c r="R670" s="2" t="inlineStr"/>
    </row>
    <row r="671" ht="15" customHeight="1">
      <c r="A671" t="inlineStr">
        <is>
          <t>A 35237-2022</t>
        </is>
      </c>
      <c r="B671" s="1" t="n">
        <v>44797</v>
      </c>
      <c r="C671" s="1" t="n">
        <v>45849</v>
      </c>
      <c r="D671" t="inlineStr">
        <is>
          <t>NORRBOTTENS LÄN</t>
        </is>
      </c>
      <c r="E671" t="inlineStr">
        <is>
          <t>BODEN</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35323-2022</t>
        </is>
      </c>
      <c r="B672" s="1" t="n">
        <v>44798</v>
      </c>
      <c r="C672" s="1" t="n">
        <v>45849</v>
      </c>
      <c r="D672" t="inlineStr">
        <is>
          <t>NORRBOTTENS LÄN</t>
        </is>
      </c>
      <c r="E672" t="inlineStr">
        <is>
          <t>BODEN</t>
        </is>
      </c>
      <c r="G672" t="n">
        <v>7.1</v>
      </c>
      <c r="H672" t="n">
        <v>0</v>
      </c>
      <c r="I672" t="n">
        <v>0</v>
      </c>
      <c r="J672" t="n">
        <v>0</v>
      </c>
      <c r="K672" t="n">
        <v>0</v>
      </c>
      <c r="L672" t="n">
        <v>0</v>
      </c>
      <c r="M672" t="n">
        <v>0</v>
      </c>
      <c r="N672" t="n">
        <v>0</v>
      </c>
      <c r="O672" t="n">
        <v>0</v>
      </c>
      <c r="P672" t="n">
        <v>0</v>
      </c>
      <c r="Q672" t="n">
        <v>0</v>
      </c>
      <c r="R672" s="2" t="inlineStr"/>
    </row>
    <row r="673" ht="15" customHeight="1">
      <c r="A673" t="inlineStr">
        <is>
          <t>A 35752-2022</t>
        </is>
      </c>
      <c r="B673" s="1" t="n">
        <v>44800</v>
      </c>
      <c r="C673" s="1" t="n">
        <v>45849</v>
      </c>
      <c r="D673" t="inlineStr">
        <is>
          <t>NORRBOTTENS LÄN</t>
        </is>
      </c>
      <c r="E673" t="inlineStr">
        <is>
          <t>BODEN</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35753-2022</t>
        </is>
      </c>
      <c r="B674" s="1" t="n">
        <v>44800</v>
      </c>
      <c r="C674" s="1" t="n">
        <v>45849</v>
      </c>
      <c r="D674" t="inlineStr">
        <is>
          <t>NORRBOTTENS LÄN</t>
        </is>
      </c>
      <c r="E674" t="inlineStr">
        <is>
          <t>BODEN</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35755-2022</t>
        </is>
      </c>
      <c r="B675" s="1" t="n">
        <v>44799</v>
      </c>
      <c r="C675" s="1" t="n">
        <v>45849</v>
      </c>
      <c r="D675" t="inlineStr">
        <is>
          <t>NORRBOTTENS LÄN</t>
        </is>
      </c>
      <c r="E675" t="inlineStr">
        <is>
          <t>BODEN</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37594-2022</t>
        </is>
      </c>
      <c r="B676" s="1" t="n">
        <v>44809</v>
      </c>
      <c r="C676" s="1" t="n">
        <v>45849</v>
      </c>
      <c r="D676" t="inlineStr">
        <is>
          <t>NORRBOTTENS LÄN</t>
        </is>
      </c>
      <c r="E676" t="inlineStr">
        <is>
          <t>BODEN</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38213-2022</t>
        </is>
      </c>
      <c r="B677" s="1" t="n">
        <v>44812</v>
      </c>
      <c r="C677" s="1" t="n">
        <v>45849</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38219-2022</t>
        </is>
      </c>
      <c r="B678" s="1" t="n">
        <v>44812</v>
      </c>
      <c r="C678" s="1" t="n">
        <v>45849</v>
      </c>
      <c r="D678" t="inlineStr">
        <is>
          <t>NORRBOTTENS LÄN</t>
        </is>
      </c>
      <c r="E678" t="inlineStr">
        <is>
          <t>BODEN</t>
        </is>
      </c>
      <c r="G678" t="n">
        <v>2</v>
      </c>
      <c r="H678" t="n">
        <v>0</v>
      </c>
      <c r="I678" t="n">
        <v>0</v>
      </c>
      <c r="J678" t="n">
        <v>0</v>
      </c>
      <c r="K678" t="n">
        <v>0</v>
      </c>
      <c r="L678" t="n">
        <v>0</v>
      </c>
      <c r="M678" t="n">
        <v>0</v>
      </c>
      <c r="N678" t="n">
        <v>0</v>
      </c>
      <c r="O678" t="n">
        <v>0</v>
      </c>
      <c r="P678" t="n">
        <v>0</v>
      </c>
      <c r="Q678" t="n">
        <v>0</v>
      </c>
      <c r="R678" s="2" t="inlineStr"/>
    </row>
    <row r="679" ht="15" customHeight="1">
      <c r="A679" t="inlineStr">
        <is>
          <t>A 38722-2022</t>
        </is>
      </c>
      <c r="B679" s="1" t="n">
        <v>44815</v>
      </c>
      <c r="C679" s="1" t="n">
        <v>45849</v>
      </c>
      <c r="D679" t="inlineStr">
        <is>
          <t>NORRBOTTENS LÄN</t>
        </is>
      </c>
      <c r="E679" t="inlineStr">
        <is>
          <t>BODEN</t>
        </is>
      </c>
      <c r="F679" t="inlineStr">
        <is>
          <t>Övriga statliga verk och myndigheter</t>
        </is>
      </c>
      <c r="G679" t="n">
        <v>8.5</v>
      </c>
      <c r="H679" t="n">
        <v>0</v>
      </c>
      <c r="I679" t="n">
        <v>0</v>
      </c>
      <c r="J679" t="n">
        <v>0</v>
      </c>
      <c r="K679" t="n">
        <v>0</v>
      </c>
      <c r="L679" t="n">
        <v>0</v>
      </c>
      <c r="M679" t="n">
        <v>0</v>
      </c>
      <c r="N679" t="n">
        <v>0</v>
      </c>
      <c r="O679" t="n">
        <v>0</v>
      </c>
      <c r="P679" t="n">
        <v>0</v>
      </c>
      <c r="Q679" t="n">
        <v>0</v>
      </c>
      <c r="R679" s="2" t="inlineStr"/>
    </row>
    <row r="680" ht="15" customHeight="1">
      <c r="A680" t="inlineStr">
        <is>
          <t>A 40418-2022</t>
        </is>
      </c>
      <c r="B680" s="1" t="n">
        <v>44818</v>
      </c>
      <c r="C680" s="1" t="n">
        <v>45849</v>
      </c>
      <c r="D680" t="inlineStr">
        <is>
          <t>NORRBOTTENS LÄN</t>
        </is>
      </c>
      <c r="E680" t="inlineStr">
        <is>
          <t>BODEN</t>
        </is>
      </c>
      <c r="G680" t="n">
        <v>3.9</v>
      </c>
      <c r="H680" t="n">
        <v>0</v>
      </c>
      <c r="I680" t="n">
        <v>0</v>
      </c>
      <c r="J680" t="n">
        <v>0</v>
      </c>
      <c r="K680" t="n">
        <v>0</v>
      </c>
      <c r="L680" t="n">
        <v>0</v>
      </c>
      <c r="M680" t="n">
        <v>0</v>
      </c>
      <c r="N680" t="n">
        <v>0</v>
      </c>
      <c r="O680" t="n">
        <v>0</v>
      </c>
      <c r="P680" t="n">
        <v>0</v>
      </c>
      <c r="Q680" t="n">
        <v>0</v>
      </c>
      <c r="R680" s="2" t="inlineStr"/>
    </row>
    <row r="681" ht="15" customHeight="1">
      <c r="A681" t="inlineStr">
        <is>
          <t>A 39838-2022</t>
        </is>
      </c>
      <c r="B681" s="1" t="n">
        <v>44819</v>
      </c>
      <c r="C681" s="1" t="n">
        <v>45849</v>
      </c>
      <c r="D681" t="inlineStr">
        <is>
          <t>NORRBOTTENS LÄN</t>
        </is>
      </c>
      <c r="E681" t="inlineStr">
        <is>
          <t>BODEN</t>
        </is>
      </c>
      <c r="F681" t="inlineStr">
        <is>
          <t>Sveaskog</t>
        </is>
      </c>
      <c r="G681" t="n">
        <v>16.5</v>
      </c>
      <c r="H681" t="n">
        <v>0</v>
      </c>
      <c r="I681" t="n">
        <v>0</v>
      </c>
      <c r="J681" t="n">
        <v>0</v>
      </c>
      <c r="K681" t="n">
        <v>0</v>
      </c>
      <c r="L681" t="n">
        <v>0</v>
      </c>
      <c r="M681" t="n">
        <v>0</v>
      </c>
      <c r="N681" t="n">
        <v>0</v>
      </c>
      <c r="O681" t="n">
        <v>0</v>
      </c>
      <c r="P681" t="n">
        <v>0</v>
      </c>
      <c r="Q681" t="n">
        <v>0</v>
      </c>
      <c r="R681" s="2" t="inlineStr"/>
    </row>
    <row r="682" ht="15" customHeight="1">
      <c r="A682" t="inlineStr">
        <is>
          <t>A 39971-2022</t>
        </is>
      </c>
      <c r="B682" s="1" t="n">
        <v>44820</v>
      </c>
      <c r="C682" s="1" t="n">
        <v>45849</v>
      </c>
      <c r="D682" t="inlineStr">
        <is>
          <t>NORRBOTTENS LÄN</t>
        </is>
      </c>
      <c r="E682" t="inlineStr">
        <is>
          <t>BODEN</t>
        </is>
      </c>
      <c r="F682" t="inlineStr">
        <is>
          <t>Sveaskog</t>
        </is>
      </c>
      <c r="G682" t="n">
        <v>11.3</v>
      </c>
      <c r="H682" t="n">
        <v>0</v>
      </c>
      <c r="I682" t="n">
        <v>0</v>
      </c>
      <c r="J682" t="n">
        <v>0</v>
      </c>
      <c r="K682" t="n">
        <v>0</v>
      </c>
      <c r="L682" t="n">
        <v>0</v>
      </c>
      <c r="M682" t="n">
        <v>0</v>
      </c>
      <c r="N682" t="n">
        <v>0</v>
      </c>
      <c r="O682" t="n">
        <v>0</v>
      </c>
      <c r="P682" t="n">
        <v>0</v>
      </c>
      <c r="Q682" t="n">
        <v>0</v>
      </c>
      <c r="R682" s="2" t="inlineStr"/>
    </row>
    <row r="683" ht="15" customHeight="1">
      <c r="A683" t="inlineStr">
        <is>
          <t>A 40136-2022</t>
        </is>
      </c>
      <c r="B683" s="1" t="n">
        <v>44820</v>
      </c>
      <c r="C683" s="1" t="n">
        <v>45849</v>
      </c>
      <c r="D683" t="inlineStr">
        <is>
          <t>NORRBOTTENS LÄN</t>
        </is>
      </c>
      <c r="E683" t="inlineStr">
        <is>
          <t>BODEN</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45849</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40854-2022</t>
        </is>
      </c>
      <c r="B685" s="1" t="n">
        <v>44825</v>
      </c>
      <c r="C685" s="1" t="n">
        <v>45849</v>
      </c>
      <c r="D685" t="inlineStr">
        <is>
          <t>NORRBOTTENS LÄN</t>
        </is>
      </c>
      <c r="E685" t="inlineStr">
        <is>
          <t>BODEN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42641-2022</t>
        </is>
      </c>
      <c r="B686" s="1" t="n">
        <v>44831</v>
      </c>
      <c r="C686" s="1" t="n">
        <v>45849</v>
      </c>
      <c r="D686" t="inlineStr">
        <is>
          <t>NORRBOTTENS LÄN</t>
        </is>
      </c>
      <c r="E686" t="inlineStr">
        <is>
          <t>BODEN</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42642-2022</t>
        </is>
      </c>
      <c r="B687" s="1" t="n">
        <v>44831</v>
      </c>
      <c r="C687" s="1" t="n">
        <v>45849</v>
      </c>
      <c r="D687" t="inlineStr">
        <is>
          <t>NORRBOTTENS LÄN</t>
        </is>
      </c>
      <c r="E687" t="inlineStr">
        <is>
          <t>BODEN</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42632-2022</t>
        </is>
      </c>
      <c r="B688" s="1" t="n">
        <v>44832</v>
      </c>
      <c r="C688" s="1" t="n">
        <v>45849</v>
      </c>
      <c r="D688" t="inlineStr">
        <is>
          <t>NORRBOTTENS LÄN</t>
        </is>
      </c>
      <c r="E688" t="inlineStr">
        <is>
          <t>BODEN</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42643-2022</t>
        </is>
      </c>
      <c r="B689" s="1" t="n">
        <v>44831</v>
      </c>
      <c r="C689" s="1" t="n">
        <v>45849</v>
      </c>
      <c r="D689" t="inlineStr">
        <is>
          <t>NORRBOTTENS LÄN</t>
        </is>
      </c>
      <c r="E689" t="inlineStr">
        <is>
          <t>BODEN</t>
        </is>
      </c>
      <c r="F689" t="inlineStr">
        <is>
          <t>SCA</t>
        </is>
      </c>
      <c r="G689" t="n">
        <v>5.8</v>
      </c>
      <c r="H689" t="n">
        <v>0</v>
      </c>
      <c r="I689" t="n">
        <v>0</v>
      </c>
      <c r="J689" t="n">
        <v>0</v>
      </c>
      <c r="K689" t="n">
        <v>0</v>
      </c>
      <c r="L689" t="n">
        <v>0</v>
      </c>
      <c r="M689" t="n">
        <v>0</v>
      </c>
      <c r="N689" t="n">
        <v>0</v>
      </c>
      <c r="O689" t="n">
        <v>0</v>
      </c>
      <c r="P689" t="n">
        <v>0</v>
      </c>
      <c r="Q689" t="n">
        <v>0</v>
      </c>
      <c r="R689" s="2" t="inlineStr"/>
    </row>
    <row r="690" ht="15" customHeight="1">
      <c r="A690" t="inlineStr">
        <is>
          <t>A 42667-2022</t>
        </is>
      </c>
      <c r="B690" s="1" t="n">
        <v>44832</v>
      </c>
      <c r="C690" s="1" t="n">
        <v>45849</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42990-2022</t>
        </is>
      </c>
      <c r="B691" s="1" t="n">
        <v>44832</v>
      </c>
      <c r="C691" s="1" t="n">
        <v>45849</v>
      </c>
      <c r="D691" t="inlineStr">
        <is>
          <t>NORRBOTTENS LÄN</t>
        </is>
      </c>
      <c r="E691" t="inlineStr">
        <is>
          <t>BODEN</t>
        </is>
      </c>
      <c r="G691" t="n">
        <v>1.7</v>
      </c>
      <c r="H691" t="n">
        <v>0</v>
      </c>
      <c r="I691" t="n">
        <v>0</v>
      </c>
      <c r="J691" t="n">
        <v>0</v>
      </c>
      <c r="K691" t="n">
        <v>0</v>
      </c>
      <c r="L691" t="n">
        <v>0</v>
      </c>
      <c r="M691" t="n">
        <v>0</v>
      </c>
      <c r="N691" t="n">
        <v>0</v>
      </c>
      <c r="O691" t="n">
        <v>0</v>
      </c>
      <c r="P691" t="n">
        <v>0</v>
      </c>
      <c r="Q691" t="n">
        <v>0</v>
      </c>
      <c r="R691" s="2" t="inlineStr"/>
    </row>
    <row r="692" ht="15" customHeight="1">
      <c r="A692" t="inlineStr">
        <is>
          <t>A 42995-2022</t>
        </is>
      </c>
      <c r="B692" s="1" t="n">
        <v>44833</v>
      </c>
      <c r="C692" s="1" t="n">
        <v>45849</v>
      </c>
      <c r="D692" t="inlineStr">
        <is>
          <t>NORRBOTTENS LÄN</t>
        </is>
      </c>
      <c r="E692" t="inlineStr">
        <is>
          <t>BODEN</t>
        </is>
      </c>
      <c r="G692" t="n">
        <v>4.2</v>
      </c>
      <c r="H692" t="n">
        <v>0</v>
      </c>
      <c r="I692" t="n">
        <v>0</v>
      </c>
      <c r="J692" t="n">
        <v>0</v>
      </c>
      <c r="K692" t="n">
        <v>0</v>
      </c>
      <c r="L692" t="n">
        <v>0</v>
      </c>
      <c r="M692" t="n">
        <v>0</v>
      </c>
      <c r="N692" t="n">
        <v>0</v>
      </c>
      <c r="O692" t="n">
        <v>0</v>
      </c>
      <c r="P692" t="n">
        <v>0</v>
      </c>
      <c r="Q692" t="n">
        <v>0</v>
      </c>
      <c r="R692" s="2" t="inlineStr"/>
    </row>
    <row r="693" ht="15" customHeight="1">
      <c r="A693" t="inlineStr">
        <is>
          <t>A 43007-2022</t>
        </is>
      </c>
      <c r="B693" s="1" t="n">
        <v>44833</v>
      </c>
      <c r="C693" s="1" t="n">
        <v>45849</v>
      </c>
      <c r="D693" t="inlineStr">
        <is>
          <t>NORRBOTTENS LÄN</t>
        </is>
      </c>
      <c r="E693" t="inlineStr">
        <is>
          <t>BODEN</t>
        </is>
      </c>
      <c r="G693" t="n">
        <v>1.8</v>
      </c>
      <c r="H693" t="n">
        <v>0</v>
      </c>
      <c r="I693" t="n">
        <v>0</v>
      </c>
      <c r="J693" t="n">
        <v>0</v>
      </c>
      <c r="K693" t="n">
        <v>0</v>
      </c>
      <c r="L693" t="n">
        <v>0</v>
      </c>
      <c r="M693" t="n">
        <v>0</v>
      </c>
      <c r="N693" t="n">
        <v>0</v>
      </c>
      <c r="O693" t="n">
        <v>0</v>
      </c>
      <c r="P693" t="n">
        <v>0</v>
      </c>
      <c r="Q693" t="n">
        <v>0</v>
      </c>
      <c r="R693" s="2" t="inlineStr"/>
    </row>
    <row r="694" ht="15" customHeight="1">
      <c r="A694" t="inlineStr">
        <is>
          <t>A 43464-2022</t>
        </is>
      </c>
      <c r="B694" s="1" t="n">
        <v>44836</v>
      </c>
      <c r="C694" s="1" t="n">
        <v>45849</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44046-2022</t>
        </is>
      </c>
      <c r="B695" s="1" t="n">
        <v>44839</v>
      </c>
      <c r="C695" s="1" t="n">
        <v>45849</v>
      </c>
      <c r="D695" t="inlineStr">
        <is>
          <t>NORRBOTTENS LÄN</t>
        </is>
      </c>
      <c r="E695" t="inlineStr">
        <is>
          <t>BODEN</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44051-2022</t>
        </is>
      </c>
      <c r="B696" s="1" t="n">
        <v>44838</v>
      </c>
      <c r="C696" s="1" t="n">
        <v>45849</v>
      </c>
      <c r="D696" t="inlineStr">
        <is>
          <t>NORRBOTTENS LÄN</t>
        </is>
      </c>
      <c r="E696" t="inlineStr">
        <is>
          <t>BODEN</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44258-2022</t>
        </is>
      </c>
      <c r="B697" s="1" t="n">
        <v>44839</v>
      </c>
      <c r="C697" s="1" t="n">
        <v>45849</v>
      </c>
      <c r="D697" t="inlineStr">
        <is>
          <t>NORRBOTTENS LÄN</t>
        </is>
      </c>
      <c r="E697" t="inlineStr">
        <is>
          <t>BODEN</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44345-2022</t>
        </is>
      </c>
      <c r="B698" s="1" t="n">
        <v>44839</v>
      </c>
      <c r="C698" s="1" t="n">
        <v>45849</v>
      </c>
      <c r="D698" t="inlineStr">
        <is>
          <t>NORRBOTTENS LÄN</t>
        </is>
      </c>
      <c r="E698" t="inlineStr">
        <is>
          <t>BODEN</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44682-2022</t>
        </is>
      </c>
      <c r="B699" s="1" t="n">
        <v>44840</v>
      </c>
      <c r="C699" s="1" t="n">
        <v>45849</v>
      </c>
      <c r="D699" t="inlineStr">
        <is>
          <t>NORRBOTTENS LÄN</t>
        </is>
      </c>
      <c r="E699" t="inlineStr">
        <is>
          <t>BODEN</t>
        </is>
      </c>
      <c r="G699" t="n">
        <v>0.7</v>
      </c>
      <c r="H699" t="n">
        <v>0</v>
      </c>
      <c r="I699" t="n">
        <v>0</v>
      </c>
      <c r="J699" t="n">
        <v>0</v>
      </c>
      <c r="K699" t="n">
        <v>0</v>
      </c>
      <c r="L699" t="n">
        <v>0</v>
      </c>
      <c r="M699" t="n">
        <v>0</v>
      </c>
      <c r="N699" t="n">
        <v>0</v>
      </c>
      <c r="O699" t="n">
        <v>0</v>
      </c>
      <c r="P699" t="n">
        <v>0</v>
      </c>
      <c r="Q699" t="n">
        <v>0</v>
      </c>
      <c r="R699" s="2" t="inlineStr"/>
    </row>
    <row r="700" ht="15" customHeight="1">
      <c r="A700" t="inlineStr">
        <is>
          <t>A 44686-2022</t>
        </is>
      </c>
      <c r="B700" s="1" t="n">
        <v>44840</v>
      </c>
      <c r="C700" s="1" t="n">
        <v>45849</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44679-2022</t>
        </is>
      </c>
      <c r="B701" s="1" t="n">
        <v>44840</v>
      </c>
      <c r="C701" s="1" t="n">
        <v>45849</v>
      </c>
      <c r="D701" t="inlineStr">
        <is>
          <t>NORRBOTTENS LÄN</t>
        </is>
      </c>
      <c r="E701" t="inlineStr">
        <is>
          <t>BODEN</t>
        </is>
      </c>
      <c r="G701" t="n">
        <v>4.4</v>
      </c>
      <c r="H701" t="n">
        <v>0</v>
      </c>
      <c r="I701" t="n">
        <v>0</v>
      </c>
      <c r="J701" t="n">
        <v>0</v>
      </c>
      <c r="K701" t="n">
        <v>0</v>
      </c>
      <c r="L701" t="n">
        <v>0</v>
      </c>
      <c r="M701" t="n">
        <v>0</v>
      </c>
      <c r="N701" t="n">
        <v>0</v>
      </c>
      <c r="O701" t="n">
        <v>0</v>
      </c>
      <c r="P701" t="n">
        <v>0</v>
      </c>
      <c r="Q701" t="n">
        <v>0</v>
      </c>
      <c r="R701" s="2" t="inlineStr"/>
    </row>
    <row r="702" ht="15" customHeight="1">
      <c r="A702" t="inlineStr">
        <is>
          <t>A 45035-2022</t>
        </is>
      </c>
      <c r="B702" s="1" t="n">
        <v>44841</v>
      </c>
      <c r="C702" s="1" t="n">
        <v>45849</v>
      </c>
      <c r="D702" t="inlineStr">
        <is>
          <t>NORRBOTTENS LÄN</t>
        </is>
      </c>
      <c r="E702" t="inlineStr">
        <is>
          <t>BODEN</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45164-2022</t>
        </is>
      </c>
      <c r="B703" s="1" t="n">
        <v>44844</v>
      </c>
      <c r="C703" s="1" t="n">
        <v>45849</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45176-2022</t>
        </is>
      </c>
      <c r="B704" s="1" t="n">
        <v>44844</v>
      </c>
      <c r="C704" s="1" t="n">
        <v>45849</v>
      </c>
      <c r="D704" t="inlineStr">
        <is>
          <t>NORRBOTTENS LÄN</t>
        </is>
      </c>
      <c r="E704" t="inlineStr">
        <is>
          <t>BODEN</t>
        </is>
      </c>
      <c r="G704" t="n">
        <v>9.5</v>
      </c>
      <c r="H704" t="n">
        <v>0</v>
      </c>
      <c r="I704" t="n">
        <v>0</v>
      </c>
      <c r="J704" t="n">
        <v>0</v>
      </c>
      <c r="K704" t="n">
        <v>0</v>
      </c>
      <c r="L704" t="n">
        <v>0</v>
      </c>
      <c r="M704" t="n">
        <v>0</v>
      </c>
      <c r="N704" t="n">
        <v>0</v>
      </c>
      <c r="O704" t="n">
        <v>0</v>
      </c>
      <c r="P704" t="n">
        <v>0</v>
      </c>
      <c r="Q704" t="n">
        <v>0</v>
      </c>
      <c r="R704" s="2" t="inlineStr"/>
    </row>
    <row r="705" ht="15" customHeight="1">
      <c r="A705" t="inlineStr">
        <is>
          <t>A 46564-2022</t>
        </is>
      </c>
      <c r="B705" s="1" t="n">
        <v>44847</v>
      </c>
      <c r="C705" s="1" t="n">
        <v>45849</v>
      </c>
      <c r="D705" t="inlineStr">
        <is>
          <t>NORRBOTTENS LÄN</t>
        </is>
      </c>
      <c r="E705" t="inlineStr">
        <is>
          <t>BODEN</t>
        </is>
      </c>
      <c r="G705" t="n">
        <v>28</v>
      </c>
      <c r="H705" t="n">
        <v>0</v>
      </c>
      <c r="I705" t="n">
        <v>0</v>
      </c>
      <c r="J705" t="n">
        <v>0</v>
      </c>
      <c r="K705" t="n">
        <v>0</v>
      </c>
      <c r="L705" t="n">
        <v>0</v>
      </c>
      <c r="M705" t="n">
        <v>0</v>
      </c>
      <c r="N705" t="n">
        <v>0</v>
      </c>
      <c r="O705" t="n">
        <v>0</v>
      </c>
      <c r="P705" t="n">
        <v>0</v>
      </c>
      <c r="Q705" t="n">
        <v>0</v>
      </c>
      <c r="R705" s="2" t="inlineStr"/>
    </row>
    <row r="706" ht="15" customHeight="1">
      <c r="A706" t="inlineStr">
        <is>
          <t>A 46594-2022</t>
        </is>
      </c>
      <c r="B706" s="1" t="n">
        <v>44848</v>
      </c>
      <c r="C706" s="1" t="n">
        <v>45849</v>
      </c>
      <c r="D706" t="inlineStr">
        <is>
          <t>NORRBOTTENS LÄN</t>
        </is>
      </c>
      <c r="E706" t="inlineStr">
        <is>
          <t>BODEN</t>
        </is>
      </c>
      <c r="G706" t="n">
        <v>4.2</v>
      </c>
      <c r="H706" t="n">
        <v>0</v>
      </c>
      <c r="I706" t="n">
        <v>0</v>
      </c>
      <c r="J706" t="n">
        <v>0</v>
      </c>
      <c r="K706" t="n">
        <v>0</v>
      </c>
      <c r="L706" t="n">
        <v>0</v>
      </c>
      <c r="M706" t="n">
        <v>0</v>
      </c>
      <c r="N706" t="n">
        <v>0</v>
      </c>
      <c r="O706" t="n">
        <v>0</v>
      </c>
      <c r="P706" t="n">
        <v>0</v>
      </c>
      <c r="Q706" t="n">
        <v>0</v>
      </c>
      <c r="R706" s="2" t="inlineStr"/>
    </row>
    <row r="707" ht="15" customHeight="1">
      <c r="A707" t="inlineStr">
        <is>
          <t>A 47277-2022</t>
        </is>
      </c>
      <c r="B707" s="1" t="n">
        <v>44852</v>
      </c>
      <c r="C707" s="1" t="n">
        <v>45849</v>
      </c>
      <c r="D707" t="inlineStr">
        <is>
          <t>NORRBOTTENS LÄN</t>
        </is>
      </c>
      <c r="E707" t="inlineStr">
        <is>
          <t>BODEN</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47258-2022</t>
        </is>
      </c>
      <c r="B708" s="1" t="n">
        <v>44853</v>
      </c>
      <c r="C708" s="1" t="n">
        <v>45849</v>
      </c>
      <c r="D708" t="inlineStr">
        <is>
          <t>NORRBOTTENS LÄN</t>
        </is>
      </c>
      <c r="E708" t="inlineStr">
        <is>
          <t>BODEN</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47585-2022</t>
        </is>
      </c>
      <c r="B709" s="1" t="n">
        <v>44854</v>
      </c>
      <c r="C709" s="1" t="n">
        <v>45849</v>
      </c>
      <c r="D709" t="inlineStr">
        <is>
          <t>NORRBOTTENS LÄN</t>
        </is>
      </c>
      <c r="E709" t="inlineStr">
        <is>
          <t>BODEN</t>
        </is>
      </c>
      <c r="F709" t="inlineStr">
        <is>
          <t>SCA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47782-2022</t>
        </is>
      </c>
      <c r="B710" s="1" t="n">
        <v>44854</v>
      </c>
      <c r="C710" s="1" t="n">
        <v>45849</v>
      </c>
      <c r="D710" t="inlineStr">
        <is>
          <t>NORRBOTTENS LÄN</t>
        </is>
      </c>
      <c r="E710" t="inlineStr">
        <is>
          <t>BODEN</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48107-2022</t>
        </is>
      </c>
      <c r="B711" s="1" t="n">
        <v>44856</v>
      </c>
      <c r="C711" s="1" t="n">
        <v>45849</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48562-2022</t>
        </is>
      </c>
      <c r="B712" s="1" t="n">
        <v>44859</v>
      </c>
      <c r="C712" s="1" t="n">
        <v>45849</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48950-2022</t>
        </is>
      </c>
      <c r="B713" s="1" t="n">
        <v>44860</v>
      </c>
      <c r="C713" s="1" t="n">
        <v>45849</v>
      </c>
      <c r="D713" t="inlineStr">
        <is>
          <t>NORRBOTTENS LÄN</t>
        </is>
      </c>
      <c r="E713" t="inlineStr">
        <is>
          <t>BODEN</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49545-2022</t>
        </is>
      </c>
      <c r="B714" s="1" t="n">
        <v>44862</v>
      </c>
      <c r="C714" s="1" t="n">
        <v>45849</v>
      </c>
      <c r="D714" t="inlineStr">
        <is>
          <t>NORRBOTTENS LÄN</t>
        </is>
      </c>
      <c r="E714" t="inlineStr">
        <is>
          <t>BODEN</t>
        </is>
      </c>
      <c r="F714" t="inlineStr">
        <is>
          <t>SCA</t>
        </is>
      </c>
      <c r="G714" t="n">
        <v>6.6</v>
      </c>
      <c r="H714" t="n">
        <v>0</v>
      </c>
      <c r="I714" t="n">
        <v>0</v>
      </c>
      <c r="J714" t="n">
        <v>0</v>
      </c>
      <c r="K714" t="n">
        <v>0</v>
      </c>
      <c r="L714" t="n">
        <v>0</v>
      </c>
      <c r="M714" t="n">
        <v>0</v>
      </c>
      <c r="N714" t="n">
        <v>0</v>
      </c>
      <c r="O714" t="n">
        <v>0</v>
      </c>
      <c r="P714" t="n">
        <v>0</v>
      </c>
      <c r="Q714" t="n">
        <v>0</v>
      </c>
      <c r="R714" s="2" t="inlineStr"/>
    </row>
    <row r="715" ht="15" customHeight="1">
      <c r="A715" t="inlineStr">
        <is>
          <t>A 49761-2022</t>
        </is>
      </c>
      <c r="B715" s="1" t="n">
        <v>44862</v>
      </c>
      <c r="C715" s="1" t="n">
        <v>45849</v>
      </c>
      <c r="D715" t="inlineStr">
        <is>
          <t>NORRBOTTENS LÄN</t>
        </is>
      </c>
      <c r="E715" t="inlineStr">
        <is>
          <t>BODEN</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49698-2022</t>
        </is>
      </c>
      <c r="B716" s="1" t="n">
        <v>44862</v>
      </c>
      <c r="C716" s="1" t="n">
        <v>45849</v>
      </c>
      <c r="D716" t="inlineStr">
        <is>
          <t>NORRBOTTENS LÄN</t>
        </is>
      </c>
      <c r="E716" t="inlineStr">
        <is>
          <t>BODEN</t>
        </is>
      </c>
      <c r="F716" t="inlineStr">
        <is>
          <t>Sveaskog</t>
        </is>
      </c>
      <c r="G716" t="n">
        <v>9.5</v>
      </c>
      <c r="H716" t="n">
        <v>0</v>
      </c>
      <c r="I716" t="n">
        <v>0</v>
      </c>
      <c r="J716" t="n">
        <v>0</v>
      </c>
      <c r="K716" t="n">
        <v>0</v>
      </c>
      <c r="L716" t="n">
        <v>0</v>
      </c>
      <c r="M716" t="n">
        <v>0</v>
      </c>
      <c r="N716" t="n">
        <v>0</v>
      </c>
      <c r="O716" t="n">
        <v>0</v>
      </c>
      <c r="P716" t="n">
        <v>0</v>
      </c>
      <c r="Q716" t="n">
        <v>0</v>
      </c>
      <c r="R716" s="2" t="inlineStr"/>
    </row>
    <row r="717" ht="15" customHeight="1">
      <c r="A717" t="inlineStr">
        <is>
          <t>A 49806-2022</t>
        </is>
      </c>
      <c r="B717" s="1" t="n">
        <v>44862</v>
      </c>
      <c r="C717" s="1" t="n">
        <v>45849</v>
      </c>
      <c r="D717" t="inlineStr">
        <is>
          <t>NORRBOTTENS LÄN</t>
        </is>
      </c>
      <c r="E717" t="inlineStr">
        <is>
          <t>BODEN</t>
        </is>
      </c>
      <c r="G717" t="n">
        <v>7.9</v>
      </c>
      <c r="H717" t="n">
        <v>0</v>
      </c>
      <c r="I717" t="n">
        <v>0</v>
      </c>
      <c r="J717" t="n">
        <v>0</v>
      </c>
      <c r="K717" t="n">
        <v>0</v>
      </c>
      <c r="L717" t="n">
        <v>0</v>
      </c>
      <c r="M717" t="n">
        <v>0</v>
      </c>
      <c r="N717" t="n">
        <v>0</v>
      </c>
      <c r="O717" t="n">
        <v>0</v>
      </c>
      <c r="P717" t="n">
        <v>0</v>
      </c>
      <c r="Q717" t="n">
        <v>0</v>
      </c>
      <c r="R717" s="2" t="inlineStr"/>
    </row>
    <row r="718" ht="15" customHeight="1">
      <c r="A718" t="inlineStr">
        <is>
          <t>A 50322-2022</t>
        </is>
      </c>
      <c r="B718" s="1" t="n">
        <v>44865</v>
      </c>
      <c r="C718" s="1" t="n">
        <v>45849</v>
      </c>
      <c r="D718" t="inlineStr">
        <is>
          <t>NORRBOTTENS LÄN</t>
        </is>
      </c>
      <c r="E718" t="inlineStr">
        <is>
          <t>BODEN</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50760-2022</t>
        </is>
      </c>
      <c r="B719" s="1" t="n">
        <v>44867</v>
      </c>
      <c r="C719" s="1" t="n">
        <v>45849</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50757-2022</t>
        </is>
      </c>
      <c r="B720" s="1" t="n">
        <v>44867</v>
      </c>
      <c r="C720" s="1" t="n">
        <v>45849</v>
      </c>
      <c r="D720" t="inlineStr">
        <is>
          <t>NORRBOTTENS LÄN</t>
        </is>
      </c>
      <c r="E720" t="inlineStr">
        <is>
          <t>BODEN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50752-2022</t>
        </is>
      </c>
      <c r="B721" s="1" t="n">
        <v>44867</v>
      </c>
      <c r="C721" s="1" t="n">
        <v>45849</v>
      </c>
      <c r="D721" t="inlineStr">
        <is>
          <t>NORRBOTTENS LÄN</t>
        </is>
      </c>
      <c r="E721" t="inlineStr">
        <is>
          <t>BODEN</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51029-2022</t>
        </is>
      </c>
      <c r="B722" s="1" t="n">
        <v>44868</v>
      </c>
      <c r="C722" s="1" t="n">
        <v>45849</v>
      </c>
      <c r="D722" t="inlineStr">
        <is>
          <t>NORRBOTTENS LÄN</t>
        </is>
      </c>
      <c r="E722" t="inlineStr">
        <is>
          <t>BODEN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51192-2022</t>
        </is>
      </c>
      <c r="B723" s="1" t="n">
        <v>44868</v>
      </c>
      <c r="C723" s="1" t="n">
        <v>45849</v>
      </c>
      <c r="D723" t="inlineStr">
        <is>
          <t>NORRBOTTENS LÄN</t>
        </is>
      </c>
      <c r="E723" t="inlineStr">
        <is>
          <t>BODEN</t>
        </is>
      </c>
      <c r="F723" t="inlineStr">
        <is>
          <t>Sveaskog</t>
        </is>
      </c>
      <c r="G723" t="n">
        <v>5.7</v>
      </c>
      <c r="H723" t="n">
        <v>0</v>
      </c>
      <c r="I723" t="n">
        <v>0</v>
      </c>
      <c r="J723" t="n">
        <v>0</v>
      </c>
      <c r="K723" t="n">
        <v>0</v>
      </c>
      <c r="L723" t="n">
        <v>0</v>
      </c>
      <c r="M723" t="n">
        <v>0</v>
      </c>
      <c r="N723" t="n">
        <v>0</v>
      </c>
      <c r="O723" t="n">
        <v>0</v>
      </c>
      <c r="P723" t="n">
        <v>0</v>
      </c>
      <c r="Q723" t="n">
        <v>0</v>
      </c>
      <c r="R723" s="2" t="inlineStr"/>
    </row>
    <row r="724" ht="15" customHeight="1">
      <c r="A724" t="inlineStr">
        <is>
          <t>A 52118-2022</t>
        </is>
      </c>
      <c r="B724" s="1" t="n">
        <v>44868</v>
      </c>
      <c r="C724" s="1" t="n">
        <v>45849</v>
      </c>
      <c r="D724" t="inlineStr">
        <is>
          <t>NORRBOTTENS LÄN</t>
        </is>
      </c>
      <c r="E724" t="inlineStr">
        <is>
          <t>BODEN</t>
        </is>
      </c>
      <c r="G724" t="n">
        <v>2.4</v>
      </c>
      <c r="H724" t="n">
        <v>0</v>
      </c>
      <c r="I724" t="n">
        <v>0</v>
      </c>
      <c r="J724" t="n">
        <v>0</v>
      </c>
      <c r="K724" t="n">
        <v>0</v>
      </c>
      <c r="L724" t="n">
        <v>0</v>
      </c>
      <c r="M724" t="n">
        <v>0</v>
      </c>
      <c r="N724" t="n">
        <v>0</v>
      </c>
      <c r="O724" t="n">
        <v>0</v>
      </c>
      <c r="P724" t="n">
        <v>0</v>
      </c>
      <c r="Q724" t="n">
        <v>0</v>
      </c>
      <c r="R724" s="2" t="inlineStr"/>
    </row>
    <row r="725" ht="15" customHeight="1">
      <c r="A725" t="inlineStr">
        <is>
          <t>A 52049-2022</t>
        </is>
      </c>
      <c r="B725" s="1" t="n">
        <v>44873</v>
      </c>
      <c r="C725" s="1" t="n">
        <v>45849</v>
      </c>
      <c r="D725" t="inlineStr">
        <is>
          <t>NORRBOTTENS LÄN</t>
        </is>
      </c>
      <c r="E725" t="inlineStr">
        <is>
          <t>BODEN</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52619-2022</t>
        </is>
      </c>
      <c r="B726" s="1" t="n">
        <v>44874</v>
      </c>
      <c r="C726" s="1" t="n">
        <v>45849</v>
      </c>
      <c r="D726" t="inlineStr">
        <is>
          <t>NORRBOTTENS LÄN</t>
        </is>
      </c>
      <c r="E726" t="inlineStr">
        <is>
          <t>BODEN</t>
        </is>
      </c>
      <c r="G726" t="n">
        <v>4.8</v>
      </c>
      <c r="H726" t="n">
        <v>0</v>
      </c>
      <c r="I726" t="n">
        <v>0</v>
      </c>
      <c r="J726" t="n">
        <v>0</v>
      </c>
      <c r="K726" t="n">
        <v>0</v>
      </c>
      <c r="L726" t="n">
        <v>0</v>
      </c>
      <c r="M726" t="n">
        <v>0</v>
      </c>
      <c r="N726" t="n">
        <v>0</v>
      </c>
      <c r="O726" t="n">
        <v>0</v>
      </c>
      <c r="P726" t="n">
        <v>0</v>
      </c>
      <c r="Q726" t="n">
        <v>0</v>
      </c>
      <c r="R726" s="2" t="inlineStr"/>
    </row>
    <row r="727" ht="15" customHeight="1">
      <c r="A727" t="inlineStr">
        <is>
          <t>A 53007-2022</t>
        </is>
      </c>
      <c r="B727" s="1" t="n">
        <v>44875</v>
      </c>
      <c r="C727" s="1" t="n">
        <v>45849</v>
      </c>
      <c r="D727" t="inlineStr">
        <is>
          <t>NORRBOTTENS LÄN</t>
        </is>
      </c>
      <c r="E727" t="inlineStr">
        <is>
          <t>BODEN</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53006-2022</t>
        </is>
      </c>
      <c r="B728" s="1" t="n">
        <v>44875</v>
      </c>
      <c r="C728" s="1" t="n">
        <v>45849</v>
      </c>
      <c r="D728" t="inlineStr">
        <is>
          <t>NORRBOTTENS LÄN</t>
        </is>
      </c>
      <c r="E728" t="inlineStr">
        <is>
          <t>BODEN</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53840-2022</t>
        </is>
      </c>
      <c r="B729" s="1" t="n">
        <v>44880</v>
      </c>
      <c r="C729" s="1" t="n">
        <v>45849</v>
      </c>
      <c r="D729" t="inlineStr">
        <is>
          <t>NORRBOTTENS LÄN</t>
        </is>
      </c>
      <c r="E729" t="inlineStr">
        <is>
          <t>BODEN</t>
        </is>
      </c>
      <c r="G729" t="n">
        <v>2</v>
      </c>
      <c r="H729" t="n">
        <v>0</v>
      </c>
      <c r="I729" t="n">
        <v>0</v>
      </c>
      <c r="J729" t="n">
        <v>0</v>
      </c>
      <c r="K729" t="n">
        <v>0</v>
      </c>
      <c r="L729" t="n">
        <v>0</v>
      </c>
      <c r="M729" t="n">
        <v>0</v>
      </c>
      <c r="N729" t="n">
        <v>0</v>
      </c>
      <c r="O729" t="n">
        <v>0</v>
      </c>
      <c r="P729" t="n">
        <v>0</v>
      </c>
      <c r="Q729" t="n">
        <v>0</v>
      </c>
      <c r="R729" s="2" t="inlineStr"/>
    </row>
    <row r="730" ht="15" customHeight="1">
      <c r="A730" t="inlineStr">
        <is>
          <t>A 54104-2022</t>
        </is>
      </c>
      <c r="B730" s="1" t="n">
        <v>44881</v>
      </c>
      <c r="C730" s="1" t="n">
        <v>45849</v>
      </c>
      <c r="D730" t="inlineStr">
        <is>
          <t>NORRBOTTENS LÄN</t>
        </is>
      </c>
      <c r="E730" t="inlineStr">
        <is>
          <t>BODEN</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54237-2022</t>
        </is>
      </c>
      <c r="B731" s="1" t="n">
        <v>44881</v>
      </c>
      <c r="C731" s="1" t="n">
        <v>45849</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54236-2022</t>
        </is>
      </c>
      <c r="B732" s="1" t="n">
        <v>44881</v>
      </c>
      <c r="C732" s="1" t="n">
        <v>45849</v>
      </c>
      <c r="D732" t="inlineStr">
        <is>
          <t>NORRBOTTENS LÄN</t>
        </is>
      </c>
      <c r="E732" t="inlineStr">
        <is>
          <t>BODEN</t>
        </is>
      </c>
      <c r="G732" t="n">
        <v>1.1</v>
      </c>
      <c r="H732" t="n">
        <v>0</v>
      </c>
      <c r="I732" t="n">
        <v>0</v>
      </c>
      <c r="J732" t="n">
        <v>0</v>
      </c>
      <c r="K732" t="n">
        <v>0</v>
      </c>
      <c r="L732" t="n">
        <v>0</v>
      </c>
      <c r="M732" t="n">
        <v>0</v>
      </c>
      <c r="N732" t="n">
        <v>0</v>
      </c>
      <c r="O732" t="n">
        <v>0</v>
      </c>
      <c r="P732" t="n">
        <v>0</v>
      </c>
      <c r="Q732" t="n">
        <v>0</v>
      </c>
      <c r="R732" s="2" t="inlineStr"/>
    </row>
    <row r="733" ht="15" customHeight="1">
      <c r="A733" t="inlineStr">
        <is>
          <t>A 54240-2022</t>
        </is>
      </c>
      <c r="B733" s="1" t="n">
        <v>44881</v>
      </c>
      <c r="C733" s="1" t="n">
        <v>45849</v>
      </c>
      <c r="D733" t="inlineStr">
        <is>
          <t>NORRBOTTENS LÄN</t>
        </is>
      </c>
      <c r="E733" t="inlineStr">
        <is>
          <t>BODEN</t>
        </is>
      </c>
      <c r="G733" t="n">
        <v>1.1</v>
      </c>
      <c r="H733" t="n">
        <v>0</v>
      </c>
      <c r="I733" t="n">
        <v>0</v>
      </c>
      <c r="J733" t="n">
        <v>0</v>
      </c>
      <c r="K733" t="n">
        <v>0</v>
      </c>
      <c r="L733" t="n">
        <v>0</v>
      </c>
      <c r="M733" t="n">
        <v>0</v>
      </c>
      <c r="N733" t="n">
        <v>0</v>
      </c>
      <c r="O733" t="n">
        <v>0</v>
      </c>
      <c r="P733" t="n">
        <v>0</v>
      </c>
      <c r="Q733" t="n">
        <v>0</v>
      </c>
      <c r="R733" s="2" t="inlineStr"/>
    </row>
    <row r="734" ht="15" customHeight="1">
      <c r="A734" t="inlineStr">
        <is>
          <t>A 54421-2022</t>
        </is>
      </c>
      <c r="B734" s="1" t="n">
        <v>44882</v>
      </c>
      <c r="C734" s="1" t="n">
        <v>45849</v>
      </c>
      <c r="D734" t="inlineStr">
        <is>
          <t>NORRBOTTENS LÄN</t>
        </is>
      </c>
      <c r="E734" t="inlineStr">
        <is>
          <t>BODEN</t>
        </is>
      </c>
      <c r="G734" t="n">
        <v>12.3</v>
      </c>
      <c r="H734" t="n">
        <v>0</v>
      </c>
      <c r="I734" t="n">
        <v>0</v>
      </c>
      <c r="J734" t="n">
        <v>0</v>
      </c>
      <c r="K734" t="n">
        <v>0</v>
      </c>
      <c r="L734" t="n">
        <v>0</v>
      </c>
      <c r="M734" t="n">
        <v>0</v>
      </c>
      <c r="N734" t="n">
        <v>0</v>
      </c>
      <c r="O734" t="n">
        <v>0</v>
      </c>
      <c r="P734" t="n">
        <v>0</v>
      </c>
      <c r="Q734" t="n">
        <v>0</v>
      </c>
      <c r="R734" s="2" t="inlineStr"/>
    </row>
    <row r="735" ht="15" customHeight="1">
      <c r="A735" t="inlineStr">
        <is>
          <t>A 54587-2022</t>
        </is>
      </c>
      <c r="B735" s="1" t="n">
        <v>44883</v>
      </c>
      <c r="C735" s="1" t="n">
        <v>45849</v>
      </c>
      <c r="D735" t="inlineStr">
        <is>
          <t>NORRBOTTENS LÄN</t>
        </is>
      </c>
      <c r="E735" t="inlineStr">
        <is>
          <t>BODEN</t>
        </is>
      </c>
      <c r="F735" t="inlineStr">
        <is>
          <t>Sveaskog</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54592-2022</t>
        </is>
      </c>
      <c r="B736" s="1" t="n">
        <v>44883</v>
      </c>
      <c r="C736" s="1" t="n">
        <v>45849</v>
      </c>
      <c r="D736" t="inlineStr">
        <is>
          <t>NORRBOTTENS LÄN</t>
        </is>
      </c>
      <c r="E736" t="inlineStr">
        <is>
          <t>BODEN</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54590-2022</t>
        </is>
      </c>
      <c r="B737" s="1" t="n">
        <v>44883</v>
      </c>
      <c r="C737" s="1" t="n">
        <v>45849</v>
      </c>
      <c r="D737" t="inlineStr">
        <is>
          <t>NORRBOTTENS LÄN</t>
        </is>
      </c>
      <c r="E737" t="inlineStr">
        <is>
          <t>BODEN</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55536-2022</t>
        </is>
      </c>
      <c r="B738" s="1" t="n">
        <v>44887</v>
      </c>
      <c r="C738" s="1" t="n">
        <v>45849</v>
      </c>
      <c r="D738" t="inlineStr">
        <is>
          <t>NORRBOTTENS LÄN</t>
        </is>
      </c>
      <c r="E738" t="inlineStr">
        <is>
          <t>BODEN</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55541-2022</t>
        </is>
      </c>
      <c r="B739" s="1" t="n">
        <v>44887</v>
      </c>
      <c r="C739" s="1" t="n">
        <v>45849</v>
      </c>
      <c r="D739" t="inlineStr">
        <is>
          <t>NORRBOTTENS LÄN</t>
        </is>
      </c>
      <c r="E739" t="inlineStr">
        <is>
          <t>BODEN</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55539-2022</t>
        </is>
      </c>
      <c r="B740" s="1" t="n">
        <v>44887</v>
      </c>
      <c r="C740" s="1" t="n">
        <v>45849</v>
      </c>
      <c r="D740" t="inlineStr">
        <is>
          <t>NORRBOTTENS LÄN</t>
        </is>
      </c>
      <c r="E740" t="inlineStr">
        <is>
          <t>BODEN</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55534-2022</t>
        </is>
      </c>
      <c r="B741" s="1" t="n">
        <v>44887</v>
      </c>
      <c r="C741" s="1" t="n">
        <v>45849</v>
      </c>
      <c r="D741" t="inlineStr">
        <is>
          <t>NORRBOTTENS LÄN</t>
        </is>
      </c>
      <c r="E741" t="inlineStr">
        <is>
          <t>BODEN</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45849</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55538-2022</t>
        </is>
      </c>
      <c r="B743" s="1" t="n">
        <v>44887</v>
      </c>
      <c r="C743" s="1" t="n">
        <v>45849</v>
      </c>
      <c r="D743" t="inlineStr">
        <is>
          <t>NORRBOTTENS LÄN</t>
        </is>
      </c>
      <c r="E743" t="inlineStr">
        <is>
          <t>BODEN</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55979-2022</t>
        </is>
      </c>
      <c r="B744" s="1" t="n">
        <v>44889</v>
      </c>
      <c r="C744" s="1" t="n">
        <v>45849</v>
      </c>
      <c r="D744" t="inlineStr">
        <is>
          <t>NORRBOTTENS LÄN</t>
        </is>
      </c>
      <c r="E744" t="inlineStr">
        <is>
          <t>BODEN</t>
        </is>
      </c>
      <c r="F744" t="inlineStr">
        <is>
          <t>Sveaskog</t>
        </is>
      </c>
      <c r="G744" t="n">
        <v>7.2</v>
      </c>
      <c r="H744" t="n">
        <v>0</v>
      </c>
      <c r="I744" t="n">
        <v>0</v>
      </c>
      <c r="J744" t="n">
        <v>0</v>
      </c>
      <c r="K744" t="n">
        <v>0</v>
      </c>
      <c r="L744" t="n">
        <v>0</v>
      </c>
      <c r="M744" t="n">
        <v>0</v>
      </c>
      <c r="N744" t="n">
        <v>0</v>
      </c>
      <c r="O744" t="n">
        <v>0</v>
      </c>
      <c r="P744" t="n">
        <v>0</v>
      </c>
      <c r="Q744" t="n">
        <v>0</v>
      </c>
      <c r="R744" s="2" t="inlineStr"/>
    </row>
    <row r="745" ht="15" customHeight="1">
      <c r="A745" t="inlineStr">
        <is>
          <t>A 55984-2022</t>
        </is>
      </c>
      <c r="B745" s="1" t="n">
        <v>44889</v>
      </c>
      <c r="C745" s="1" t="n">
        <v>45849</v>
      </c>
      <c r="D745" t="inlineStr">
        <is>
          <t>NORRBOTTENS LÄN</t>
        </is>
      </c>
      <c r="E745" t="inlineStr">
        <is>
          <t>BODEN</t>
        </is>
      </c>
      <c r="F745" t="inlineStr">
        <is>
          <t>Sveaskog</t>
        </is>
      </c>
      <c r="G745" t="n">
        <v>15.3</v>
      </c>
      <c r="H745" t="n">
        <v>0</v>
      </c>
      <c r="I745" t="n">
        <v>0</v>
      </c>
      <c r="J745" t="n">
        <v>0</v>
      </c>
      <c r="K745" t="n">
        <v>0</v>
      </c>
      <c r="L745" t="n">
        <v>0</v>
      </c>
      <c r="M745" t="n">
        <v>0</v>
      </c>
      <c r="N745" t="n">
        <v>0</v>
      </c>
      <c r="O745" t="n">
        <v>0</v>
      </c>
      <c r="P745" t="n">
        <v>0</v>
      </c>
      <c r="Q745" t="n">
        <v>0</v>
      </c>
      <c r="R745" s="2" t="inlineStr"/>
    </row>
    <row r="746" ht="15" customHeight="1">
      <c r="A746" t="inlineStr">
        <is>
          <t>A 56163-2022</t>
        </is>
      </c>
      <c r="B746" s="1" t="n">
        <v>44889</v>
      </c>
      <c r="C746" s="1" t="n">
        <v>45849</v>
      </c>
      <c r="D746" t="inlineStr">
        <is>
          <t>NORRBOTTENS LÄN</t>
        </is>
      </c>
      <c r="E746" t="inlineStr">
        <is>
          <t>BODEN</t>
        </is>
      </c>
      <c r="G746" t="n">
        <v>6.1</v>
      </c>
      <c r="H746" t="n">
        <v>0</v>
      </c>
      <c r="I746" t="n">
        <v>0</v>
      </c>
      <c r="J746" t="n">
        <v>0</v>
      </c>
      <c r="K746" t="n">
        <v>0</v>
      </c>
      <c r="L746" t="n">
        <v>0</v>
      </c>
      <c r="M746" t="n">
        <v>0</v>
      </c>
      <c r="N746" t="n">
        <v>0</v>
      </c>
      <c r="O746" t="n">
        <v>0</v>
      </c>
      <c r="P746" t="n">
        <v>0</v>
      </c>
      <c r="Q746" t="n">
        <v>0</v>
      </c>
      <c r="R746" s="2" t="inlineStr"/>
    </row>
    <row r="747" ht="15" customHeight="1">
      <c r="A747" t="inlineStr">
        <is>
          <t>A 56094-2022</t>
        </is>
      </c>
      <c r="B747" s="1" t="n">
        <v>44889</v>
      </c>
      <c r="C747" s="1" t="n">
        <v>45849</v>
      </c>
      <c r="D747" t="inlineStr">
        <is>
          <t>NORRBOTTENS LÄN</t>
        </is>
      </c>
      <c r="E747" t="inlineStr">
        <is>
          <t>BODEN</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57739-2022</t>
        </is>
      </c>
      <c r="B748" s="1" t="n">
        <v>44897</v>
      </c>
      <c r="C748" s="1" t="n">
        <v>45849</v>
      </c>
      <c r="D748" t="inlineStr">
        <is>
          <t>NORRBOTTENS LÄN</t>
        </is>
      </c>
      <c r="E748" t="inlineStr">
        <is>
          <t>BODEN</t>
        </is>
      </c>
      <c r="G748" t="n">
        <v>4.3</v>
      </c>
      <c r="H748" t="n">
        <v>0</v>
      </c>
      <c r="I748" t="n">
        <v>0</v>
      </c>
      <c r="J748" t="n">
        <v>0</v>
      </c>
      <c r="K748" t="n">
        <v>0</v>
      </c>
      <c r="L748" t="n">
        <v>0</v>
      </c>
      <c r="M748" t="n">
        <v>0</v>
      </c>
      <c r="N748" t="n">
        <v>0</v>
      </c>
      <c r="O748" t="n">
        <v>0</v>
      </c>
      <c r="P748" t="n">
        <v>0</v>
      </c>
      <c r="Q748" t="n">
        <v>0</v>
      </c>
      <c r="R748" s="2" t="inlineStr"/>
    </row>
    <row r="749" ht="15" customHeight="1">
      <c r="A749" t="inlineStr">
        <is>
          <t>A 57813-2022</t>
        </is>
      </c>
      <c r="B749" s="1" t="n">
        <v>44897</v>
      </c>
      <c r="C749" s="1" t="n">
        <v>45849</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57897-2022</t>
        </is>
      </c>
      <c r="B750" s="1" t="n">
        <v>44900</v>
      </c>
      <c r="C750" s="1" t="n">
        <v>45849</v>
      </c>
      <c r="D750" t="inlineStr">
        <is>
          <t>NORRBOTTENS LÄN</t>
        </is>
      </c>
      <c r="E750" t="inlineStr">
        <is>
          <t>BODEN</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58062-2022</t>
        </is>
      </c>
      <c r="B751" s="1" t="n">
        <v>44900</v>
      </c>
      <c r="C751" s="1" t="n">
        <v>45849</v>
      </c>
      <c r="D751" t="inlineStr">
        <is>
          <t>NORRBOTTENS LÄN</t>
        </is>
      </c>
      <c r="E751" t="inlineStr">
        <is>
          <t>BODEN</t>
        </is>
      </c>
      <c r="G751" t="n">
        <v>5.2</v>
      </c>
      <c r="H751" t="n">
        <v>0</v>
      </c>
      <c r="I751" t="n">
        <v>0</v>
      </c>
      <c r="J751" t="n">
        <v>0</v>
      </c>
      <c r="K751" t="n">
        <v>0</v>
      </c>
      <c r="L751" t="n">
        <v>0</v>
      </c>
      <c r="M751" t="n">
        <v>0</v>
      </c>
      <c r="N751" t="n">
        <v>0</v>
      </c>
      <c r="O751" t="n">
        <v>0</v>
      </c>
      <c r="P751" t="n">
        <v>0</v>
      </c>
      <c r="Q751" t="n">
        <v>0</v>
      </c>
      <c r="R751" s="2" t="inlineStr"/>
    </row>
    <row r="752" ht="15" customHeight="1">
      <c r="A752" t="inlineStr">
        <is>
          <t>A 58373-2022</t>
        </is>
      </c>
      <c r="B752" s="1" t="n">
        <v>44901</v>
      </c>
      <c r="C752" s="1" t="n">
        <v>45849</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59930-2022</t>
        </is>
      </c>
      <c r="B753" s="1" t="n">
        <v>44901</v>
      </c>
      <c r="C753" s="1" t="n">
        <v>45849</v>
      </c>
      <c r="D753" t="inlineStr">
        <is>
          <t>NORRBOTTENS LÄN</t>
        </is>
      </c>
      <c r="E753" t="inlineStr">
        <is>
          <t>BODEN</t>
        </is>
      </c>
      <c r="G753" t="n">
        <v>8.4</v>
      </c>
      <c r="H753" t="n">
        <v>0</v>
      </c>
      <c r="I753" t="n">
        <v>0</v>
      </c>
      <c r="J753" t="n">
        <v>0</v>
      </c>
      <c r="K753" t="n">
        <v>0</v>
      </c>
      <c r="L753" t="n">
        <v>0</v>
      </c>
      <c r="M753" t="n">
        <v>0</v>
      </c>
      <c r="N753" t="n">
        <v>0</v>
      </c>
      <c r="O753" t="n">
        <v>0</v>
      </c>
      <c r="P753" t="n">
        <v>0</v>
      </c>
      <c r="Q753" t="n">
        <v>0</v>
      </c>
      <c r="R753" s="2" t="inlineStr"/>
    </row>
    <row r="754" ht="15" customHeight="1">
      <c r="A754" t="inlineStr">
        <is>
          <t>A 58788-2022</t>
        </is>
      </c>
      <c r="B754" s="1" t="n">
        <v>44903</v>
      </c>
      <c r="C754" s="1" t="n">
        <v>45849</v>
      </c>
      <c r="D754" t="inlineStr">
        <is>
          <t>NORRBOTTENS LÄN</t>
        </is>
      </c>
      <c r="E754" t="inlineStr">
        <is>
          <t>BODEN</t>
        </is>
      </c>
      <c r="G754" t="n">
        <v>2.4</v>
      </c>
      <c r="H754" t="n">
        <v>0</v>
      </c>
      <c r="I754" t="n">
        <v>0</v>
      </c>
      <c r="J754" t="n">
        <v>0</v>
      </c>
      <c r="K754" t="n">
        <v>0</v>
      </c>
      <c r="L754" t="n">
        <v>0</v>
      </c>
      <c r="M754" t="n">
        <v>0</v>
      </c>
      <c r="N754" t="n">
        <v>0</v>
      </c>
      <c r="O754" t="n">
        <v>0</v>
      </c>
      <c r="P754" t="n">
        <v>0</v>
      </c>
      <c r="Q754" t="n">
        <v>0</v>
      </c>
      <c r="R754" s="2" t="inlineStr"/>
    </row>
    <row r="755" ht="15" customHeight="1">
      <c r="A755" t="inlineStr">
        <is>
          <t>A 59028-2022</t>
        </is>
      </c>
      <c r="B755" s="1" t="n">
        <v>44903</v>
      </c>
      <c r="C755" s="1" t="n">
        <v>45849</v>
      </c>
      <c r="D755" t="inlineStr">
        <is>
          <t>NORRBOTTENS LÄN</t>
        </is>
      </c>
      <c r="E755" t="inlineStr">
        <is>
          <t>BODEN</t>
        </is>
      </c>
      <c r="G755" t="n">
        <v>16.1</v>
      </c>
      <c r="H755" t="n">
        <v>0</v>
      </c>
      <c r="I755" t="n">
        <v>0</v>
      </c>
      <c r="J755" t="n">
        <v>0</v>
      </c>
      <c r="K755" t="n">
        <v>0</v>
      </c>
      <c r="L755" t="n">
        <v>0</v>
      </c>
      <c r="M755" t="n">
        <v>0</v>
      </c>
      <c r="N755" t="n">
        <v>0</v>
      </c>
      <c r="O755" t="n">
        <v>0</v>
      </c>
      <c r="P755" t="n">
        <v>0</v>
      </c>
      <c r="Q755" t="n">
        <v>0</v>
      </c>
      <c r="R755" s="2" t="inlineStr"/>
    </row>
    <row r="756" ht="15" customHeight="1">
      <c r="A756" t="inlineStr">
        <is>
          <t>A 59029-2022</t>
        </is>
      </c>
      <c r="B756" s="1" t="n">
        <v>44903</v>
      </c>
      <c r="C756" s="1" t="n">
        <v>45849</v>
      </c>
      <c r="D756" t="inlineStr">
        <is>
          <t>NORRBOTTENS LÄN</t>
        </is>
      </c>
      <c r="E756" t="inlineStr">
        <is>
          <t>BODEN</t>
        </is>
      </c>
      <c r="G756" t="n">
        <v>7.3</v>
      </c>
      <c r="H756" t="n">
        <v>0</v>
      </c>
      <c r="I756" t="n">
        <v>0</v>
      </c>
      <c r="J756" t="n">
        <v>0</v>
      </c>
      <c r="K756" t="n">
        <v>0</v>
      </c>
      <c r="L756" t="n">
        <v>0</v>
      </c>
      <c r="M756" t="n">
        <v>0</v>
      </c>
      <c r="N756" t="n">
        <v>0</v>
      </c>
      <c r="O756" t="n">
        <v>0</v>
      </c>
      <c r="P756" t="n">
        <v>0</v>
      </c>
      <c r="Q756" t="n">
        <v>0</v>
      </c>
      <c r="R756" s="2" t="inlineStr"/>
    </row>
    <row r="757" ht="15" customHeight="1">
      <c r="A757" t="inlineStr">
        <is>
          <t>A 61107-2022</t>
        </is>
      </c>
      <c r="B757" s="1" t="n">
        <v>44908</v>
      </c>
      <c r="C757" s="1" t="n">
        <v>45849</v>
      </c>
      <c r="D757" t="inlineStr">
        <is>
          <t>NORRBOTTENS LÄN</t>
        </is>
      </c>
      <c r="E757" t="inlineStr">
        <is>
          <t>BODEN</t>
        </is>
      </c>
      <c r="G757" t="n">
        <v>2.5</v>
      </c>
      <c r="H757" t="n">
        <v>0</v>
      </c>
      <c r="I757" t="n">
        <v>0</v>
      </c>
      <c r="J757" t="n">
        <v>0</v>
      </c>
      <c r="K757" t="n">
        <v>0</v>
      </c>
      <c r="L757" t="n">
        <v>0</v>
      </c>
      <c r="M757" t="n">
        <v>0</v>
      </c>
      <c r="N757" t="n">
        <v>0</v>
      </c>
      <c r="O757" t="n">
        <v>0</v>
      </c>
      <c r="P757" t="n">
        <v>0</v>
      </c>
      <c r="Q757" t="n">
        <v>0</v>
      </c>
      <c r="R757" s="2" t="inlineStr"/>
    </row>
    <row r="758" ht="15" customHeight="1">
      <c r="A758" t="inlineStr">
        <is>
          <t>A 61103-2022</t>
        </is>
      </c>
      <c r="B758" s="1" t="n">
        <v>44908</v>
      </c>
      <c r="C758" s="1" t="n">
        <v>45849</v>
      </c>
      <c r="D758" t="inlineStr">
        <is>
          <t>NORRBOTTENS LÄN</t>
        </is>
      </c>
      <c r="E758" t="inlineStr">
        <is>
          <t>BODEN</t>
        </is>
      </c>
      <c r="G758" t="n">
        <v>1.4</v>
      </c>
      <c r="H758" t="n">
        <v>0</v>
      </c>
      <c r="I758" t="n">
        <v>0</v>
      </c>
      <c r="J758" t="n">
        <v>0</v>
      </c>
      <c r="K758" t="n">
        <v>0</v>
      </c>
      <c r="L758" t="n">
        <v>0</v>
      </c>
      <c r="M758" t="n">
        <v>0</v>
      </c>
      <c r="N758" t="n">
        <v>0</v>
      </c>
      <c r="O758" t="n">
        <v>0</v>
      </c>
      <c r="P758" t="n">
        <v>0</v>
      </c>
      <c r="Q758" t="n">
        <v>0</v>
      </c>
      <c r="R758" s="2" t="inlineStr"/>
    </row>
    <row r="759" ht="15" customHeight="1">
      <c r="A759" t="inlineStr">
        <is>
          <t>A 61086-2022</t>
        </is>
      </c>
      <c r="B759" s="1" t="n">
        <v>44908</v>
      </c>
      <c r="C759" s="1" t="n">
        <v>45849</v>
      </c>
      <c r="D759" t="inlineStr">
        <is>
          <t>NORRBOTTENS LÄN</t>
        </is>
      </c>
      <c r="E759" t="inlineStr">
        <is>
          <t>BODEN</t>
        </is>
      </c>
      <c r="G759" t="n">
        <v>7.7</v>
      </c>
      <c r="H759" t="n">
        <v>0</v>
      </c>
      <c r="I759" t="n">
        <v>0</v>
      </c>
      <c r="J759" t="n">
        <v>0</v>
      </c>
      <c r="K759" t="n">
        <v>0</v>
      </c>
      <c r="L759" t="n">
        <v>0</v>
      </c>
      <c r="M759" t="n">
        <v>0</v>
      </c>
      <c r="N759" t="n">
        <v>0</v>
      </c>
      <c r="O759" t="n">
        <v>0</v>
      </c>
      <c r="P759" t="n">
        <v>0</v>
      </c>
      <c r="Q759" t="n">
        <v>0</v>
      </c>
      <c r="R759" s="2" t="inlineStr"/>
    </row>
    <row r="760" ht="15" customHeight="1">
      <c r="A760" t="inlineStr">
        <is>
          <t>A 61488-2022</t>
        </is>
      </c>
      <c r="B760" s="1" t="n">
        <v>44910</v>
      </c>
      <c r="C760" s="1" t="n">
        <v>45849</v>
      </c>
      <c r="D760" t="inlineStr">
        <is>
          <t>NORRBOTTENS LÄN</t>
        </is>
      </c>
      <c r="E760" t="inlineStr">
        <is>
          <t>BODEN</t>
        </is>
      </c>
      <c r="F760" t="inlineStr">
        <is>
          <t>Sveaskog</t>
        </is>
      </c>
      <c r="G760" t="n">
        <v>18.6</v>
      </c>
      <c r="H760" t="n">
        <v>0</v>
      </c>
      <c r="I760" t="n">
        <v>0</v>
      </c>
      <c r="J760" t="n">
        <v>0</v>
      </c>
      <c r="K760" t="n">
        <v>0</v>
      </c>
      <c r="L760" t="n">
        <v>0</v>
      </c>
      <c r="M760" t="n">
        <v>0</v>
      </c>
      <c r="N760" t="n">
        <v>0</v>
      </c>
      <c r="O760" t="n">
        <v>0</v>
      </c>
      <c r="P760" t="n">
        <v>0</v>
      </c>
      <c r="Q760" t="n">
        <v>0</v>
      </c>
      <c r="R760" s="2" t="inlineStr"/>
    </row>
    <row r="761" ht="15" customHeight="1">
      <c r="A761" t="inlineStr">
        <is>
          <t>A 60436-2022</t>
        </is>
      </c>
      <c r="B761" s="1" t="n">
        <v>44911</v>
      </c>
      <c r="C761" s="1" t="n">
        <v>45849</v>
      </c>
      <c r="D761" t="inlineStr">
        <is>
          <t>NORRBOTTENS LÄN</t>
        </is>
      </c>
      <c r="E761" t="inlineStr">
        <is>
          <t>BODEN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61725-2022</t>
        </is>
      </c>
      <c r="B762" s="1" t="n">
        <v>44911</v>
      </c>
      <c r="C762" s="1" t="n">
        <v>45849</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61708-2022</t>
        </is>
      </c>
      <c r="B763" s="1" t="n">
        <v>44911</v>
      </c>
      <c r="C763" s="1" t="n">
        <v>45849</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61857-2022</t>
        </is>
      </c>
      <c r="B764" s="1" t="n">
        <v>44911</v>
      </c>
      <c r="C764" s="1" t="n">
        <v>45849</v>
      </c>
      <c r="D764" t="inlineStr">
        <is>
          <t>NORRBOTTENS LÄN</t>
        </is>
      </c>
      <c r="E764" t="inlineStr">
        <is>
          <t>BODEN</t>
        </is>
      </c>
      <c r="G764" t="n">
        <v>1.9</v>
      </c>
      <c r="H764" t="n">
        <v>0</v>
      </c>
      <c r="I764" t="n">
        <v>0</v>
      </c>
      <c r="J764" t="n">
        <v>0</v>
      </c>
      <c r="K764" t="n">
        <v>0</v>
      </c>
      <c r="L764" t="n">
        <v>0</v>
      </c>
      <c r="M764" t="n">
        <v>0</v>
      </c>
      <c r="N764" t="n">
        <v>0</v>
      </c>
      <c r="O764" t="n">
        <v>0</v>
      </c>
      <c r="P764" t="n">
        <v>0</v>
      </c>
      <c r="Q764" t="n">
        <v>0</v>
      </c>
      <c r="R764" s="2" t="inlineStr"/>
    </row>
    <row r="765" ht="15" customHeight="1">
      <c r="A765" t="inlineStr">
        <is>
          <t>A 61922-2022</t>
        </is>
      </c>
      <c r="B765" s="1" t="n">
        <v>44917</v>
      </c>
      <c r="C765" s="1" t="n">
        <v>45849</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62019-2022</t>
        </is>
      </c>
      <c r="B766" s="1" t="n">
        <v>44918</v>
      </c>
      <c r="C766" s="1" t="n">
        <v>45849</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62487-2022</t>
        </is>
      </c>
      <c r="B767" s="1" t="n">
        <v>44924</v>
      </c>
      <c r="C767" s="1" t="n">
        <v>45849</v>
      </c>
      <c r="D767" t="inlineStr">
        <is>
          <t>NORRBOTTENS LÄN</t>
        </is>
      </c>
      <c r="E767" t="inlineStr">
        <is>
          <t>BODEN</t>
        </is>
      </c>
      <c r="G767" t="n">
        <v>5.7</v>
      </c>
      <c r="H767" t="n">
        <v>0</v>
      </c>
      <c r="I767" t="n">
        <v>0</v>
      </c>
      <c r="J767" t="n">
        <v>0</v>
      </c>
      <c r="K767" t="n">
        <v>0</v>
      </c>
      <c r="L767" t="n">
        <v>0</v>
      </c>
      <c r="M767" t="n">
        <v>0</v>
      </c>
      <c r="N767" t="n">
        <v>0</v>
      </c>
      <c r="O767" t="n">
        <v>0</v>
      </c>
      <c r="P767" t="n">
        <v>0</v>
      </c>
      <c r="Q767" t="n">
        <v>0</v>
      </c>
      <c r="R767" s="2" t="inlineStr"/>
    </row>
    <row r="768" ht="15" customHeight="1">
      <c r="A768" t="inlineStr">
        <is>
          <t>A 62730-2022</t>
        </is>
      </c>
      <c r="B768" s="1" t="n">
        <v>44925</v>
      </c>
      <c r="C768" s="1" t="n">
        <v>45849</v>
      </c>
      <c r="D768" t="inlineStr">
        <is>
          <t>NORRBOTTENS LÄN</t>
        </is>
      </c>
      <c r="E768" t="inlineStr">
        <is>
          <t>BODEN</t>
        </is>
      </c>
      <c r="G768" t="n">
        <v>3.1</v>
      </c>
      <c r="H768" t="n">
        <v>0</v>
      </c>
      <c r="I768" t="n">
        <v>0</v>
      </c>
      <c r="J768" t="n">
        <v>0</v>
      </c>
      <c r="K768" t="n">
        <v>0</v>
      </c>
      <c r="L768" t="n">
        <v>0</v>
      </c>
      <c r="M768" t="n">
        <v>0</v>
      </c>
      <c r="N768" t="n">
        <v>0</v>
      </c>
      <c r="O768" t="n">
        <v>0</v>
      </c>
      <c r="P768" t="n">
        <v>0</v>
      </c>
      <c r="Q768" t="n">
        <v>0</v>
      </c>
      <c r="R768" s="2" t="inlineStr"/>
    </row>
    <row r="769" ht="15" customHeight="1">
      <c r="A769" t="inlineStr">
        <is>
          <t>A 665-2023</t>
        </is>
      </c>
      <c r="B769" s="1" t="n">
        <v>44925</v>
      </c>
      <c r="C769" s="1" t="n">
        <v>45849</v>
      </c>
      <c r="D769" t="inlineStr">
        <is>
          <t>NORRBOTTENS LÄN</t>
        </is>
      </c>
      <c r="E769" t="inlineStr">
        <is>
          <t>BODEN</t>
        </is>
      </c>
      <c r="G769" t="n">
        <v>0.9</v>
      </c>
      <c r="H769" t="n">
        <v>0</v>
      </c>
      <c r="I769" t="n">
        <v>0</v>
      </c>
      <c r="J769" t="n">
        <v>0</v>
      </c>
      <c r="K769" t="n">
        <v>0</v>
      </c>
      <c r="L769" t="n">
        <v>0</v>
      </c>
      <c r="M769" t="n">
        <v>0</v>
      </c>
      <c r="N769" t="n">
        <v>0</v>
      </c>
      <c r="O769" t="n">
        <v>0</v>
      </c>
      <c r="P769" t="n">
        <v>0</v>
      </c>
      <c r="Q769" t="n">
        <v>0</v>
      </c>
      <c r="R769" s="2" t="inlineStr"/>
    </row>
    <row r="770" ht="15" customHeight="1">
      <c r="A770" t="inlineStr">
        <is>
          <t>A 406-2023</t>
        </is>
      </c>
      <c r="B770" s="1" t="n">
        <v>44929</v>
      </c>
      <c r="C770" s="1" t="n">
        <v>45849</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877-2023</t>
        </is>
      </c>
      <c r="B771" s="1" t="n">
        <v>44931</v>
      </c>
      <c r="C771" s="1" t="n">
        <v>45849</v>
      </c>
      <c r="D771" t="inlineStr">
        <is>
          <t>NORRBOTTENS LÄN</t>
        </is>
      </c>
      <c r="E771" t="inlineStr">
        <is>
          <t>BODEN</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1017-2023</t>
        </is>
      </c>
      <c r="B772" s="1" t="n">
        <v>44935</v>
      </c>
      <c r="C772" s="1" t="n">
        <v>45849</v>
      </c>
      <c r="D772" t="inlineStr">
        <is>
          <t>NORRBOTTENS LÄN</t>
        </is>
      </c>
      <c r="E772" t="inlineStr">
        <is>
          <t>BODEN</t>
        </is>
      </c>
      <c r="G772" t="n">
        <v>4.4</v>
      </c>
      <c r="H772" t="n">
        <v>0</v>
      </c>
      <c r="I772" t="n">
        <v>0</v>
      </c>
      <c r="J772" t="n">
        <v>0</v>
      </c>
      <c r="K772" t="n">
        <v>0</v>
      </c>
      <c r="L772" t="n">
        <v>0</v>
      </c>
      <c r="M772" t="n">
        <v>0</v>
      </c>
      <c r="N772" t="n">
        <v>0</v>
      </c>
      <c r="O772" t="n">
        <v>0</v>
      </c>
      <c r="P772" t="n">
        <v>0</v>
      </c>
      <c r="Q772" t="n">
        <v>0</v>
      </c>
      <c r="R772" s="2" t="inlineStr"/>
    </row>
    <row r="773" ht="15" customHeight="1">
      <c r="A773" t="inlineStr">
        <is>
          <t>A 1023-2023</t>
        </is>
      </c>
      <c r="B773" s="1" t="n">
        <v>44935</v>
      </c>
      <c r="C773" s="1" t="n">
        <v>45849</v>
      </c>
      <c r="D773" t="inlineStr">
        <is>
          <t>NORRBOTTENS LÄN</t>
        </is>
      </c>
      <c r="E773" t="inlineStr">
        <is>
          <t>BODEN</t>
        </is>
      </c>
      <c r="G773" t="n">
        <v>3.1</v>
      </c>
      <c r="H773" t="n">
        <v>0</v>
      </c>
      <c r="I773" t="n">
        <v>0</v>
      </c>
      <c r="J773" t="n">
        <v>0</v>
      </c>
      <c r="K773" t="n">
        <v>0</v>
      </c>
      <c r="L773" t="n">
        <v>0</v>
      </c>
      <c r="M773" t="n">
        <v>0</v>
      </c>
      <c r="N773" t="n">
        <v>0</v>
      </c>
      <c r="O773" t="n">
        <v>0</v>
      </c>
      <c r="P773" t="n">
        <v>0</v>
      </c>
      <c r="Q773" t="n">
        <v>0</v>
      </c>
      <c r="R773" s="2" t="inlineStr"/>
    </row>
    <row r="774" ht="15" customHeight="1">
      <c r="A774" t="inlineStr">
        <is>
          <t>A 1451-2023</t>
        </is>
      </c>
      <c r="B774" s="1" t="n">
        <v>44937</v>
      </c>
      <c r="C774" s="1" t="n">
        <v>45849</v>
      </c>
      <c r="D774" t="inlineStr">
        <is>
          <t>NORRBOTTENS LÄN</t>
        </is>
      </c>
      <c r="E774" t="inlineStr">
        <is>
          <t>BODEN</t>
        </is>
      </c>
      <c r="G774" t="n">
        <v>4.8</v>
      </c>
      <c r="H774" t="n">
        <v>0</v>
      </c>
      <c r="I774" t="n">
        <v>0</v>
      </c>
      <c r="J774" t="n">
        <v>0</v>
      </c>
      <c r="K774" t="n">
        <v>0</v>
      </c>
      <c r="L774" t="n">
        <v>0</v>
      </c>
      <c r="M774" t="n">
        <v>0</v>
      </c>
      <c r="N774" t="n">
        <v>0</v>
      </c>
      <c r="O774" t="n">
        <v>0</v>
      </c>
      <c r="P774" t="n">
        <v>0</v>
      </c>
      <c r="Q774" t="n">
        <v>0</v>
      </c>
      <c r="R774" s="2" t="inlineStr"/>
    </row>
    <row r="775" ht="15" customHeight="1">
      <c r="A775" t="inlineStr">
        <is>
          <t>A 2528-2023</t>
        </is>
      </c>
      <c r="B775" s="1" t="n">
        <v>44943</v>
      </c>
      <c r="C775" s="1" t="n">
        <v>45849</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3130-2023</t>
        </is>
      </c>
      <c r="B776" s="1" t="n">
        <v>44946</v>
      </c>
      <c r="C776" s="1" t="n">
        <v>45849</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3725-2023</t>
        </is>
      </c>
      <c r="B777" s="1" t="n">
        <v>44951</v>
      </c>
      <c r="C777" s="1" t="n">
        <v>45849</v>
      </c>
      <c r="D777" t="inlineStr">
        <is>
          <t>NORRBOTTENS LÄN</t>
        </is>
      </c>
      <c r="E777" t="inlineStr">
        <is>
          <t>BODEN</t>
        </is>
      </c>
      <c r="G777" t="n">
        <v>28.9</v>
      </c>
      <c r="H777" t="n">
        <v>0</v>
      </c>
      <c r="I777" t="n">
        <v>0</v>
      </c>
      <c r="J777" t="n">
        <v>0</v>
      </c>
      <c r="K777" t="n">
        <v>0</v>
      </c>
      <c r="L777" t="n">
        <v>0</v>
      </c>
      <c r="M777" t="n">
        <v>0</v>
      </c>
      <c r="N777" t="n">
        <v>0</v>
      </c>
      <c r="O777" t="n">
        <v>0</v>
      </c>
      <c r="P777" t="n">
        <v>0</v>
      </c>
      <c r="Q777" t="n">
        <v>0</v>
      </c>
      <c r="R777" s="2" t="inlineStr"/>
    </row>
    <row r="778" ht="15" customHeight="1">
      <c r="A778" t="inlineStr">
        <is>
          <t>A 5259-2023</t>
        </is>
      </c>
      <c r="B778" s="1" t="n">
        <v>44956</v>
      </c>
      <c r="C778" s="1" t="n">
        <v>45849</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6693-2023</t>
        </is>
      </c>
      <c r="B779" s="1" t="n">
        <v>44963</v>
      </c>
      <c r="C779" s="1" t="n">
        <v>45849</v>
      </c>
      <c r="D779" t="inlineStr">
        <is>
          <t>NORRBOTTENS LÄN</t>
        </is>
      </c>
      <c r="E779" t="inlineStr">
        <is>
          <t>BODEN</t>
        </is>
      </c>
      <c r="G779" t="n">
        <v>2.6</v>
      </c>
      <c r="H779" t="n">
        <v>0</v>
      </c>
      <c r="I779" t="n">
        <v>0</v>
      </c>
      <c r="J779" t="n">
        <v>0</v>
      </c>
      <c r="K779" t="n">
        <v>0</v>
      </c>
      <c r="L779" t="n">
        <v>0</v>
      </c>
      <c r="M779" t="n">
        <v>0</v>
      </c>
      <c r="N779" t="n">
        <v>0</v>
      </c>
      <c r="O779" t="n">
        <v>0</v>
      </c>
      <c r="P779" t="n">
        <v>0</v>
      </c>
      <c r="Q779" t="n">
        <v>0</v>
      </c>
      <c r="R779" s="2" t="inlineStr"/>
    </row>
    <row r="780" ht="15" customHeight="1">
      <c r="A780" t="inlineStr">
        <is>
          <t>A 6244-2023</t>
        </is>
      </c>
      <c r="B780" s="1" t="n">
        <v>44964</v>
      </c>
      <c r="C780" s="1" t="n">
        <v>45849</v>
      </c>
      <c r="D780" t="inlineStr">
        <is>
          <t>NORRBOTTENS LÄN</t>
        </is>
      </c>
      <c r="E780" t="inlineStr">
        <is>
          <t>BODEN</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6238-2023</t>
        </is>
      </c>
      <c r="B781" s="1" t="n">
        <v>44964</v>
      </c>
      <c r="C781" s="1" t="n">
        <v>45849</v>
      </c>
      <c r="D781" t="inlineStr">
        <is>
          <t>NORRBOTTENS LÄN</t>
        </is>
      </c>
      <c r="E781" t="inlineStr">
        <is>
          <t>BODEN</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6242-2023</t>
        </is>
      </c>
      <c r="B782" s="1" t="n">
        <v>44964</v>
      </c>
      <c r="C782" s="1" t="n">
        <v>45849</v>
      </c>
      <c r="D782" t="inlineStr">
        <is>
          <t>NORRBOTTENS LÄN</t>
        </is>
      </c>
      <c r="E782" t="inlineStr">
        <is>
          <t>BODEN</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6765-2023</t>
        </is>
      </c>
      <c r="B783" s="1" t="n">
        <v>44966</v>
      </c>
      <c r="C783" s="1" t="n">
        <v>45849</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6776-2023</t>
        </is>
      </c>
      <c r="B784" s="1" t="n">
        <v>44966</v>
      </c>
      <c r="C784" s="1" t="n">
        <v>45849</v>
      </c>
      <c r="D784" t="inlineStr">
        <is>
          <t>NORRBOTTENS LÄN</t>
        </is>
      </c>
      <c r="E784" t="inlineStr">
        <is>
          <t>BODEN</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6937-2023</t>
        </is>
      </c>
      <c r="B785" s="1" t="n">
        <v>44967</v>
      </c>
      <c r="C785" s="1" t="n">
        <v>45849</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7159-2023</t>
        </is>
      </c>
      <c r="B786" s="1" t="n">
        <v>44970</v>
      </c>
      <c r="C786" s="1" t="n">
        <v>45849</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9969-2023</t>
        </is>
      </c>
      <c r="B787" s="1" t="n">
        <v>44979</v>
      </c>
      <c r="C787" s="1" t="n">
        <v>45849</v>
      </c>
      <c r="D787" t="inlineStr">
        <is>
          <t>NORRBOTTENS LÄN</t>
        </is>
      </c>
      <c r="E787" t="inlineStr">
        <is>
          <t>BODEN</t>
        </is>
      </c>
      <c r="F787" t="inlineStr">
        <is>
          <t>Övriga statliga verk och myndigheter</t>
        </is>
      </c>
      <c r="G787" t="n">
        <v>18.8</v>
      </c>
      <c r="H787" t="n">
        <v>0</v>
      </c>
      <c r="I787" t="n">
        <v>0</v>
      </c>
      <c r="J787" t="n">
        <v>0</v>
      </c>
      <c r="K787" t="n">
        <v>0</v>
      </c>
      <c r="L787" t="n">
        <v>0</v>
      </c>
      <c r="M787" t="n">
        <v>0</v>
      </c>
      <c r="N787" t="n">
        <v>0</v>
      </c>
      <c r="O787" t="n">
        <v>0</v>
      </c>
      <c r="P787" t="n">
        <v>0</v>
      </c>
      <c r="Q787" t="n">
        <v>0</v>
      </c>
      <c r="R787" s="2" t="inlineStr"/>
    </row>
    <row r="788" ht="15" customHeight="1">
      <c r="A788" t="inlineStr">
        <is>
          <t>A 9480-2023</t>
        </is>
      </c>
      <c r="B788" s="1" t="n">
        <v>44981</v>
      </c>
      <c r="C788" s="1" t="n">
        <v>45849</v>
      </c>
      <c r="D788" t="inlineStr">
        <is>
          <t>NORRBOTTENS LÄN</t>
        </is>
      </c>
      <c r="E788" t="inlineStr">
        <is>
          <t>BODEN</t>
        </is>
      </c>
      <c r="G788" t="n">
        <v>8.4</v>
      </c>
      <c r="H788" t="n">
        <v>0</v>
      </c>
      <c r="I788" t="n">
        <v>0</v>
      </c>
      <c r="J788" t="n">
        <v>0</v>
      </c>
      <c r="K788" t="n">
        <v>0</v>
      </c>
      <c r="L788" t="n">
        <v>0</v>
      </c>
      <c r="M788" t="n">
        <v>0</v>
      </c>
      <c r="N788" t="n">
        <v>0</v>
      </c>
      <c r="O788" t="n">
        <v>0</v>
      </c>
      <c r="P788" t="n">
        <v>0</v>
      </c>
      <c r="Q788" t="n">
        <v>0</v>
      </c>
      <c r="R788" s="2" t="inlineStr"/>
    </row>
    <row r="789" ht="15" customHeight="1">
      <c r="A789" t="inlineStr">
        <is>
          <t>A 9596-2023</t>
        </is>
      </c>
      <c r="B789" s="1" t="n">
        <v>44983</v>
      </c>
      <c r="C789" s="1" t="n">
        <v>45849</v>
      </c>
      <c r="D789" t="inlineStr">
        <is>
          <t>NORRBOTTENS LÄN</t>
        </is>
      </c>
      <c r="E789" t="inlineStr">
        <is>
          <t>BODEN</t>
        </is>
      </c>
      <c r="G789" t="n">
        <v>37.1</v>
      </c>
      <c r="H789" t="n">
        <v>0</v>
      </c>
      <c r="I789" t="n">
        <v>0</v>
      </c>
      <c r="J789" t="n">
        <v>0</v>
      </c>
      <c r="K789" t="n">
        <v>0</v>
      </c>
      <c r="L789" t="n">
        <v>0</v>
      </c>
      <c r="M789" t="n">
        <v>0</v>
      </c>
      <c r="N789" t="n">
        <v>0</v>
      </c>
      <c r="O789" t="n">
        <v>0</v>
      </c>
      <c r="P789" t="n">
        <v>0</v>
      </c>
      <c r="Q789" t="n">
        <v>0</v>
      </c>
      <c r="R789" s="2" t="inlineStr"/>
    </row>
    <row r="790" ht="15" customHeight="1">
      <c r="A790" t="inlineStr">
        <is>
          <t>A 10999-2023</t>
        </is>
      </c>
      <c r="B790" s="1" t="n">
        <v>44991</v>
      </c>
      <c r="C790" s="1" t="n">
        <v>45849</v>
      </c>
      <c r="D790" t="inlineStr">
        <is>
          <t>NORRBOTTENS LÄN</t>
        </is>
      </c>
      <c r="E790" t="inlineStr">
        <is>
          <t>BODEN</t>
        </is>
      </c>
      <c r="G790" t="n">
        <v>3</v>
      </c>
      <c r="H790" t="n">
        <v>0</v>
      </c>
      <c r="I790" t="n">
        <v>0</v>
      </c>
      <c r="J790" t="n">
        <v>0</v>
      </c>
      <c r="K790" t="n">
        <v>0</v>
      </c>
      <c r="L790" t="n">
        <v>0</v>
      </c>
      <c r="M790" t="n">
        <v>0</v>
      </c>
      <c r="N790" t="n">
        <v>0</v>
      </c>
      <c r="O790" t="n">
        <v>0</v>
      </c>
      <c r="P790" t="n">
        <v>0</v>
      </c>
      <c r="Q790" t="n">
        <v>0</v>
      </c>
      <c r="R790" s="2" t="inlineStr"/>
    </row>
    <row r="791" ht="15" customHeight="1">
      <c r="A791" t="inlineStr">
        <is>
          <t>A 11647-2023</t>
        </is>
      </c>
      <c r="B791" s="1" t="n">
        <v>44994</v>
      </c>
      <c r="C791" s="1" t="n">
        <v>45849</v>
      </c>
      <c r="D791" t="inlineStr">
        <is>
          <t>NORRBOTTENS LÄN</t>
        </is>
      </c>
      <c r="E791" t="inlineStr">
        <is>
          <t>BODEN</t>
        </is>
      </c>
      <c r="G791" t="n">
        <v>0.3</v>
      </c>
      <c r="H791" t="n">
        <v>0</v>
      </c>
      <c r="I791" t="n">
        <v>0</v>
      </c>
      <c r="J791" t="n">
        <v>0</v>
      </c>
      <c r="K791" t="n">
        <v>0</v>
      </c>
      <c r="L791" t="n">
        <v>0</v>
      </c>
      <c r="M791" t="n">
        <v>0</v>
      </c>
      <c r="N791" t="n">
        <v>0</v>
      </c>
      <c r="O791" t="n">
        <v>0</v>
      </c>
      <c r="P791" t="n">
        <v>0</v>
      </c>
      <c r="Q791" t="n">
        <v>0</v>
      </c>
      <c r="R791" s="2" t="inlineStr"/>
    </row>
    <row r="792" ht="15" customHeight="1">
      <c r="A792" t="inlineStr">
        <is>
          <t>A 11651-2023</t>
        </is>
      </c>
      <c r="B792" s="1" t="n">
        <v>44994</v>
      </c>
      <c r="C792" s="1" t="n">
        <v>45849</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11930-2023</t>
        </is>
      </c>
      <c r="B793" s="1" t="n">
        <v>44994</v>
      </c>
      <c r="C793" s="1" t="n">
        <v>45849</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11984-2023</t>
        </is>
      </c>
      <c r="B794" s="1" t="n">
        <v>44994</v>
      </c>
      <c r="C794" s="1" t="n">
        <v>45849</v>
      </c>
      <c r="D794" t="inlineStr">
        <is>
          <t>NORRBOTTENS LÄN</t>
        </is>
      </c>
      <c r="E794" t="inlineStr">
        <is>
          <t>BODEN</t>
        </is>
      </c>
      <c r="G794" t="n">
        <v>1.7</v>
      </c>
      <c r="H794" t="n">
        <v>0</v>
      </c>
      <c r="I794" t="n">
        <v>0</v>
      </c>
      <c r="J794" t="n">
        <v>0</v>
      </c>
      <c r="K794" t="n">
        <v>0</v>
      </c>
      <c r="L794" t="n">
        <v>0</v>
      </c>
      <c r="M794" t="n">
        <v>0</v>
      </c>
      <c r="N794" t="n">
        <v>0</v>
      </c>
      <c r="O794" t="n">
        <v>0</v>
      </c>
      <c r="P794" t="n">
        <v>0</v>
      </c>
      <c r="Q794" t="n">
        <v>0</v>
      </c>
      <c r="R794" s="2" t="inlineStr"/>
    </row>
    <row r="795" ht="15" customHeight="1">
      <c r="A795" t="inlineStr">
        <is>
          <t>A 12801-2023</t>
        </is>
      </c>
      <c r="B795" s="1" t="n">
        <v>45001</v>
      </c>
      <c r="C795" s="1" t="n">
        <v>45849</v>
      </c>
      <c r="D795" t="inlineStr">
        <is>
          <t>NORRBOTTENS LÄN</t>
        </is>
      </c>
      <c r="E795" t="inlineStr">
        <is>
          <t>BODEN</t>
        </is>
      </c>
      <c r="G795" t="n">
        <v>3.7</v>
      </c>
      <c r="H795" t="n">
        <v>0</v>
      </c>
      <c r="I795" t="n">
        <v>0</v>
      </c>
      <c r="J795" t="n">
        <v>0</v>
      </c>
      <c r="K795" t="n">
        <v>0</v>
      </c>
      <c r="L795" t="n">
        <v>0</v>
      </c>
      <c r="M795" t="n">
        <v>0</v>
      </c>
      <c r="N795" t="n">
        <v>0</v>
      </c>
      <c r="O795" t="n">
        <v>0</v>
      </c>
      <c r="P795" t="n">
        <v>0</v>
      </c>
      <c r="Q795" t="n">
        <v>0</v>
      </c>
      <c r="R795" s="2" t="inlineStr"/>
    </row>
    <row r="796" ht="15" customHeight="1">
      <c r="A796" t="inlineStr">
        <is>
          <t>A 13435-2023</t>
        </is>
      </c>
      <c r="B796" s="1" t="n">
        <v>45005</v>
      </c>
      <c r="C796" s="1" t="n">
        <v>45849</v>
      </c>
      <c r="D796" t="inlineStr">
        <is>
          <t>NORRBOTTENS LÄN</t>
        </is>
      </c>
      <c r="E796" t="inlineStr">
        <is>
          <t>BODEN</t>
        </is>
      </c>
      <c r="G796" t="n">
        <v>2.4</v>
      </c>
      <c r="H796" t="n">
        <v>0</v>
      </c>
      <c r="I796" t="n">
        <v>0</v>
      </c>
      <c r="J796" t="n">
        <v>0</v>
      </c>
      <c r="K796" t="n">
        <v>0</v>
      </c>
      <c r="L796" t="n">
        <v>0</v>
      </c>
      <c r="M796" t="n">
        <v>0</v>
      </c>
      <c r="N796" t="n">
        <v>0</v>
      </c>
      <c r="O796" t="n">
        <v>0</v>
      </c>
      <c r="P796" t="n">
        <v>0</v>
      </c>
      <c r="Q796" t="n">
        <v>0</v>
      </c>
      <c r="R796" s="2" t="inlineStr"/>
    </row>
    <row r="797" ht="15" customHeight="1">
      <c r="A797" t="inlineStr">
        <is>
          <t>A 13451-2023</t>
        </is>
      </c>
      <c r="B797" s="1" t="n">
        <v>45005</v>
      </c>
      <c r="C797" s="1" t="n">
        <v>45849</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13473-2023</t>
        </is>
      </c>
      <c r="B798" s="1" t="n">
        <v>45005</v>
      </c>
      <c r="C798" s="1" t="n">
        <v>45849</v>
      </c>
      <c r="D798" t="inlineStr">
        <is>
          <t>NORRBOTTENS LÄN</t>
        </is>
      </c>
      <c r="E798" t="inlineStr">
        <is>
          <t>BODEN</t>
        </is>
      </c>
      <c r="G798" t="n">
        <v>1.7</v>
      </c>
      <c r="H798" t="n">
        <v>0</v>
      </c>
      <c r="I798" t="n">
        <v>0</v>
      </c>
      <c r="J798" t="n">
        <v>0</v>
      </c>
      <c r="K798" t="n">
        <v>0</v>
      </c>
      <c r="L798" t="n">
        <v>0</v>
      </c>
      <c r="M798" t="n">
        <v>0</v>
      </c>
      <c r="N798" t="n">
        <v>0</v>
      </c>
      <c r="O798" t="n">
        <v>0</v>
      </c>
      <c r="P798" t="n">
        <v>0</v>
      </c>
      <c r="Q798" t="n">
        <v>0</v>
      </c>
      <c r="R798" s="2" t="inlineStr"/>
    </row>
    <row r="799" ht="15" customHeight="1">
      <c r="A799" t="inlineStr">
        <is>
          <t>A 13808-2023</t>
        </is>
      </c>
      <c r="B799" s="1" t="n">
        <v>45006</v>
      </c>
      <c r="C799" s="1" t="n">
        <v>45849</v>
      </c>
      <c r="D799" t="inlineStr">
        <is>
          <t>NORRBOTTENS LÄN</t>
        </is>
      </c>
      <c r="E799" t="inlineStr">
        <is>
          <t>BODEN</t>
        </is>
      </c>
      <c r="G799" t="n">
        <v>14.5</v>
      </c>
      <c r="H799" t="n">
        <v>0</v>
      </c>
      <c r="I799" t="n">
        <v>0</v>
      </c>
      <c r="J799" t="n">
        <v>0</v>
      </c>
      <c r="K799" t="n">
        <v>0</v>
      </c>
      <c r="L799" t="n">
        <v>0</v>
      </c>
      <c r="M799" t="n">
        <v>0</v>
      </c>
      <c r="N799" t="n">
        <v>0</v>
      </c>
      <c r="O799" t="n">
        <v>0</v>
      </c>
      <c r="P799" t="n">
        <v>0</v>
      </c>
      <c r="Q799" t="n">
        <v>0</v>
      </c>
      <c r="R799" s="2" t="inlineStr"/>
    </row>
    <row r="800" ht="15" customHeight="1">
      <c r="A800" t="inlineStr">
        <is>
          <t>A 14748-2023</t>
        </is>
      </c>
      <c r="B800" s="1" t="n">
        <v>45013</v>
      </c>
      <c r="C800" s="1" t="n">
        <v>45849</v>
      </c>
      <c r="D800" t="inlineStr">
        <is>
          <t>NORRBOTTENS LÄN</t>
        </is>
      </c>
      <c r="E800" t="inlineStr">
        <is>
          <t>BODEN</t>
        </is>
      </c>
      <c r="G800" t="n">
        <v>1.6</v>
      </c>
      <c r="H800" t="n">
        <v>0</v>
      </c>
      <c r="I800" t="n">
        <v>0</v>
      </c>
      <c r="J800" t="n">
        <v>0</v>
      </c>
      <c r="K800" t="n">
        <v>0</v>
      </c>
      <c r="L800" t="n">
        <v>0</v>
      </c>
      <c r="M800" t="n">
        <v>0</v>
      </c>
      <c r="N800" t="n">
        <v>0</v>
      </c>
      <c r="O800" t="n">
        <v>0</v>
      </c>
      <c r="P800" t="n">
        <v>0</v>
      </c>
      <c r="Q800" t="n">
        <v>0</v>
      </c>
      <c r="R800" s="2" t="inlineStr"/>
    </row>
    <row r="801" ht="15" customHeight="1">
      <c r="A801" t="inlineStr">
        <is>
          <t>A 14738-2023</t>
        </is>
      </c>
      <c r="B801" s="1" t="n">
        <v>45013</v>
      </c>
      <c r="C801" s="1" t="n">
        <v>45849</v>
      </c>
      <c r="D801" t="inlineStr">
        <is>
          <t>NORRBOTTENS LÄN</t>
        </is>
      </c>
      <c r="E801" t="inlineStr">
        <is>
          <t>BODEN</t>
        </is>
      </c>
      <c r="G801" t="n">
        <v>3.8</v>
      </c>
      <c r="H801" t="n">
        <v>0</v>
      </c>
      <c r="I801" t="n">
        <v>0</v>
      </c>
      <c r="J801" t="n">
        <v>0</v>
      </c>
      <c r="K801" t="n">
        <v>0</v>
      </c>
      <c r="L801" t="n">
        <v>0</v>
      </c>
      <c r="M801" t="n">
        <v>0</v>
      </c>
      <c r="N801" t="n">
        <v>0</v>
      </c>
      <c r="O801" t="n">
        <v>0</v>
      </c>
      <c r="P801" t="n">
        <v>0</v>
      </c>
      <c r="Q801" t="n">
        <v>0</v>
      </c>
      <c r="R801" s="2" t="inlineStr"/>
    </row>
    <row r="802" ht="15" customHeight="1">
      <c r="A802" t="inlineStr">
        <is>
          <t>A 14743-2023</t>
        </is>
      </c>
      <c r="B802" s="1" t="n">
        <v>45013</v>
      </c>
      <c r="C802" s="1" t="n">
        <v>45849</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14757-2023</t>
        </is>
      </c>
      <c r="B803" s="1" t="n">
        <v>45014</v>
      </c>
      <c r="C803" s="1" t="n">
        <v>45849</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15868-2023</t>
        </is>
      </c>
      <c r="B804" s="1" t="n">
        <v>45022</v>
      </c>
      <c r="C804" s="1" t="n">
        <v>45849</v>
      </c>
      <c r="D804" t="inlineStr">
        <is>
          <t>NORRBOTTENS LÄN</t>
        </is>
      </c>
      <c r="E804" t="inlineStr">
        <is>
          <t>BODEN</t>
        </is>
      </c>
      <c r="G804" t="n">
        <v>24.8</v>
      </c>
      <c r="H804" t="n">
        <v>0</v>
      </c>
      <c r="I804" t="n">
        <v>0</v>
      </c>
      <c r="J804" t="n">
        <v>0</v>
      </c>
      <c r="K804" t="n">
        <v>0</v>
      </c>
      <c r="L804" t="n">
        <v>0</v>
      </c>
      <c r="M804" t="n">
        <v>0</v>
      </c>
      <c r="N804" t="n">
        <v>0</v>
      </c>
      <c r="O804" t="n">
        <v>0</v>
      </c>
      <c r="P804" t="n">
        <v>0</v>
      </c>
      <c r="Q804" t="n">
        <v>0</v>
      </c>
      <c r="R804" s="2" t="inlineStr"/>
    </row>
    <row r="805" ht="15" customHeight="1">
      <c r="A805" t="inlineStr">
        <is>
          <t>A 15881-2023</t>
        </is>
      </c>
      <c r="B805" s="1" t="n">
        <v>45022</v>
      </c>
      <c r="C805" s="1" t="n">
        <v>45849</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15922-2023</t>
        </is>
      </c>
      <c r="B806" s="1" t="n">
        <v>45022</v>
      </c>
      <c r="C806" s="1" t="n">
        <v>45849</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16363-2023</t>
        </is>
      </c>
      <c r="B807" s="1" t="n">
        <v>45028</v>
      </c>
      <c r="C807" s="1" t="n">
        <v>45849</v>
      </c>
      <c r="D807" t="inlineStr">
        <is>
          <t>NORRBOTTENS LÄN</t>
        </is>
      </c>
      <c r="E807" t="inlineStr">
        <is>
          <t>BODEN</t>
        </is>
      </c>
      <c r="G807" t="n">
        <v>9.1</v>
      </c>
      <c r="H807" t="n">
        <v>0</v>
      </c>
      <c r="I807" t="n">
        <v>0</v>
      </c>
      <c r="J807" t="n">
        <v>0</v>
      </c>
      <c r="K807" t="n">
        <v>0</v>
      </c>
      <c r="L807" t="n">
        <v>0</v>
      </c>
      <c r="M807" t="n">
        <v>0</v>
      </c>
      <c r="N807" t="n">
        <v>0</v>
      </c>
      <c r="O807" t="n">
        <v>0</v>
      </c>
      <c r="P807" t="n">
        <v>0</v>
      </c>
      <c r="Q807" t="n">
        <v>0</v>
      </c>
      <c r="R807" s="2" t="inlineStr"/>
    </row>
    <row r="808" ht="15" customHeight="1">
      <c r="A808" t="inlineStr">
        <is>
          <t>A 17417-2023</t>
        </is>
      </c>
      <c r="B808" s="1" t="n">
        <v>45035</v>
      </c>
      <c r="C808" s="1" t="n">
        <v>45849</v>
      </c>
      <c r="D808" t="inlineStr">
        <is>
          <t>NORRBOTTENS LÄN</t>
        </is>
      </c>
      <c r="E808" t="inlineStr">
        <is>
          <t>BODEN</t>
        </is>
      </c>
      <c r="G808" t="n">
        <v>3.8</v>
      </c>
      <c r="H808" t="n">
        <v>0</v>
      </c>
      <c r="I808" t="n">
        <v>0</v>
      </c>
      <c r="J808" t="n">
        <v>0</v>
      </c>
      <c r="K808" t="n">
        <v>0</v>
      </c>
      <c r="L808" t="n">
        <v>0</v>
      </c>
      <c r="M808" t="n">
        <v>0</v>
      </c>
      <c r="N808" t="n">
        <v>0</v>
      </c>
      <c r="O808" t="n">
        <v>0</v>
      </c>
      <c r="P808" t="n">
        <v>0</v>
      </c>
      <c r="Q808" t="n">
        <v>0</v>
      </c>
      <c r="R808" s="2" t="inlineStr"/>
    </row>
    <row r="809" ht="15" customHeight="1">
      <c r="A809" t="inlineStr">
        <is>
          <t>A 18643-2023</t>
        </is>
      </c>
      <c r="B809" s="1" t="n">
        <v>45043</v>
      </c>
      <c r="C809" s="1" t="n">
        <v>45849</v>
      </c>
      <c r="D809" t="inlineStr">
        <is>
          <t>NORRBOTTENS LÄN</t>
        </is>
      </c>
      <c r="E809" t="inlineStr">
        <is>
          <t>BODEN</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18983-2023</t>
        </is>
      </c>
      <c r="B810" s="1" t="n">
        <v>45044</v>
      </c>
      <c r="C810" s="1" t="n">
        <v>45849</v>
      </c>
      <c r="D810" t="inlineStr">
        <is>
          <t>NORRBOTTENS LÄN</t>
        </is>
      </c>
      <c r="E810" t="inlineStr">
        <is>
          <t>BODEN</t>
        </is>
      </c>
      <c r="F810" t="inlineStr">
        <is>
          <t>SCA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19412-2023</t>
        </is>
      </c>
      <c r="B811" s="1" t="n">
        <v>45049</v>
      </c>
      <c r="C811" s="1" t="n">
        <v>45849</v>
      </c>
      <c r="D811" t="inlineStr">
        <is>
          <t>NORRBOTTENS LÄN</t>
        </is>
      </c>
      <c r="E811" t="inlineStr">
        <is>
          <t>BODEN</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19599-2023</t>
        </is>
      </c>
      <c r="B812" s="1" t="n">
        <v>45049</v>
      </c>
      <c r="C812" s="1" t="n">
        <v>45849</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20505-2023</t>
        </is>
      </c>
      <c r="B813" s="1" t="n">
        <v>45054</v>
      </c>
      <c r="C813" s="1" t="n">
        <v>45849</v>
      </c>
      <c r="D813" t="inlineStr">
        <is>
          <t>NORRBOTTENS LÄN</t>
        </is>
      </c>
      <c r="E813" t="inlineStr">
        <is>
          <t>BODEN</t>
        </is>
      </c>
      <c r="G813" t="n">
        <v>0.8</v>
      </c>
      <c r="H813" t="n">
        <v>0</v>
      </c>
      <c r="I813" t="n">
        <v>0</v>
      </c>
      <c r="J813" t="n">
        <v>0</v>
      </c>
      <c r="K813" t="n">
        <v>0</v>
      </c>
      <c r="L813" t="n">
        <v>0</v>
      </c>
      <c r="M813" t="n">
        <v>0</v>
      </c>
      <c r="N813" t="n">
        <v>0</v>
      </c>
      <c r="O813" t="n">
        <v>0</v>
      </c>
      <c r="P813" t="n">
        <v>0</v>
      </c>
      <c r="Q813" t="n">
        <v>0</v>
      </c>
      <c r="R813" s="2" t="inlineStr"/>
    </row>
    <row r="814" ht="15" customHeight="1">
      <c r="A814" t="inlineStr">
        <is>
          <t>A 20796-2023</t>
        </is>
      </c>
      <c r="B814" s="1" t="n">
        <v>45055</v>
      </c>
      <c r="C814" s="1" t="n">
        <v>45849</v>
      </c>
      <c r="D814" t="inlineStr">
        <is>
          <t>NORRBOTTENS LÄN</t>
        </is>
      </c>
      <c r="E814" t="inlineStr">
        <is>
          <t>BODEN</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21713-2023</t>
        </is>
      </c>
      <c r="B815" s="1" t="n">
        <v>45065</v>
      </c>
      <c r="C815" s="1" t="n">
        <v>45849</v>
      </c>
      <c r="D815" t="inlineStr">
        <is>
          <t>NORRBOTTENS LÄN</t>
        </is>
      </c>
      <c r="E815" t="inlineStr">
        <is>
          <t>BODEN</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21951-2023</t>
        </is>
      </c>
      <c r="B816" s="1" t="n">
        <v>45068</v>
      </c>
      <c r="C816" s="1" t="n">
        <v>45849</v>
      </c>
      <c r="D816" t="inlineStr">
        <is>
          <t>NORRBOTTENS LÄN</t>
        </is>
      </c>
      <c r="E816" t="inlineStr">
        <is>
          <t>BODEN</t>
        </is>
      </c>
      <c r="G816" t="n">
        <v>8.4</v>
      </c>
      <c r="H816" t="n">
        <v>0</v>
      </c>
      <c r="I816" t="n">
        <v>0</v>
      </c>
      <c r="J816" t="n">
        <v>0</v>
      </c>
      <c r="K816" t="n">
        <v>0</v>
      </c>
      <c r="L816" t="n">
        <v>0</v>
      </c>
      <c r="M816" t="n">
        <v>0</v>
      </c>
      <c r="N816" t="n">
        <v>0</v>
      </c>
      <c r="O816" t="n">
        <v>0</v>
      </c>
      <c r="P816" t="n">
        <v>0</v>
      </c>
      <c r="Q816" t="n">
        <v>0</v>
      </c>
      <c r="R816" s="2" t="inlineStr"/>
    </row>
    <row r="817" ht="15" customHeight="1">
      <c r="A817" t="inlineStr">
        <is>
          <t>A 22127-2023</t>
        </is>
      </c>
      <c r="B817" s="1" t="n">
        <v>45068</v>
      </c>
      <c r="C817" s="1" t="n">
        <v>45849</v>
      </c>
      <c r="D817" t="inlineStr">
        <is>
          <t>NORRBOTTENS LÄN</t>
        </is>
      </c>
      <c r="E817" t="inlineStr">
        <is>
          <t>BODEN</t>
        </is>
      </c>
      <c r="G817" t="n">
        <v>4.1</v>
      </c>
      <c r="H817" t="n">
        <v>0</v>
      </c>
      <c r="I817" t="n">
        <v>0</v>
      </c>
      <c r="J817" t="n">
        <v>0</v>
      </c>
      <c r="K817" t="n">
        <v>0</v>
      </c>
      <c r="L817" t="n">
        <v>0</v>
      </c>
      <c r="M817" t="n">
        <v>0</v>
      </c>
      <c r="N817" t="n">
        <v>0</v>
      </c>
      <c r="O817" t="n">
        <v>0</v>
      </c>
      <c r="P817" t="n">
        <v>0</v>
      </c>
      <c r="Q817" t="n">
        <v>0</v>
      </c>
      <c r="R817" s="2" t="inlineStr"/>
    </row>
    <row r="818" ht="15" customHeight="1">
      <c r="A818" t="inlineStr">
        <is>
          <t>A 22460-2023</t>
        </is>
      </c>
      <c r="B818" s="1" t="n">
        <v>45071</v>
      </c>
      <c r="C818" s="1" t="n">
        <v>45849</v>
      </c>
      <c r="D818" t="inlineStr">
        <is>
          <t>NORRBOTTENS LÄN</t>
        </is>
      </c>
      <c r="E818" t="inlineStr">
        <is>
          <t>BODEN</t>
        </is>
      </c>
      <c r="G818" t="n">
        <v>1.4</v>
      </c>
      <c r="H818" t="n">
        <v>0</v>
      </c>
      <c r="I818" t="n">
        <v>0</v>
      </c>
      <c r="J818" t="n">
        <v>0</v>
      </c>
      <c r="K818" t="n">
        <v>0</v>
      </c>
      <c r="L818" t="n">
        <v>0</v>
      </c>
      <c r="M818" t="n">
        <v>0</v>
      </c>
      <c r="N818" t="n">
        <v>0</v>
      </c>
      <c r="O818" t="n">
        <v>0</v>
      </c>
      <c r="P818" t="n">
        <v>0</v>
      </c>
      <c r="Q818" t="n">
        <v>0</v>
      </c>
      <c r="R818" s="2" t="inlineStr"/>
    </row>
    <row r="819" ht="15" customHeight="1">
      <c r="A819" t="inlineStr">
        <is>
          <t>A 22458-2023</t>
        </is>
      </c>
      <c r="B819" s="1" t="n">
        <v>45070</v>
      </c>
      <c r="C819" s="1" t="n">
        <v>45849</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22757-2023</t>
        </is>
      </c>
      <c r="B820" s="1" t="n">
        <v>45072</v>
      </c>
      <c r="C820" s="1" t="n">
        <v>45849</v>
      </c>
      <c r="D820" t="inlineStr">
        <is>
          <t>NORRBOTTENS LÄN</t>
        </is>
      </c>
      <c r="E820" t="inlineStr">
        <is>
          <t>BODEN</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22905-2023</t>
        </is>
      </c>
      <c r="B821" s="1" t="n">
        <v>45072</v>
      </c>
      <c r="C821" s="1" t="n">
        <v>45849</v>
      </c>
      <c r="D821" t="inlineStr">
        <is>
          <t>NORRBOTTENS LÄN</t>
        </is>
      </c>
      <c r="E821" t="inlineStr">
        <is>
          <t>BODEN</t>
        </is>
      </c>
      <c r="F821" t="inlineStr">
        <is>
          <t>Sveaskog</t>
        </is>
      </c>
      <c r="G821" t="n">
        <v>5.9</v>
      </c>
      <c r="H821" t="n">
        <v>0</v>
      </c>
      <c r="I821" t="n">
        <v>0</v>
      </c>
      <c r="J821" t="n">
        <v>0</v>
      </c>
      <c r="K821" t="n">
        <v>0</v>
      </c>
      <c r="L821" t="n">
        <v>0</v>
      </c>
      <c r="M821" t="n">
        <v>0</v>
      </c>
      <c r="N821" t="n">
        <v>0</v>
      </c>
      <c r="O821" t="n">
        <v>0</v>
      </c>
      <c r="P821" t="n">
        <v>0</v>
      </c>
      <c r="Q821" t="n">
        <v>0</v>
      </c>
      <c r="R821" s="2" t="inlineStr"/>
    </row>
    <row r="822" ht="15" customHeight="1">
      <c r="A822" t="inlineStr">
        <is>
          <t>A 23571-2023</t>
        </is>
      </c>
      <c r="B822" s="1" t="n">
        <v>45077</v>
      </c>
      <c r="C822" s="1" t="n">
        <v>45849</v>
      </c>
      <c r="D822" t="inlineStr">
        <is>
          <t>NORRBOTTENS LÄN</t>
        </is>
      </c>
      <c r="E822" t="inlineStr">
        <is>
          <t>BODEN</t>
        </is>
      </c>
      <c r="G822" t="n">
        <v>10.5</v>
      </c>
      <c r="H822" t="n">
        <v>0</v>
      </c>
      <c r="I822" t="n">
        <v>0</v>
      </c>
      <c r="J822" t="n">
        <v>0</v>
      </c>
      <c r="K822" t="n">
        <v>0</v>
      </c>
      <c r="L822" t="n">
        <v>0</v>
      </c>
      <c r="M822" t="n">
        <v>0</v>
      </c>
      <c r="N822" t="n">
        <v>0</v>
      </c>
      <c r="O822" t="n">
        <v>0</v>
      </c>
      <c r="P822" t="n">
        <v>0</v>
      </c>
      <c r="Q822" t="n">
        <v>0</v>
      </c>
      <c r="R822" s="2" t="inlineStr"/>
    </row>
    <row r="823" ht="15" customHeight="1">
      <c r="A823" t="inlineStr">
        <is>
          <t>A 23575-2023</t>
        </is>
      </c>
      <c r="B823" s="1" t="n">
        <v>45077</v>
      </c>
      <c r="C823" s="1" t="n">
        <v>45849</v>
      </c>
      <c r="D823" t="inlineStr">
        <is>
          <t>NORRBOTTENS LÄN</t>
        </is>
      </c>
      <c r="E823" t="inlineStr">
        <is>
          <t>BODEN</t>
        </is>
      </c>
      <c r="G823" t="n">
        <v>7.9</v>
      </c>
      <c r="H823" t="n">
        <v>0</v>
      </c>
      <c r="I823" t="n">
        <v>0</v>
      </c>
      <c r="J823" t="n">
        <v>0</v>
      </c>
      <c r="K823" t="n">
        <v>0</v>
      </c>
      <c r="L823" t="n">
        <v>0</v>
      </c>
      <c r="M823" t="n">
        <v>0</v>
      </c>
      <c r="N823" t="n">
        <v>0</v>
      </c>
      <c r="O823" t="n">
        <v>0</v>
      </c>
      <c r="P823" t="n">
        <v>0</v>
      </c>
      <c r="Q823" t="n">
        <v>0</v>
      </c>
      <c r="R823" s="2" t="inlineStr"/>
    </row>
    <row r="824" ht="15" customHeight="1">
      <c r="A824" t="inlineStr">
        <is>
          <t>A 23569-2023</t>
        </is>
      </c>
      <c r="B824" s="1" t="n">
        <v>45077</v>
      </c>
      <c r="C824" s="1" t="n">
        <v>45849</v>
      </c>
      <c r="D824" t="inlineStr">
        <is>
          <t>NORRBOTTENS LÄN</t>
        </is>
      </c>
      <c r="E824" t="inlineStr">
        <is>
          <t>BODEN</t>
        </is>
      </c>
      <c r="G824" t="n">
        <v>4.1</v>
      </c>
      <c r="H824" t="n">
        <v>0</v>
      </c>
      <c r="I824" t="n">
        <v>0</v>
      </c>
      <c r="J824" t="n">
        <v>0</v>
      </c>
      <c r="K824" t="n">
        <v>0</v>
      </c>
      <c r="L824" t="n">
        <v>0</v>
      </c>
      <c r="M824" t="n">
        <v>0</v>
      </c>
      <c r="N824" t="n">
        <v>0</v>
      </c>
      <c r="O824" t="n">
        <v>0</v>
      </c>
      <c r="P824" t="n">
        <v>0</v>
      </c>
      <c r="Q824" t="n">
        <v>0</v>
      </c>
      <c r="R824" s="2" t="inlineStr"/>
    </row>
    <row r="825" ht="15" customHeight="1">
      <c r="A825" t="inlineStr">
        <is>
          <t>A 25390-2023</t>
        </is>
      </c>
      <c r="B825" s="1" t="n">
        <v>45079</v>
      </c>
      <c r="C825" s="1" t="n">
        <v>45849</v>
      </c>
      <c r="D825" t="inlineStr">
        <is>
          <t>NORRBOTTENS LÄN</t>
        </is>
      </c>
      <c r="E825" t="inlineStr">
        <is>
          <t>BODEN</t>
        </is>
      </c>
      <c r="G825" t="n">
        <v>4.7</v>
      </c>
      <c r="H825" t="n">
        <v>0</v>
      </c>
      <c r="I825" t="n">
        <v>0</v>
      </c>
      <c r="J825" t="n">
        <v>0</v>
      </c>
      <c r="K825" t="n">
        <v>0</v>
      </c>
      <c r="L825" t="n">
        <v>0</v>
      </c>
      <c r="M825" t="n">
        <v>0</v>
      </c>
      <c r="N825" t="n">
        <v>0</v>
      </c>
      <c r="O825" t="n">
        <v>0</v>
      </c>
      <c r="P825" t="n">
        <v>0</v>
      </c>
      <c r="Q825" t="n">
        <v>0</v>
      </c>
      <c r="R825" s="2" t="inlineStr"/>
    </row>
    <row r="826" ht="15" customHeight="1">
      <c r="A826" t="inlineStr">
        <is>
          <t>A 25387-2023</t>
        </is>
      </c>
      <c r="B826" s="1" t="n">
        <v>45079</v>
      </c>
      <c r="C826" s="1" t="n">
        <v>45849</v>
      </c>
      <c r="D826" t="inlineStr">
        <is>
          <t>NORRBOTTENS LÄN</t>
        </is>
      </c>
      <c r="E826" t="inlineStr">
        <is>
          <t>BODEN</t>
        </is>
      </c>
      <c r="G826" t="n">
        <v>6.7</v>
      </c>
      <c r="H826" t="n">
        <v>0</v>
      </c>
      <c r="I826" t="n">
        <v>0</v>
      </c>
      <c r="J826" t="n">
        <v>0</v>
      </c>
      <c r="K826" t="n">
        <v>0</v>
      </c>
      <c r="L826" t="n">
        <v>0</v>
      </c>
      <c r="M826" t="n">
        <v>0</v>
      </c>
      <c r="N826" t="n">
        <v>0</v>
      </c>
      <c r="O826" t="n">
        <v>0</v>
      </c>
      <c r="P826" t="n">
        <v>0</v>
      </c>
      <c r="Q826" t="n">
        <v>0</v>
      </c>
      <c r="R826" s="2" t="inlineStr"/>
    </row>
    <row r="827" ht="15" customHeight="1">
      <c r="A827" t="inlineStr">
        <is>
          <t>A 24734-2023</t>
        </is>
      </c>
      <c r="B827" s="1" t="n">
        <v>45084</v>
      </c>
      <c r="C827" s="1" t="n">
        <v>45849</v>
      </c>
      <c r="D827" t="inlineStr">
        <is>
          <t>NORRBOTTENS LÄN</t>
        </is>
      </c>
      <c r="E827" t="inlineStr">
        <is>
          <t>BODEN</t>
        </is>
      </c>
      <c r="F827" t="inlineStr">
        <is>
          <t>Sveaskog</t>
        </is>
      </c>
      <c r="G827" t="n">
        <v>8.4</v>
      </c>
      <c r="H827" t="n">
        <v>0</v>
      </c>
      <c r="I827" t="n">
        <v>0</v>
      </c>
      <c r="J827" t="n">
        <v>0</v>
      </c>
      <c r="K827" t="n">
        <v>0</v>
      </c>
      <c r="L827" t="n">
        <v>0</v>
      </c>
      <c r="M827" t="n">
        <v>0</v>
      </c>
      <c r="N827" t="n">
        <v>0</v>
      </c>
      <c r="O827" t="n">
        <v>0</v>
      </c>
      <c r="P827" t="n">
        <v>0</v>
      </c>
      <c r="Q827" t="n">
        <v>0</v>
      </c>
      <c r="R827" s="2" t="inlineStr"/>
    </row>
    <row r="828" ht="15" customHeight="1">
      <c r="A828" t="inlineStr">
        <is>
          <t>A 24758-2023</t>
        </is>
      </c>
      <c r="B828" s="1" t="n">
        <v>45084</v>
      </c>
      <c r="C828" s="1" t="n">
        <v>45849</v>
      </c>
      <c r="D828" t="inlineStr">
        <is>
          <t>NORRBOTTENS LÄN</t>
        </is>
      </c>
      <c r="E828" t="inlineStr">
        <is>
          <t>BODEN</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24755-2023</t>
        </is>
      </c>
      <c r="B829" s="1" t="n">
        <v>45084</v>
      </c>
      <c r="C829" s="1" t="n">
        <v>45849</v>
      </c>
      <c r="D829" t="inlineStr">
        <is>
          <t>NORRBOTTENS LÄN</t>
        </is>
      </c>
      <c r="E829" t="inlineStr">
        <is>
          <t>BODEN</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25049-2023</t>
        </is>
      </c>
      <c r="B830" s="1" t="n">
        <v>45086</v>
      </c>
      <c r="C830" s="1" t="n">
        <v>45849</v>
      </c>
      <c r="D830" t="inlineStr">
        <is>
          <t>NORRBOTTENS LÄN</t>
        </is>
      </c>
      <c r="E830" t="inlineStr">
        <is>
          <t>BODEN</t>
        </is>
      </c>
      <c r="F830" t="inlineStr">
        <is>
          <t>SCA</t>
        </is>
      </c>
      <c r="G830" t="n">
        <v>17.4</v>
      </c>
      <c r="H830" t="n">
        <v>0</v>
      </c>
      <c r="I830" t="n">
        <v>0</v>
      </c>
      <c r="J830" t="n">
        <v>0</v>
      </c>
      <c r="K830" t="n">
        <v>0</v>
      </c>
      <c r="L830" t="n">
        <v>0</v>
      </c>
      <c r="M830" t="n">
        <v>0</v>
      </c>
      <c r="N830" t="n">
        <v>0</v>
      </c>
      <c r="O830" t="n">
        <v>0</v>
      </c>
      <c r="P830" t="n">
        <v>0</v>
      </c>
      <c r="Q830" t="n">
        <v>0</v>
      </c>
      <c r="R830" s="2" t="inlineStr"/>
    </row>
    <row r="831" ht="15" customHeight="1">
      <c r="A831" t="inlineStr">
        <is>
          <t>A 25920-2023</t>
        </is>
      </c>
      <c r="B831" s="1" t="n">
        <v>45085</v>
      </c>
      <c r="C831" s="1" t="n">
        <v>45849</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25916-2023</t>
        </is>
      </c>
      <c r="B832" s="1" t="n">
        <v>45085</v>
      </c>
      <c r="C832" s="1" t="n">
        <v>45849</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25414-2023</t>
        </is>
      </c>
      <c r="B833" s="1" t="n">
        <v>45089</v>
      </c>
      <c r="C833" s="1" t="n">
        <v>45849</v>
      </c>
      <c r="D833" t="inlineStr">
        <is>
          <t>NORRBOTTENS LÄN</t>
        </is>
      </c>
      <c r="E833" t="inlineStr">
        <is>
          <t>BODEN</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25622-2023</t>
        </is>
      </c>
      <c r="B834" s="1" t="n">
        <v>45089</v>
      </c>
      <c r="C834" s="1" t="n">
        <v>45849</v>
      </c>
      <c r="D834" t="inlineStr">
        <is>
          <t>NORRBOTTENS LÄN</t>
        </is>
      </c>
      <c r="E834" t="inlineStr">
        <is>
          <t>BODEN</t>
        </is>
      </c>
      <c r="F834" t="inlineStr">
        <is>
          <t>Sveaskog</t>
        </is>
      </c>
      <c r="G834" t="n">
        <v>28.2</v>
      </c>
      <c r="H834" t="n">
        <v>0</v>
      </c>
      <c r="I834" t="n">
        <v>0</v>
      </c>
      <c r="J834" t="n">
        <v>0</v>
      </c>
      <c r="K834" t="n">
        <v>0</v>
      </c>
      <c r="L834" t="n">
        <v>0</v>
      </c>
      <c r="M834" t="n">
        <v>0</v>
      </c>
      <c r="N834" t="n">
        <v>0</v>
      </c>
      <c r="O834" t="n">
        <v>0</v>
      </c>
      <c r="P834" t="n">
        <v>0</v>
      </c>
      <c r="Q834" t="n">
        <v>0</v>
      </c>
      <c r="R834" s="2" t="inlineStr"/>
    </row>
    <row r="835" ht="15" customHeight="1">
      <c r="A835" t="inlineStr">
        <is>
          <t>A 26271-2023</t>
        </is>
      </c>
      <c r="B835" s="1" t="n">
        <v>45091</v>
      </c>
      <c r="C835" s="1" t="n">
        <v>45849</v>
      </c>
      <c r="D835" t="inlineStr">
        <is>
          <t>NORRBOTTENS LÄN</t>
        </is>
      </c>
      <c r="E835" t="inlineStr">
        <is>
          <t>BODEN</t>
        </is>
      </c>
      <c r="G835" t="n">
        <v>11</v>
      </c>
      <c r="H835" t="n">
        <v>0</v>
      </c>
      <c r="I835" t="n">
        <v>0</v>
      </c>
      <c r="J835" t="n">
        <v>0</v>
      </c>
      <c r="K835" t="n">
        <v>0</v>
      </c>
      <c r="L835" t="n">
        <v>0</v>
      </c>
      <c r="M835" t="n">
        <v>0</v>
      </c>
      <c r="N835" t="n">
        <v>0</v>
      </c>
      <c r="O835" t="n">
        <v>0</v>
      </c>
      <c r="P835" t="n">
        <v>0</v>
      </c>
      <c r="Q835" t="n">
        <v>0</v>
      </c>
      <c r="R835" s="2" t="inlineStr"/>
    </row>
    <row r="836" ht="15" customHeight="1">
      <c r="A836" t="inlineStr">
        <is>
          <t>A 26035-2023</t>
        </is>
      </c>
      <c r="B836" s="1" t="n">
        <v>45091</v>
      </c>
      <c r="C836" s="1" t="n">
        <v>45849</v>
      </c>
      <c r="D836" t="inlineStr">
        <is>
          <t>NORRBOTTENS LÄN</t>
        </is>
      </c>
      <c r="E836" t="inlineStr">
        <is>
          <t>BODEN</t>
        </is>
      </c>
      <c r="G836" t="n">
        <v>14.1</v>
      </c>
      <c r="H836" t="n">
        <v>0</v>
      </c>
      <c r="I836" t="n">
        <v>0</v>
      </c>
      <c r="J836" t="n">
        <v>0</v>
      </c>
      <c r="K836" t="n">
        <v>0</v>
      </c>
      <c r="L836" t="n">
        <v>0</v>
      </c>
      <c r="M836" t="n">
        <v>0</v>
      </c>
      <c r="N836" t="n">
        <v>0</v>
      </c>
      <c r="O836" t="n">
        <v>0</v>
      </c>
      <c r="P836" t="n">
        <v>0</v>
      </c>
      <c r="Q836" t="n">
        <v>0</v>
      </c>
      <c r="R836" s="2" t="inlineStr"/>
    </row>
    <row r="837" ht="15" customHeight="1">
      <c r="A837" t="inlineStr">
        <is>
          <t>A 26576-2023</t>
        </is>
      </c>
      <c r="B837" s="1" t="n">
        <v>45092</v>
      </c>
      <c r="C837" s="1" t="n">
        <v>45849</v>
      </c>
      <c r="D837" t="inlineStr">
        <is>
          <t>NORRBOTTENS LÄN</t>
        </is>
      </c>
      <c r="E837" t="inlineStr">
        <is>
          <t>BODEN</t>
        </is>
      </c>
      <c r="F837" t="inlineStr">
        <is>
          <t>Sveaskog</t>
        </is>
      </c>
      <c r="G837" t="n">
        <v>19.2</v>
      </c>
      <c r="H837" t="n">
        <v>0</v>
      </c>
      <c r="I837" t="n">
        <v>0</v>
      </c>
      <c r="J837" t="n">
        <v>0</v>
      </c>
      <c r="K837" t="n">
        <v>0</v>
      </c>
      <c r="L837" t="n">
        <v>0</v>
      </c>
      <c r="M837" t="n">
        <v>0</v>
      </c>
      <c r="N837" t="n">
        <v>0</v>
      </c>
      <c r="O837" t="n">
        <v>0</v>
      </c>
      <c r="P837" t="n">
        <v>0</v>
      </c>
      <c r="Q837" t="n">
        <v>0</v>
      </c>
      <c r="R837" s="2" t="inlineStr"/>
    </row>
    <row r="838" ht="15" customHeight="1">
      <c r="A838" t="inlineStr">
        <is>
          <t>A 26579-2023</t>
        </is>
      </c>
      <c r="B838" s="1" t="n">
        <v>45092</v>
      </c>
      <c r="C838" s="1" t="n">
        <v>45849</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26963-2023</t>
        </is>
      </c>
      <c r="B839" s="1" t="n">
        <v>45093</v>
      </c>
      <c r="C839" s="1" t="n">
        <v>45849</v>
      </c>
      <c r="D839" t="inlineStr">
        <is>
          <t>NORRBOTTENS LÄN</t>
        </is>
      </c>
      <c r="E839" t="inlineStr">
        <is>
          <t>BODEN</t>
        </is>
      </c>
      <c r="F839" t="inlineStr">
        <is>
          <t>Sveaskog</t>
        </is>
      </c>
      <c r="G839" t="n">
        <v>7</v>
      </c>
      <c r="H839" t="n">
        <v>0</v>
      </c>
      <c r="I839" t="n">
        <v>0</v>
      </c>
      <c r="J839" t="n">
        <v>0</v>
      </c>
      <c r="K839" t="n">
        <v>0</v>
      </c>
      <c r="L839" t="n">
        <v>0</v>
      </c>
      <c r="M839" t="n">
        <v>0</v>
      </c>
      <c r="N839" t="n">
        <v>0</v>
      </c>
      <c r="O839" t="n">
        <v>0</v>
      </c>
      <c r="P839" t="n">
        <v>0</v>
      </c>
      <c r="Q839" t="n">
        <v>0</v>
      </c>
      <c r="R839" s="2" t="inlineStr"/>
    </row>
    <row r="840" ht="15" customHeight="1">
      <c r="A840" t="inlineStr">
        <is>
          <t>A 26964-2023</t>
        </is>
      </c>
      <c r="B840" s="1" t="n">
        <v>45093</v>
      </c>
      <c r="C840" s="1" t="n">
        <v>45849</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27450-2023</t>
        </is>
      </c>
      <c r="B841" s="1" t="n">
        <v>45097</v>
      </c>
      <c r="C841" s="1" t="n">
        <v>45849</v>
      </c>
      <c r="D841" t="inlineStr">
        <is>
          <t>NORRBOTTENS LÄN</t>
        </is>
      </c>
      <c r="E841" t="inlineStr">
        <is>
          <t>BODEN</t>
        </is>
      </c>
      <c r="G841" t="n">
        <v>4.9</v>
      </c>
      <c r="H841" t="n">
        <v>0</v>
      </c>
      <c r="I841" t="n">
        <v>0</v>
      </c>
      <c r="J841" t="n">
        <v>0</v>
      </c>
      <c r="K841" t="n">
        <v>0</v>
      </c>
      <c r="L841" t="n">
        <v>0</v>
      </c>
      <c r="M841" t="n">
        <v>0</v>
      </c>
      <c r="N841" t="n">
        <v>0</v>
      </c>
      <c r="O841" t="n">
        <v>0</v>
      </c>
      <c r="P841" t="n">
        <v>0</v>
      </c>
      <c r="Q841" t="n">
        <v>0</v>
      </c>
      <c r="R841" s="2" t="inlineStr"/>
    </row>
    <row r="842" ht="15" customHeight="1">
      <c r="A842" t="inlineStr">
        <is>
          <t>A 27797-2023</t>
        </is>
      </c>
      <c r="B842" s="1" t="n">
        <v>45098</v>
      </c>
      <c r="C842" s="1" t="n">
        <v>45849</v>
      </c>
      <c r="D842" t="inlineStr">
        <is>
          <t>NORRBOTTENS LÄN</t>
        </is>
      </c>
      <c r="E842" t="inlineStr">
        <is>
          <t>BODEN</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27803-2023</t>
        </is>
      </c>
      <c r="B843" s="1" t="n">
        <v>45098</v>
      </c>
      <c r="C843" s="1" t="n">
        <v>45849</v>
      </c>
      <c r="D843" t="inlineStr">
        <is>
          <t>NORRBOTTENS LÄN</t>
        </is>
      </c>
      <c r="E843" t="inlineStr">
        <is>
          <t>BODEN</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28109-2023</t>
        </is>
      </c>
      <c r="B844" s="1" t="n">
        <v>45099</v>
      </c>
      <c r="C844" s="1" t="n">
        <v>45849</v>
      </c>
      <c r="D844" t="inlineStr">
        <is>
          <t>NORRBOTTENS LÄN</t>
        </is>
      </c>
      <c r="E844" t="inlineStr">
        <is>
          <t>BODEN</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28357-2023</t>
        </is>
      </c>
      <c r="B845" s="1" t="n">
        <v>45100</v>
      </c>
      <c r="C845" s="1" t="n">
        <v>45849</v>
      </c>
      <c r="D845" t="inlineStr">
        <is>
          <t>NORRBOTTENS LÄN</t>
        </is>
      </c>
      <c r="E845" t="inlineStr">
        <is>
          <t>BODEN</t>
        </is>
      </c>
      <c r="G845" t="n">
        <v>4.5</v>
      </c>
      <c r="H845" t="n">
        <v>0</v>
      </c>
      <c r="I845" t="n">
        <v>0</v>
      </c>
      <c r="J845" t="n">
        <v>0</v>
      </c>
      <c r="K845" t="n">
        <v>0</v>
      </c>
      <c r="L845" t="n">
        <v>0</v>
      </c>
      <c r="M845" t="n">
        <v>0</v>
      </c>
      <c r="N845" t="n">
        <v>0</v>
      </c>
      <c r="O845" t="n">
        <v>0</v>
      </c>
      <c r="P845" t="n">
        <v>0</v>
      </c>
      <c r="Q845" t="n">
        <v>0</v>
      </c>
      <c r="R845" s="2" t="inlineStr"/>
    </row>
    <row r="846" ht="15" customHeight="1">
      <c r="A846" t="inlineStr">
        <is>
          <t>A 28359-2023</t>
        </is>
      </c>
      <c r="B846" s="1" t="n">
        <v>45099</v>
      </c>
      <c r="C846" s="1" t="n">
        <v>45849</v>
      </c>
      <c r="D846" t="inlineStr">
        <is>
          <t>NORRBOTTENS LÄN</t>
        </is>
      </c>
      <c r="E846" t="inlineStr">
        <is>
          <t>BODEN</t>
        </is>
      </c>
      <c r="G846" t="n">
        <v>7.6</v>
      </c>
      <c r="H846" t="n">
        <v>0</v>
      </c>
      <c r="I846" t="n">
        <v>0</v>
      </c>
      <c r="J846" t="n">
        <v>0</v>
      </c>
      <c r="K846" t="n">
        <v>0</v>
      </c>
      <c r="L846" t="n">
        <v>0</v>
      </c>
      <c r="M846" t="n">
        <v>0</v>
      </c>
      <c r="N846" t="n">
        <v>0</v>
      </c>
      <c r="O846" t="n">
        <v>0</v>
      </c>
      <c r="P846" t="n">
        <v>0</v>
      </c>
      <c r="Q846" t="n">
        <v>0</v>
      </c>
      <c r="R846" s="2" t="inlineStr"/>
    </row>
    <row r="847" ht="15" customHeight="1">
      <c r="A847" t="inlineStr">
        <is>
          <t>A 30114-2023</t>
        </is>
      </c>
      <c r="B847" s="1" t="n">
        <v>45099</v>
      </c>
      <c r="C847" s="1" t="n">
        <v>45849</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30105-2023</t>
        </is>
      </c>
      <c r="B848" s="1" t="n">
        <v>45099</v>
      </c>
      <c r="C848" s="1" t="n">
        <v>45849</v>
      </c>
      <c r="D848" t="inlineStr">
        <is>
          <t>NORRBOTTENS LÄN</t>
        </is>
      </c>
      <c r="E848" t="inlineStr">
        <is>
          <t>BODEN</t>
        </is>
      </c>
      <c r="G848" t="n">
        <v>2.9</v>
      </c>
      <c r="H848" t="n">
        <v>0</v>
      </c>
      <c r="I848" t="n">
        <v>0</v>
      </c>
      <c r="J848" t="n">
        <v>0</v>
      </c>
      <c r="K848" t="n">
        <v>0</v>
      </c>
      <c r="L848" t="n">
        <v>0</v>
      </c>
      <c r="M848" t="n">
        <v>0</v>
      </c>
      <c r="N848" t="n">
        <v>0</v>
      </c>
      <c r="O848" t="n">
        <v>0</v>
      </c>
      <c r="P848" t="n">
        <v>0</v>
      </c>
      <c r="Q848" t="n">
        <v>0</v>
      </c>
      <c r="R848" s="2" t="inlineStr"/>
    </row>
    <row r="849" ht="15" customHeight="1">
      <c r="A849" t="inlineStr">
        <is>
          <t>A 28444-2023</t>
        </is>
      </c>
      <c r="B849" s="1" t="n">
        <v>45103</v>
      </c>
      <c r="C849" s="1" t="n">
        <v>45849</v>
      </c>
      <c r="D849" t="inlineStr">
        <is>
          <t>NORRBOTTENS LÄN</t>
        </is>
      </c>
      <c r="E849" t="inlineStr">
        <is>
          <t>BODEN</t>
        </is>
      </c>
      <c r="G849" t="n">
        <v>1.7</v>
      </c>
      <c r="H849" t="n">
        <v>0</v>
      </c>
      <c r="I849" t="n">
        <v>0</v>
      </c>
      <c r="J849" t="n">
        <v>0</v>
      </c>
      <c r="K849" t="n">
        <v>0</v>
      </c>
      <c r="L849" t="n">
        <v>0</v>
      </c>
      <c r="M849" t="n">
        <v>0</v>
      </c>
      <c r="N849" t="n">
        <v>0</v>
      </c>
      <c r="O849" t="n">
        <v>0</v>
      </c>
      <c r="P849" t="n">
        <v>0</v>
      </c>
      <c r="Q849" t="n">
        <v>0</v>
      </c>
      <c r="R849" s="2" t="inlineStr"/>
    </row>
    <row r="850" ht="15" customHeight="1">
      <c r="A850" t="inlineStr">
        <is>
          <t>A 28442-2023</t>
        </is>
      </c>
      <c r="B850" s="1" t="n">
        <v>45102</v>
      </c>
      <c r="C850" s="1" t="n">
        <v>45849</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28746-2023</t>
        </is>
      </c>
      <c r="B851" s="1" t="n">
        <v>45104</v>
      </c>
      <c r="C851" s="1" t="n">
        <v>45849</v>
      </c>
      <c r="D851" t="inlineStr">
        <is>
          <t>NORRBOTTENS LÄN</t>
        </is>
      </c>
      <c r="E851" t="inlineStr">
        <is>
          <t>BODEN</t>
        </is>
      </c>
      <c r="G851" t="n">
        <v>6</v>
      </c>
      <c r="H851" t="n">
        <v>0</v>
      </c>
      <c r="I851" t="n">
        <v>0</v>
      </c>
      <c r="J851" t="n">
        <v>0</v>
      </c>
      <c r="K851" t="n">
        <v>0</v>
      </c>
      <c r="L851" t="n">
        <v>0</v>
      </c>
      <c r="M851" t="n">
        <v>0</v>
      </c>
      <c r="N851" t="n">
        <v>0</v>
      </c>
      <c r="O851" t="n">
        <v>0</v>
      </c>
      <c r="P851" t="n">
        <v>0</v>
      </c>
      <c r="Q851" t="n">
        <v>0</v>
      </c>
      <c r="R851" s="2" t="inlineStr"/>
    </row>
    <row r="852" ht="15" customHeight="1">
      <c r="A852" t="inlineStr">
        <is>
          <t>A 28745-2023</t>
        </is>
      </c>
      <c r="B852" s="1" t="n">
        <v>45104</v>
      </c>
      <c r="C852" s="1" t="n">
        <v>45849</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28574-2023</t>
        </is>
      </c>
      <c r="B853" s="1" t="n">
        <v>45103</v>
      </c>
      <c r="C853" s="1" t="n">
        <v>45849</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28916-2023</t>
        </is>
      </c>
      <c r="B854" s="1" t="n">
        <v>45104</v>
      </c>
      <c r="C854" s="1" t="n">
        <v>45849</v>
      </c>
      <c r="D854" t="inlineStr">
        <is>
          <t>NORRBOTTENS LÄN</t>
        </is>
      </c>
      <c r="E854" t="inlineStr">
        <is>
          <t>BODEN</t>
        </is>
      </c>
      <c r="G854" t="n">
        <v>6.4</v>
      </c>
      <c r="H854" t="n">
        <v>0</v>
      </c>
      <c r="I854" t="n">
        <v>0</v>
      </c>
      <c r="J854" t="n">
        <v>0</v>
      </c>
      <c r="K854" t="n">
        <v>0</v>
      </c>
      <c r="L854" t="n">
        <v>0</v>
      </c>
      <c r="M854" t="n">
        <v>0</v>
      </c>
      <c r="N854" t="n">
        <v>0</v>
      </c>
      <c r="O854" t="n">
        <v>0</v>
      </c>
      <c r="P854" t="n">
        <v>0</v>
      </c>
      <c r="Q854" t="n">
        <v>0</v>
      </c>
      <c r="R854" s="2" t="inlineStr"/>
    </row>
    <row r="855" ht="15" customHeight="1">
      <c r="A855" t="inlineStr">
        <is>
          <t>A 29150-2023</t>
        </is>
      </c>
      <c r="B855" s="1" t="n">
        <v>45105</v>
      </c>
      <c r="C855" s="1" t="n">
        <v>45849</v>
      </c>
      <c r="D855" t="inlineStr">
        <is>
          <t>NORRBOTTENS LÄN</t>
        </is>
      </c>
      <c r="E855" t="inlineStr">
        <is>
          <t>BODEN</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29174-2023</t>
        </is>
      </c>
      <c r="B856" s="1" t="n">
        <v>45105</v>
      </c>
      <c r="C856" s="1" t="n">
        <v>45849</v>
      </c>
      <c r="D856" t="inlineStr">
        <is>
          <t>NORRBOTTENS LÄN</t>
        </is>
      </c>
      <c r="E856" t="inlineStr">
        <is>
          <t>BODEN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29215-2023</t>
        </is>
      </c>
      <c r="B857" s="1" t="n">
        <v>45105</v>
      </c>
      <c r="C857" s="1" t="n">
        <v>45849</v>
      </c>
      <c r="D857" t="inlineStr">
        <is>
          <t>NORRBOTTENS LÄN</t>
        </is>
      </c>
      <c r="E857" t="inlineStr">
        <is>
          <t>BODEN</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29309-2023</t>
        </is>
      </c>
      <c r="B858" s="1" t="n">
        <v>45106</v>
      </c>
      <c r="C858" s="1" t="n">
        <v>45849</v>
      </c>
      <c r="D858" t="inlineStr">
        <is>
          <t>NORRBOTTENS LÄN</t>
        </is>
      </c>
      <c r="E858" t="inlineStr">
        <is>
          <t>BODEN</t>
        </is>
      </c>
      <c r="G858" t="n">
        <v>3.2</v>
      </c>
      <c r="H858" t="n">
        <v>0</v>
      </c>
      <c r="I858" t="n">
        <v>0</v>
      </c>
      <c r="J858" t="n">
        <v>0</v>
      </c>
      <c r="K858" t="n">
        <v>0</v>
      </c>
      <c r="L858" t="n">
        <v>0</v>
      </c>
      <c r="M858" t="n">
        <v>0</v>
      </c>
      <c r="N858" t="n">
        <v>0</v>
      </c>
      <c r="O858" t="n">
        <v>0</v>
      </c>
      <c r="P858" t="n">
        <v>0</v>
      </c>
      <c r="Q858" t="n">
        <v>0</v>
      </c>
      <c r="R858" s="2" t="inlineStr"/>
    </row>
    <row r="859" ht="15" customHeight="1">
      <c r="A859" t="inlineStr">
        <is>
          <t>A 29308-2023</t>
        </is>
      </c>
      <c r="B859" s="1" t="n">
        <v>45106</v>
      </c>
      <c r="C859" s="1" t="n">
        <v>45849</v>
      </c>
      <c r="D859" t="inlineStr">
        <is>
          <t>NORRBOTTENS LÄN</t>
        </is>
      </c>
      <c r="E859" t="inlineStr">
        <is>
          <t>BODEN</t>
        </is>
      </c>
      <c r="G859" t="n">
        <v>3</v>
      </c>
      <c r="H859" t="n">
        <v>0</v>
      </c>
      <c r="I859" t="n">
        <v>0</v>
      </c>
      <c r="J859" t="n">
        <v>0</v>
      </c>
      <c r="K859" t="n">
        <v>0</v>
      </c>
      <c r="L859" t="n">
        <v>0</v>
      </c>
      <c r="M859" t="n">
        <v>0</v>
      </c>
      <c r="N859" t="n">
        <v>0</v>
      </c>
      <c r="O859" t="n">
        <v>0</v>
      </c>
      <c r="P859" t="n">
        <v>0</v>
      </c>
      <c r="Q859" t="n">
        <v>0</v>
      </c>
      <c r="R859" s="2" t="inlineStr"/>
    </row>
    <row r="860" ht="15" customHeight="1">
      <c r="A860" t="inlineStr">
        <is>
          <t>A 29307-2023</t>
        </is>
      </c>
      <c r="B860" s="1" t="n">
        <v>45106</v>
      </c>
      <c r="C860" s="1" t="n">
        <v>45849</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29311-2023</t>
        </is>
      </c>
      <c r="B861" s="1" t="n">
        <v>45106</v>
      </c>
      <c r="C861" s="1" t="n">
        <v>45849</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29920-2023</t>
        </is>
      </c>
      <c r="B862" s="1" t="n">
        <v>45107</v>
      </c>
      <c r="C862" s="1" t="n">
        <v>45849</v>
      </c>
      <c r="D862" t="inlineStr">
        <is>
          <t>NORRBOTTENS LÄN</t>
        </is>
      </c>
      <c r="E862" t="inlineStr">
        <is>
          <t>BODEN</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29919-2023</t>
        </is>
      </c>
      <c r="B863" s="1" t="n">
        <v>45107</v>
      </c>
      <c r="C863" s="1" t="n">
        <v>45849</v>
      </c>
      <c r="D863" t="inlineStr">
        <is>
          <t>NORRBOTTENS LÄN</t>
        </is>
      </c>
      <c r="E863" t="inlineStr">
        <is>
          <t>BODEN</t>
        </is>
      </c>
      <c r="F863" t="inlineStr">
        <is>
          <t>Sveaskog</t>
        </is>
      </c>
      <c r="G863" t="n">
        <v>11.7</v>
      </c>
      <c r="H863" t="n">
        <v>0</v>
      </c>
      <c r="I863" t="n">
        <v>0</v>
      </c>
      <c r="J863" t="n">
        <v>0</v>
      </c>
      <c r="K863" t="n">
        <v>0</v>
      </c>
      <c r="L863" t="n">
        <v>0</v>
      </c>
      <c r="M863" t="n">
        <v>0</v>
      </c>
      <c r="N863" t="n">
        <v>0</v>
      </c>
      <c r="O863" t="n">
        <v>0</v>
      </c>
      <c r="P863" t="n">
        <v>0</v>
      </c>
      <c r="Q863" t="n">
        <v>0</v>
      </c>
      <c r="R863" s="2" t="inlineStr"/>
    </row>
    <row r="864" ht="15" customHeight="1">
      <c r="A864" t="inlineStr">
        <is>
          <t>A 30300-2023</t>
        </is>
      </c>
      <c r="B864" s="1" t="n">
        <v>45110</v>
      </c>
      <c r="C864" s="1" t="n">
        <v>45849</v>
      </c>
      <c r="D864" t="inlineStr">
        <is>
          <t>NORRBOTTENS LÄN</t>
        </is>
      </c>
      <c r="E864" t="inlineStr">
        <is>
          <t>BODEN</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30299-2023</t>
        </is>
      </c>
      <c r="B865" s="1" t="n">
        <v>45110</v>
      </c>
      <c r="C865" s="1" t="n">
        <v>45849</v>
      </c>
      <c r="D865" t="inlineStr">
        <is>
          <t>NORRBOTTENS LÄN</t>
        </is>
      </c>
      <c r="E865" t="inlineStr">
        <is>
          <t>BODEN</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30301-2023</t>
        </is>
      </c>
      <c r="B866" s="1" t="n">
        <v>45111</v>
      </c>
      <c r="C866" s="1" t="n">
        <v>45849</v>
      </c>
      <c r="D866" t="inlineStr">
        <is>
          <t>NORRBOTTENS LÄN</t>
        </is>
      </c>
      <c r="E866" t="inlineStr">
        <is>
          <t>BODEN</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30302-2023</t>
        </is>
      </c>
      <c r="B867" s="1" t="n">
        <v>45111</v>
      </c>
      <c r="C867" s="1" t="n">
        <v>45849</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32412-2023</t>
        </is>
      </c>
      <c r="B868" s="1" t="n">
        <v>45110</v>
      </c>
      <c r="C868" s="1" t="n">
        <v>45849</v>
      </c>
      <c r="D868" t="inlineStr">
        <is>
          <t>NORRBOTTENS LÄN</t>
        </is>
      </c>
      <c r="E868" t="inlineStr">
        <is>
          <t>BODEN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31066-2023</t>
        </is>
      </c>
      <c r="B869" s="1" t="n">
        <v>45113</v>
      </c>
      <c r="C869" s="1" t="n">
        <v>45849</v>
      </c>
      <c r="D869" t="inlineStr">
        <is>
          <t>NORRBOTTENS LÄN</t>
        </is>
      </c>
      <c r="E869" t="inlineStr">
        <is>
          <t>BODEN</t>
        </is>
      </c>
      <c r="G869" t="n">
        <v>19.4</v>
      </c>
      <c r="H869" t="n">
        <v>0</v>
      </c>
      <c r="I869" t="n">
        <v>0</v>
      </c>
      <c r="J869" t="n">
        <v>0</v>
      </c>
      <c r="K869" t="n">
        <v>0</v>
      </c>
      <c r="L869" t="n">
        <v>0</v>
      </c>
      <c r="M869" t="n">
        <v>0</v>
      </c>
      <c r="N869" t="n">
        <v>0</v>
      </c>
      <c r="O869" t="n">
        <v>0</v>
      </c>
      <c r="P869" t="n">
        <v>0</v>
      </c>
      <c r="Q869" t="n">
        <v>0</v>
      </c>
      <c r="R869" s="2" t="inlineStr"/>
    </row>
    <row r="870" ht="15" customHeight="1">
      <c r="A870" t="inlineStr">
        <is>
          <t>A 31102-2023</t>
        </is>
      </c>
      <c r="B870" s="1" t="n">
        <v>45113</v>
      </c>
      <c r="C870" s="1" t="n">
        <v>45849</v>
      </c>
      <c r="D870" t="inlineStr">
        <is>
          <t>NORRBOTTENS LÄN</t>
        </is>
      </c>
      <c r="E870" t="inlineStr">
        <is>
          <t>BODEN</t>
        </is>
      </c>
      <c r="F870" t="inlineStr">
        <is>
          <t>Övriga Aktiebolag</t>
        </is>
      </c>
      <c r="G870" t="n">
        <v>7.3</v>
      </c>
      <c r="H870" t="n">
        <v>0</v>
      </c>
      <c r="I870" t="n">
        <v>0</v>
      </c>
      <c r="J870" t="n">
        <v>0</v>
      </c>
      <c r="K870" t="n">
        <v>0</v>
      </c>
      <c r="L870" t="n">
        <v>0</v>
      </c>
      <c r="M870" t="n">
        <v>0</v>
      </c>
      <c r="N870" t="n">
        <v>0</v>
      </c>
      <c r="O870" t="n">
        <v>0</v>
      </c>
      <c r="P870" t="n">
        <v>0</v>
      </c>
      <c r="Q870" t="n">
        <v>0</v>
      </c>
      <c r="R870" s="2" t="inlineStr"/>
    </row>
    <row r="871" ht="15" customHeight="1">
      <c r="A871" t="inlineStr">
        <is>
          <t>A 31226-2023</t>
        </is>
      </c>
      <c r="B871" s="1" t="n">
        <v>45114</v>
      </c>
      <c r="C871" s="1" t="n">
        <v>45849</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31297-2023</t>
        </is>
      </c>
      <c r="B872" s="1" t="n">
        <v>45114</v>
      </c>
      <c r="C872" s="1" t="n">
        <v>45849</v>
      </c>
      <c r="D872" t="inlineStr">
        <is>
          <t>NORRBOTTENS LÄN</t>
        </is>
      </c>
      <c r="E872" t="inlineStr">
        <is>
          <t>BODEN</t>
        </is>
      </c>
      <c r="G872" t="n">
        <v>7.8</v>
      </c>
      <c r="H872" t="n">
        <v>0</v>
      </c>
      <c r="I872" t="n">
        <v>0</v>
      </c>
      <c r="J872" t="n">
        <v>0</v>
      </c>
      <c r="K872" t="n">
        <v>0</v>
      </c>
      <c r="L872" t="n">
        <v>0</v>
      </c>
      <c r="M872" t="n">
        <v>0</v>
      </c>
      <c r="N872" t="n">
        <v>0</v>
      </c>
      <c r="O872" t="n">
        <v>0</v>
      </c>
      <c r="P872" t="n">
        <v>0</v>
      </c>
      <c r="Q872" t="n">
        <v>0</v>
      </c>
      <c r="R872" s="2" t="inlineStr"/>
    </row>
    <row r="873" ht="15" customHeight="1">
      <c r="A873" t="inlineStr">
        <is>
          <t>A 31590-2023</t>
        </is>
      </c>
      <c r="B873" s="1" t="n">
        <v>45117</v>
      </c>
      <c r="C873" s="1" t="n">
        <v>45849</v>
      </c>
      <c r="D873" t="inlineStr">
        <is>
          <t>NORRBOTTENS LÄN</t>
        </is>
      </c>
      <c r="E873" t="inlineStr">
        <is>
          <t>BODEN</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33751-2023</t>
        </is>
      </c>
      <c r="B874" s="1" t="n">
        <v>45120</v>
      </c>
      <c r="C874" s="1" t="n">
        <v>45849</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32782-2023</t>
        </is>
      </c>
      <c r="B875" s="1" t="n">
        <v>45124</v>
      </c>
      <c r="C875" s="1" t="n">
        <v>45849</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32781-2023</t>
        </is>
      </c>
      <c r="B876" s="1" t="n">
        <v>45124</v>
      </c>
      <c r="C876" s="1" t="n">
        <v>45849</v>
      </c>
      <c r="D876" t="inlineStr">
        <is>
          <t>NORRBOTTENS LÄN</t>
        </is>
      </c>
      <c r="E876" t="inlineStr">
        <is>
          <t>BODEN</t>
        </is>
      </c>
      <c r="G876" t="n">
        <v>5.9</v>
      </c>
      <c r="H876" t="n">
        <v>0</v>
      </c>
      <c r="I876" t="n">
        <v>0</v>
      </c>
      <c r="J876" t="n">
        <v>0</v>
      </c>
      <c r="K876" t="n">
        <v>0</v>
      </c>
      <c r="L876" t="n">
        <v>0</v>
      </c>
      <c r="M876" t="n">
        <v>0</v>
      </c>
      <c r="N876" t="n">
        <v>0</v>
      </c>
      <c r="O876" t="n">
        <v>0</v>
      </c>
      <c r="P876" t="n">
        <v>0</v>
      </c>
      <c r="Q876" t="n">
        <v>0</v>
      </c>
      <c r="R876" s="2" t="inlineStr"/>
    </row>
    <row r="877" ht="15" customHeight="1">
      <c r="A877" t="inlineStr">
        <is>
          <t>A 32784-2023</t>
        </is>
      </c>
      <c r="B877" s="1" t="n">
        <v>45124</v>
      </c>
      <c r="C877" s="1" t="n">
        <v>45849</v>
      </c>
      <c r="D877" t="inlineStr">
        <is>
          <t>NORRBOTTENS LÄN</t>
        </is>
      </c>
      <c r="E877" t="inlineStr">
        <is>
          <t>BODEN</t>
        </is>
      </c>
      <c r="G877" t="n">
        <v>1.7</v>
      </c>
      <c r="H877" t="n">
        <v>0</v>
      </c>
      <c r="I877" t="n">
        <v>0</v>
      </c>
      <c r="J877" t="n">
        <v>0</v>
      </c>
      <c r="K877" t="n">
        <v>0</v>
      </c>
      <c r="L877" t="n">
        <v>0</v>
      </c>
      <c r="M877" t="n">
        <v>0</v>
      </c>
      <c r="N877" t="n">
        <v>0</v>
      </c>
      <c r="O877" t="n">
        <v>0</v>
      </c>
      <c r="P877" t="n">
        <v>0</v>
      </c>
      <c r="Q877" t="n">
        <v>0</v>
      </c>
      <c r="R877" s="2" t="inlineStr"/>
    </row>
    <row r="878" ht="15" customHeight="1">
      <c r="A878" t="inlineStr">
        <is>
          <t>A 32902-2023</t>
        </is>
      </c>
      <c r="B878" s="1" t="n">
        <v>45125</v>
      </c>
      <c r="C878" s="1" t="n">
        <v>45849</v>
      </c>
      <c r="D878" t="inlineStr">
        <is>
          <t>NORRBOTTENS LÄN</t>
        </is>
      </c>
      <c r="E878" t="inlineStr">
        <is>
          <t>BODEN</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33945-2023</t>
        </is>
      </c>
      <c r="B879" s="1" t="n">
        <v>45124</v>
      </c>
      <c r="C879" s="1" t="n">
        <v>45849</v>
      </c>
      <c r="D879" t="inlineStr">
        <is>
          <t>NORRBOTTENS LÄN</t>
        </is>
      </c>
      <c r="E879" t="inlineStr">
        <is>
          <t>BODEN</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33034-2023</t>
        </is>
      </c>
      <c r="B880" s="1" t="n">
        <v>45126</v>
      </c>
      <c r="C880" s="1" t="n">
        <v>45849</v>
      </c>
      <c r="D880" t="inlineStr">
        <is>
          <t>NORRBOTTENS LÄN</t>
        </is>
      </c>
      <c r="E880" t="inlineStr">
        <is>
          <t>BODEN</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33168-2023</t>
        </is>
      </c>
      <c r="B881" s="1" t="n">
        <v>45127</v>
      </c>
      <c r="C881" s="1" t="n">
        <v>45849</v>
      </c>
      <c r="D881" t="inlineStr">
        <is>
          <t>NORRBOTTENS LÄN</t>
        </is>
      </c>
      <c r="E881" t="inlineStr">
        <is>
          <t>BODEN</t>
        </is>
      </c>
      <c r="G881" t="n">
        <v>12.2</v>
      </c>
      <c r="H881" t="n">
        <v>0</v>
      </c>
      <c r="I881" t="n">
        <v>0</v>
      </c>
      <c r="J881" t="n">
        <v>0</v>
      </c>
      <c r="K881" t="n">
        <v>0</v>
      </c>
      <c r="L881" t="n">
        <v>0</v>
      </c>
      <c r="M881" t="n">
        <v>0</v>
      </c>
      <c r="N881" t="n">
        <v>0</v>
      </c>
      <c r="O881" t="n">
        <v>0</v>
      </c>
      <c r="P881" t="n">
        <v>0</v>
      </c>
      <c r="Q881" t="n">
        <v>0</v>
      </c>
      <c r="R881" s="2" t="inlineStr"/>
    </row>
    <row r="882" ht="15" customHeight="1">
      <c r="A882" t="inlineStr">
        <is>
          <t>A 33333-2023</t>
        </is>
      </c>
      <c r="B882" s="1" t="n">
        <v>45128</v>
      </c>
      <c r="C882" s="1" t="n">
        <v>45849</v>
      </c>
      <c r="D882" t="inlineStr">
        <is>
          <t>NORRBOTTENS LÄN</t>
        </is>
      </c>
      <c r="E882" t="inlineStr">
        <is>
          <t>BODEN</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33445-2023</t>
        </is>
      </c>
      <c r="B883" s="1" t="n">
        <v>45130</v>
      </c>
      <c r="C883" s="1" t="n">
        <v>45849</v>
      </c>
      <c r="D883" t="inlineStr">
        <is>
          <t>NORRBOTTENS LÄN</t>
        </is>
      </c>
      <c r="E883" t="inlineStr">
        <is>
          <t>BODEN</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33697-2023</t>
        </is>
      </c>
      <c r="B884" s="1" t="n">
        <v>45132</v>
      </c>
      <c r="C884" s="1" t="n">
        <v>45849</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34134-2023</t>
        </is>
      </c>
      <c r="B885" s="1" t="n">
        <v>45136</v>
      </c>
      <c r="C885" s="1" t="n">
        <v>45849</v>
      </c>
      <c r="D885" t="inlineStr">
        <is>
          <t>NORRBOTTENS LÄN</t>
        </is>
      </c>
      <c r="E885" t="inlineStr">
        <is>
          <t>BODEN</t>
        </is>
      </c>
      <c r="G885" t="n">
        <v>7.6</v>
      </c>
      <c r="H885" t="n">
        <v>0</v>
      </c>
      <c r="I885" t="n">
        <v>0</v>
      </c>
      <c r="J885" t="n">
        <v>0</v>
      </c>
      <c r="K885" t="n">
        <v>0</v>
      </c>
      <c r="L885" t="n">
        <v>0</v>
      </c>
      <c r="M885" t="n">
        <v>0</v>
      </c>
      <c r="N885" t="n">
        <v>0</v>
      </c>
      <c r="O885" t="n">
        <v>0</v>
      </c>
      <c r="P885" t="n">
        <v>0</v>
      </c>
      <c r="Q885" t="n">
        <v>0</v>
      </c>
      <c r="R885" s="2" t="inlineStr"/>
    </row>
    <row r="886" ht="15" customHeight="1">
      <c r="A886" t="inlineStr">
        <is>
          <t>A 34165-2023</t>
        </is>
      </c>
      <c r="B886" s="1" t="n">
        <v>45138</v>
      </c>
      <c r="C886" s="1" t="n">
        <v>45849</v>
      </c>
      <c r="D886" t="inlineStr">
        <is>
          <t>NORRBOTTENS LÄN</t>
        </is>
      </c>
      <c r="E886" t="inlineStr">
        <is>
          <t>BODEN</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34270-2023</t>
        </is>
      </c>
      <c r="B887" s="1" t="n">
        <v>45138</v>
      </c>
      <c r="C887" s="1" t="n">
        <v>45849</v>
      </c>
      <c r="D887" t="inlineStr">
        <is>
          <t>NORRBOTTENS LÄN</t>
        </is>
      </c>
      <c r="E887" t="inlineStr">
        <is>
          <t>BODEN</t>
        </is>
      </c>
      <c r="G887" t="n">
        <v>2.9</v>
      </c>
      <c r="H887" t="n">
        <v>0</v>
      </c>
      <c r="I887" t="n">
        <v>0</v>
      </c>
      <c r="J887" t="n">
        <v>0</v>
      </c>
      <c r="K887" t="n">
        <v>0</v>
      </c>
      <c r="L887" t="n">
        <v>0</v>
      </c>
      <c r="M887" t="n">
        <v>0</v>
      </c>
      <c r="N887" t="n">
        <v>0</v>
      </c>
      <c r="O887" t="n">
        <v>0</v>
      </c>
      <c r="P887" t="n">
        <v>0</v>
      </c>
      <c r="Q887" t="n">
        <v>0</v>
      </c>
      <c r="R887" s="2" t="inlineStr"/>
    </row>
    <row r="888" ht="15" customHeight="1">
      <c r="A888" t="inlineStr">
        <is>
          <t>A 34353-2023</t>
        </is>
      </c>
      <c r="B888" s="1" t="n">
        <v>45139</v>
      </c>
      <c r="C888" s="1" t="n">
        <v>45849</v>
      </c>
      <c r="D888" t="inlineStr">
        <is>
          <t>NORRBOTTENS LÄN</t>
        </is>
      </c>
      <c r="E888" t="inlineStr">
        <is>
          <t>BODEN</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34749-2023</t>
        </is>
      </c>
      <c r="B889" s="1" t="n">
        <v>45139</v>
      </c>
      <c r="C889" s="1" t="n">
        <v>45849</v>
      </c>
      <c r="D889" t="inlineStr">
        <is>
          <t>NORRBOTTENS LÄN</t>
        </is>
      </c>
      <c r="E889" t="inlineStr">
        <is>
          <t>BODEN</t>
        </is>
      </c>
      <c r="F889" t="inlineStr">
        <is>
          <t>Kommuner</t>
        </is>
      </c>
      <c r="G889" t="n">
        <v>11.9</v>
      </c>
      <c r="H889" t="n">
        <v>0</v>
      </c>
      <c r="I889" t="n">
        <v>0</v>
      </c>
      <c r="J889" t="n">
        <v>0</v>
      </c>
      <c r="K889" t="n">
        <v>0</v>
      </c>
      <c r="L889" t="n">
        <v>0</v>
      </c>
      <c r="M889" t="n">
        <v>0</v>
      </c>
      <c r="N889" t="n">
        <v>0</v>
      </c>
      <c r="O889" t="n">
        <v>0</v>
      </c>
      <c r="P889" t="n">
        <v>0</v>
      </c>
      <c r="Q889" t="n">
        <v>0</v>
      </c>
      <c r="R889" s="2" t="inlineStr"/>
    </row>
    <row r="890" ht="15" customHeight="1">
      <c r="A890" t="inlineStr">
        <is>
          <t>A 34476-2023</t>
        </is>
      </c>
      <c r="B890" s="1" t="n">
        <v>45140</v>
      </c>
      <c r="C890" s="1" t="n">
        <v>45849</v>
      </c>
      <c r="D890" t="inlineStr">
        <is>
          <t>NORRBOTTENS LÄN</t>
        </is>
      </c>
      <c r="E890" t="inlineStr">
        <is>
          <t>BODEN</t>
        </is>
      </c>
      <c r="G890" t="n">
        <v>10.6</v>
      </c>
      <c r="H890" t="n">
        <v>0</v>
      </c>
      <c r="I890" t="n">
        <v>0</v>
      </c>
      <c r="J890" t="n">
        <v>0</v>
      </c>
      <c r="K890" t="n">
        <v>0</v>
      </c>
      <c r="L890" t="n">
        <v>0</v>
      </c>
      <c r="M890" t="n">
        <v>0</v>
      </c>
      <c r="N890" t="n">
        <v>0</v>
      </c>
      <c r="O890" t="n">
        <v>0</v>
      </c>
      <c r="P890" t="n">
        <v>0</v>
      </c>
      <c r="Q890" t="n">
        <v>0</v>
      </c>
      <c r="R890" s="2" t="inlineStr"/>
    </row>
    <row r="891" ht="15" customHeight="1">
      <c r="A891" t="inlineStr">
        <is>
          <t>A 34937-2023</t>
        </is>
      </c>
      <c r="B891" s="1" t="n">
        <v>45142</v>
      </c>
      <c r="C891" s="1" t="n">
        <v>45849</v>
      </c>
      <c r="D891" t="inlineStr">
        <is>
          <t>NORRBOTTENS LÄN</t>
        </is>
      </c>
      <c r="E891" t="inlineStr">
        <is>
          <t>BODEN</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35323-2023</t>
        </is>
      </c>
      <c r="B892" s="1" t="n">
        <v>45145</v>
      </c>
      <c r="C892" s="1" t="n">
        <v>45849</v>
      </c>
      <c r="D892" t="inlineStr">
        <is>
          <t>NORRBOTTENS LÄN</t>
        </is>
      </c>
      <c r="E892" t="inlineStr">
        <is>
          <t>BODEN</t>
        </is>
      </c>
      <c r="G892" t="n">
        <v>6.8</v>
      </c>
      <c r="H892" t="n">
        <v>0</v>
      </c>
      <c r="I892" t="n">
        <v>0</v>
      </c>
      <c r="J892" t="n">
        <v>0</v>
      </c>
      <c r="K892" t="n">
        <v>0</v>
      </c>
      <c r="L892" t="n">
        <v>0</v>
      </c>
      <c r="M892" t="n">
        <v>0</v>
      </c>
      <c r="N892" t="n">
        <v>0</v>
      </c>
      <c r="O892" t="n">
        <v>0</v>
      </c>
      <c r="P892" t="n">
        <v>0</v>
      </c>
      <c r="Q892" t="n">
        <v>0</v>
      </c>
      <c r="R892" s="2" t="inlineStr"/>
    </row>
    <row r="893" ht="15" customHeight="1">
      <c r="A893" t="inlineStr">
        <is>
          <t>A 37431-2023</t>
        </is>
      </c>
      <c r="B893" s="1" t="n">
        <v>45146</v>
      </c>
      <c r="C893" s="1" t="n">
        <v>45849</v>
      </c>
      <c r="D893" t="inlineStr">
        <is>
          <t>NORRBOTTENS LÄN</t>
        </is>
      </c>
      <c r="E893" t="inlineStr">
        <is>
          <t>BODEN</t>
        </is>
      </c>
      <c r="G893" t="n">
        <v>9.1</v>
      </c>
      <c r="H893" t="n">
        <v>0</v>
      </c>
      <c r="I893" t="n">
        <v>0</v>
      </c>
      <c r="J893" t="n">
        <v>0</v>
      </c>
      <c r="K893" t="n">
        <v>0</v>
      </c>
      <c r="L893" t="n">
        <v>0</v>
      </c>
      <c r="M893" t="n">
        <v>0</v>
      </c>
      <c r="N893" t="n">
        <v>0</v>
      </c>
      <c r="O893" t="n">
        <v>0</v>
      </c>
      <c r="P893" t="n">
        <v>0</v>
      </c>
      <c r="Q893" t="n">
        <v>0</v>
      </c>
      <c r="R893" s="2" t="inlineStr"/>
    </row>
    <row r="894" ht="15" customHeight="1">
      <c r="A894" t="inlineStr">
        <is>
          <t>A 37439-2023</t>
        </is>
      </c>
      <c r="B894" s="1" t="n">
        <v>45146</v>
      </c>
      <c r="C894" s="1" t="n">
        <v>45849</v>
      </c>
      <c r="D894" t="inlineStr">
        <is>
          <t>NORRBOTTENS LÄN</t>
        </is>
      </c>
      <c r="E894" t="inlineStr">
        <is>
          <t>BODEN</t>
        </is>
      </c>
      <c r="G894" t="n">
        <v>1.2</v>
      </c>
      <c r="H894" t="n">
        <v>0</v>
      </c>
      <c r="I894" t="n">
        <v>0</v>
      </c>
      <c r="J894" t="n">
        <v>0</v>
      </c>
      <c r="K894" t="n">
        <v>0</v>
      </c>
      <c r="L894" t="n">
        <v>0</v>
      </c>
      <c r="M894" t="n">
        <v>0</v>
      </c>
      <c r="N894" t="n">
        <v>0</v>
      </c>
      <c r="O894" t="n">
        <v>0</v>
      </c>
      <c r="P894" t="n">
        <v>0</v>
      </c>
      <c r="Q894" t="n">
        <v>0</v>
      </c>
      <c r="R894" s="2" t="inlineStr"/>
    </row>
    <row r="895" ht="15" customHeight="1">
      <c r="A895" t="inlineStr">
        <is>
          <t>A 37436-2023</t>
        </is>
      </c>
      <c r="B895" s="1" t="n">
        <v>45146</v>
      </c>
      <c r="C895" s="1" t="n">
        <v>45849</v>
      </c>
      <c r="D895" t="inlineStr">
        <is>
          <t>NORRBOTTENS LÄN</t>
        </is>
      </c>
      <c r="E895" t="inlineStr">
        <is>
          <t>BODEN</t>
        </is>
      </c>
      <c r="G895" t="n">
        <v>18.3</v>
      </c>
      <c r="H895" t="n">
        <v>0</v>
      </c>
      <c r="I895" t="n">
        <v>0</v>
      </c>
      <c r="J895" t="n">
        <v>0</v>
      </c>
      <c r="K895" t="n">
        <v>0</v>
      </c>
      <c r="L895" t="n">
        <v>0</v>
      </c>
      <c r="M895" t="n">
        <v>0</v>
      </c>
      <c r="N895" t="n">
        <v>0</v>
      </c>
      <c r="O895" t="n">
        <v>0</v>
      </c>
      <c r="P895" t="n">
        <v>0</v>
      </c>
      <c r="Q895" t="n">
        <v>0</v>
      </c>
      <c r="R895" s="2" t="inlineStr"/>
    </row>
    <row r="896" ht="15" customHeight="1">
      <c r="A896" t="inlineStr">
        <is>
          <t>A 35767-2023</t>
        </is>
      </c>
      <c r="B896" s="1" t="n">
        <v>45148</v>
      </c>
      <c r="C896" s="1" t="n">
        <v>45849</v>
      </c>
      <c r="D896" t="inlineStr">
        <is>
          <t>NORRBOTTENS LÄN</t>
        </is>
      </c>
      <c r="E896" t="inlineStr">
        <is>
          <t>BODEN</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35768-2023</t>
        </is>
      </c>
      <c r="B897" s="1" t="n">
        <v>45148</v>
      </c>
      <c r="C897" s="1" t="n">
        <v>45849</v>
      </c>
      <c r="D897" t="inlineStr">
        <is>
          <t>NORRBOTTENS LÄN</t>
        </is>
      </c>
      <c r="E897" t="inlineStr">
        <is>
          <t>BODEN</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35769-2023</t>
        </is>
      </c>
      <c r="B898" s="1" t="n">
        <v>45147</v>
      </c>
      <c r="C898" s="1" t="n">
        <v>45849</v>
      </c>
      <c r="D898" t="inlineStr">
        <is>
          <t>NORRBOTTENS LÄN</t>
        </is>
      </c>
      <c r="E898" t="inlineStr">
        <is>
          <t>BODEN</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35827-2023</t>
        </is>
      </c>
      <c r="B899" s="1" t="n">
        <v>45148</v>
      </c>
      <c r="C899" s="1" t="n">
        <v>45849</v>
      </c>
      <c r="D899" t="inlineStr">
        <is>
          <t>NORRBOTTENS LÄN</t>
        </is>
      </c>
      <c r="E899" t="inlineStr">
        <is>
          <t>BODEN</t>
        </is>
      </c>
      <c r="G899" t="n">
        <v>1</v>
      </c>
      <c r="H899" t="n">
        <v>0</v>
      </c>
      <c r="I899" t="n">
        <v>0</v>
      </c>
      <c r="J899" t="n">
        <v>0</v>
      </c>
      <c r="K899" t="n">
        <v>0</v>
      </c>
      <c r="L899" t="n">
        <v>0</v>
      </c>
      <c r="M899" t="n">
        <v>0</v>
      </c>
      <c r="N899" t="n">
        <v>0</v>
      </c>
      <c r="O899" t="n">
        <v>0</v>
      </c>
      <c r="P899" t="n">
        <v>0</v>
      </c>
      <c r="Q899" t="n">
        <v>0</v>
      </c>
      <c r="R899" s="2" t="inlineStr"/>
    </row>
    <row r="900" ht="15" customHeight="1">
      <c r="A900" t="inlineStr">
        <is>
          <t>A 36112-2023</t>
        </is>
      </c>
      <c r="B900" s="1" t="n">
        <v>45149</v>
      </c>
      <c r="C900" s="1" t="n">
        <v>45849</v>
      </c>
      <c r="D900" t="inlineStr">
        <is>
          <t>NORRBOTTENS LÄN</t>
        </is>
      </c>
      <c r="E900" t="inlineStr">
        <is>
          <t>BODEN</t>
        </is>
      </c>
      <c r="G900" t="n">
        <v>16.1</v>
      </c>
      <c r="H900" t="n">
        <v>0</v>
      </c>
      <c r="I900" t="n">
        <v>0</v>
      </c>
      <c r="J900" t="n">
        <v>0</v>
      </c>
      <c r="K900" t="n">
        <v>0</v>
      </c>
      <c r="L900" t="n">
        <v>0</v>
      </c>
      <c r="M900" t="n">
        <v>0</v>
      </c>
      <c r="N900" t="n">
        <v>0</v>
      </c>
      <c r="O900" t="n">
        <v>0</v>
      </c>
      <c r="P900" t="n">
        <v>0</v>
      </c>
      <c r="Q900" t="n">
        <v>0</v>
      </c>
      <c r="R900" s="2" t="inlineStr"/>
    </row>
    <row r="901" ht="15" customHeight="1">
      <c r="A901" t="inlineStr">
        <is>
          <t>A 36115-2023</t>
        </is>
      </c>
      <c r="B901" s="1" t="n">
        <v>45149</v>
      </c>
      <c r="C901" s="1" t="n">
        <v>45849</v>
      </c>
      <c r="D901" t="inlineStr">
        <is>
          <t>NORRBOTTENS LÄN</t>
        </is>
      </c>
      <c r="E901" t="inlineStr">
        <is>
          <t>BODEN</t>
        </is>
      </c>
      <c r="G901" t="n">
        <v>3.4</v>
      </c>
      <c r="H901" t="n">
        <v>0</v>
      </c>
      <c r="I901" t="n">
        <v>0</v>
      </c>
      <c r="J901" t="n">
        <v>0</v>
      </c>
      <c r="K901" t="n">
        <v>0</v>
      </c>
      <c r="L901" t="n">
        <v>0</v>
      </c>
      <c r="M901" t="n">
        <v>0</v>
      </c>
      <c r="N901" t="n">
        <v>0</v>
      </c>
      <c r="O901" t="n">
        <v>0</v>
      </c>
      <c r="P901" t="n">
        <v>0</v>
      </c>
      <c r="Q901" t="n">
        <v>0</v>
      </c>
      <c r="R901" s="2" t="inlineStr"/>
    </row>
    <row r="902" ht="15" customHeight="1">
      <c r="A902" t="inlineStr">
        <is>
          <t>A 36433-2023</t>
        </is>
      </c>
      <c r="B902" s="1" t="n">
        <v>45152</v>
      </c>
      <c r="C902" s="1" t="n">
        <v>45849</v>
      </c>
      <c r="D902" t="inlineStr">
        <is>
          <t>NORRBOTTENS LÄN</t>
        </is>
      </c>
      <c r="E902" t="inlineStr">
        <is>
          <t>BODEN</t>
        </is>
      </c>
      <c r="F902" t="inlineStr">
        <is>
          <t>Sveaskog</t>
        </is>
      </c>
      <c r="G902" t="n">
        <v>4.5</v>
      </c>
      <c r="H902" t="n">
        <v>0</v>
      </c>
      <c r="I902" t="n">
        <v>0</v>
      </c>
      <c r="J902" t="n">
        <v>0</v>
      </c>
      <c r="K902" t="n">
        <v>0</v>
      </c>
      <c r="L902" t="n">
        <v>0</v>
      </c>
      <c r="M902" t="n">
        <v>0</v>
      </c>
      <c r="N902" t="n">
        <v>0</v>
      </c>
      <c r="O902" t="n">
        <v>0</v>
      </c>
      <c r="P902" t="n">
        <v>0</v>
      </c>
      <c r="Q902" t="n">
        <v>0</v>
      </c>
      <c r="R902" s="2" t="inlineStr"/>
    </row>
    <row r="903" ht="15" customHeight="1">
      <c r="A903" t="inlineStr">
        <is>
          <t>A 36599-2023</t>
        </is>
      </c>
      <c r="B903" s="1" t="n">
        <v>45152</v>
      </c>
      <c r="C903" s="1" t="n">
        <v>45849</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36610-2023</t>
        </is>
      </c>
      <c r="B904" s="1" t="n">
        <v>45152</v>
      </c>
      <c r="C904" s="1" t="n">
        <v>45849</v>
      </c>
      <c r="D904" t="inlineStr">
        <is>
          <t>NORRBOTTENS LÄN</t>
        </is>
      </c>
      <c r="E904" t="inlineStr">
        <is>
          <t>BODEN</t>
        </is>
      </c>
      <c r="G904" t="n">
        <v>5.9</v>
      </c>
      <c r="H904" t="n">
        <v>0</v>
      </c>
      <c r="I904" t="n">
        <v>0</v>
      </c>
      <c r="J904" t="n">
        <v>0</v>
      </c>
      <c r="K904" t="n">
        <v>0</v>
      </c>
      <c r="L904" t="n">
        <v>0</v>
      </c>
      <c r="M904" t="n">
        <v>0</v>
      </c>
      <c r="N904" t="n">
        <v>0</v>
      </c>
      <c r="O904" t="n">
        <v>0</v>
      </c>
      <c r="P904" t="n">
        <v>0</v>
      </c>
      <c r="Q904" t="n">
        <v>0</v>
      </c>
      <c r="R904" s="2" t="inlineStr"/>
    </row>
    <row r="905" ht="15" customHeight="1">
      <c r="A905" t="inlineStr">
        <is>
          <t>A 36589-2023</t>
        </is>
      </c>
      <c r="B905" s="1" t="n">
        <v>45152</v>
      </c>
      <c r="C905" s="1" t="n">
        <v>45849</v>
      </c>
      <c r="D905" t="inlineStr">
        <is>
          <t>NORRBOTTENS LÄN</t>
        </is>
      </c>
      <c r="E905" t="inlineStr">
        <is>
          <t>BODEN</t>
        </is>
      </c>
      <c r="G905" t="n">
        <v>5.3</v>
      </c>
      <c r="H905" t="n">
        <v>0</v>
      </c>
      <c r="I905" t="n">
        <v>0</v>
      </c>
      <c r="J905" t="n">
        <v>0</v>
      </c>
      <c r="K905" t="n">
        <v>0</v>
      </c>
      <c r="L905" t="n">
        <v>0</v>
      </c>
      <c r="M905" t="n">
        <v>0</v>
      </c>
      <c r="N905" t="n">
        <v>0</v>
      </c>
      <c r="O905" t="n">
        <v>0</v>
      </c>
      <c r="P905" t="n">
        <v>0</v>
      </c>
      <c r="Q905" t="n">
        <v>0</v>
      </c>
      <c r="R905" s="2" t="inlineStr"/>
    </row>
    <row r="906" ht="15" customHeight="1">
      <c r="A906" t="inlineStr">
        <is>
          <t>A 36618-2023</t>
        </is>
      </c>
      <c r="B906" s="1" t="n">
        <v>45152</v>
      </c>
      <c r="C906" s="1" t="n">
        <v>45849</v>
      </c>
      <c r="D906" t="inlineStr">
        <is>
          <t>NORRBOTTENS LÄN</t>
        </is>
      </c>
      <c r="E906" t="inlineStr">
        <is>
          <t>BODEN</t>
        </is>
      </c>
      <c r="G906" t="n">
        <v>7.1</v>
      </c>
      <c r="H906" t="n">
        <v>0</v>
      </c>
      <c r="I906" t="n">
        <v>0</v>
      </c>
      <c r="J906" t="n">
        <v>0</v>
      </c>
      <c r="K906" t="n">
        <v>0</v>
      </c>
      <c r="L906" t="n">
        <v>0</v>
      </c>
      <c r="M906" t="n">
        <v>0</v>
      </c>
      <c r="N906" t="n">
        <v>0</v>
      </c>
      <c r="O906" t="n">
        <v>0</v>
      </c>
      <c r="P906" t="n">
        <v>0</v>
      </c>
      <c r="Q906" t="n">
        <v>0</v>
      </c>
      <c r="R906" s="2" t="inlineStr"/>
    </row>
    <row r="907" ht="15" customHeight="1">
      <c r="A907" t="inlineStr">
        <is>
          <t>A 36895-2023</t>
        </is>
      </c>
      <c r="B907" s="1" t="n">
        <v>45153</v>
      </c>
      <c r="C907" s="1" t="n">
        <v>45849</v>
      </c>
      <c r="D907" t="inlineStr">
        <is>
          <t>NORRBOTTENS LÄN</t>
        </is>
      </c>
      <c r="E907" t="inlineStr">
        <is>
          <t>BODEN</t>
        </is>
      </c>
      <c r="G907" t="n">
        <v>18.9</v>
      </c>
      <c r="H907" t="n">
        <v>0</v>
      </c>
      <c r="I907" t="n">
        <v>0</v>
      </c>
      <c r="J907" t="n">
        <v>0</v>
      </c>
      <c r="K907" t="n">
        <v>0</v>
      </c>
      <c r="L907" t="n">
        <v>0</v>
      </c>
      <c r="M907" t="n">
        <v>0</v>
      </c>
      <c r="N907" t="n">
        <v>0</v>
      </c>
      <c r="O907" t="n">
        <v>0</v>
      </c>
      <c r="P907" t="n">
        <v>0</v>
      </c>
      <c r="Q907" t="n">
        <v>0</v>
      </c>
      <c r="R907" s="2" t="inlineStr"/>
    </row>
    <row r="908" ht="15" customHeight="1">
      <c r="A908" t="inlineStr">
        <is>
          <t>A 36915-2023</t>
        </is>
      </c>
      <c r="B908" s="1" t="n">
        <v>45153</v>
      </c>
      <c r="C908" s="1" t="n">
        <v>45849</v>
      </c>
      <c r="D908" t="inlineStr">
        <is>
          <t>NORRBOTTENS LÄN</t>
        </is>
      </c>
      <c r="E908" t="inlineStr">
        <is>
          <t>BODEN</t>
        </is>
      </c>
      <c r="G908" t="n">
        <v>7.5</v>
      </c>
      <c r="H908" t="n">
        <v>0</v>
      </c>
      <c r="I908" t="n">
        <v>0</v>
      </c>
      <c r="J908" t="n">
        <v>0</v>
      </c>
      <c r="K908" t="n">
        <v>0</v>
      </c>
      <c r="L908" t="n">
        <v>0</v>
      </c>
      <c r="M908" t="n">
        <v>0</v>
      </c>
      <c r="N908" t="n">
        <v>0</v>
      </c>
      <c r="O908" t="n">
        <v>0</v>
      </c>
      <c r="P908" t="n">
        <v>0</v>
      </c>
      <c r="Q908" t="n">
        <v>0</v>
      </c>
      <c r="R908" s="2" t="inlineStr"/>
    </row>
    <row r="909" ht="15" customHeight="1">
      <c r="A909" t="inlineStr">
        <is>
          <t>A 37072-2023</t>
        </is>
      </c>
      <c r="B909" s="1" t="n">
        <v>45155</v>
      </c>
      <c r="C909" s="1" t="n">
        <v>45849</v>
      </c>
      <c r="D909" t="inlineStr">
        <is>
          <t>NORRBOTTENS LÄN</t>
        </is>
      </c>
      <c r="E909" t="inlineStr">
        <is>
          <t>BODEN</t>
        </is>
      </c>
      <c r="G909" t="n">
        <v>5.9</v>
      </c>
      <c r="H909" t="n">
        <v>0</v>
      </c>
      <c r="I909" t="n">
        <v>0</v>
      </c>
      <c r="J909" t="n">
        <v>0</v>
      </c>
      <c r="K909" t="n">
        <v>0</v>
      </c>
      <c r="L909" t="n">
        <v>0</v>
      </c>
      <c r="M909" t="n">
        <v>0</v>
      </c>
      <c r="N909" t="n">
        <v>0</v>
      </c>
      <c r="O909" t="n">
        <v>0</v>
      </c>
      <c r="P909" t="n">
        <v>0</v>
      </c>
      <c r="Q909" t="n">
        <v>0</v>
      </c>
      <c r="R909" s="2" t="inlineStr"/>
    </row>
    <row r="910" ht="15" customHeight="1">
      <c r="A910" t="inlineStr">
        <is>
          <t>A 37014-2023</t>
        </is>
      </c>
      <c r="B910" s="1" t="n">
        <v>45155</v>
      </c>
      <c r="C910" s="1" t="n">
        <v>45849</v>
      </c>
      <c r="D910" t="inlineStr">
        <is>
          <t>NORRBOTTENS LÄN</t>
        </is>
      </c>
      <c r="E910" t="inlineStr">
        <is>
          <t>BODEN</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37384-2023</t>
        </is>
      </c>
      <c r="B911" s="1" t="n">
        <v>45156</v>
      </c>
      <c r="C911" s="1" t="n">
        <v>45849</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37817-2023</t>
        </is>
      </c>
      <c r="B912" s="1" t="n">
        <v>45160</v>
      </c>
      <c r="C912" s="1" t="n">
        <v>45849</v>
      </c>
      <c r="D912" t="inlineStr">
        <is>
          <t>NORRBOTTENS LÄN</t>
        </is>
      </c>
      <c r="E912" t="inlineStr">
        <is>
          <t>BODEN</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37873-2023</t>
        </is>
      </c>
      <c r="B913" s="1" t="n">
        <v>45160</v>
      </c>
      <c r="C913" s="1" t="n">
        <v>45849</v>
      </c>
      <c r="D913" t="inlineStr">
        <is>
          <t>NORRBOTTENS LÄN</t>
        </is>
      </c>
      <c r="E913" t="inlineStr">
        <is>
          <t>BODEN</t>
        </is>
      </c>
      <c r="G913" t="n">
        <v>11.6</v>
      </c>
      <c r="H913" t="n">
        <v>0</v>
      </c>
      <c r="I913" t="n">
        <v>0</v>
      </c>
      <c r="J913" t="n">
        <v>0</v>
      </c>
      <c r="K913" t="n">
        <v>0</v>
      </c>
      <c r="L913" t="n">
        <v>0</v>
      </c>
      <c r="M913" t="n">
        <v>0</v>
      </c>
      <c r="N913" t="n">
        <v>0</v>
      </c>
      <c r="O913" t="n">
        <v>0</v>
      </c>
      <c r="P913" t="n">
        <v>0</v>
      </c>
      <c r="Q913" t="n">
        <v>0</v>
      </c>
      <c r="R913" s="2" t="inlineStr"/>
    </row>
    <row r="914" ht="15" customHeight="1">
      <c r="A914" t="inlineStr">
        <is>
          <t>A 37864-2023</t>
        </is>
      </c>
      <c r="B914" s="1" t="n">
        <v>45160</v>
      </c>
      <c r="C914" s="1" t="n">
        <v>45849</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37868-2023</t>
        </is>
      </c>
      <c r="B915" s="1" t="n">
        <v>45160</v>
      </c>
      <c r="C915" s="1" t="n">
        <v>45849</v>
      </c>
      <c r="D915" t="inlineStr">
        <is>
          <t>NORRBOTTENS LÄN</t>
        </is>
      </c>
      <c r="E915" t="inlineStr">
        <is>
          <t>BODEN</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38874-2023</t>
        </is>
      </c>
      <c r="B916" s="1" t="n">
        <v>45161</v>
      </c>
      <c r="C916" s="1" t="n">
        <v>45849</v>
      </c>
      <c r="D916" t="inlineStr">
        <is>
          <t>NORRBOTTENS LÄN</t>
        </is>
      </c>
      <c r="E916" t="inlineStr">
        <is>
          <t>BODEN</t>
        </is>
      </c>
      <c r="G916" t="n">
        <v>15.5</v>
      </c>
      <c r="H916" t="n">
        <v>0</v>
      </c>
      <c r="I916" t="n">
        <v>0</v>
      </c>
      <c r="J916" t="n">
        <v>0</v>
      </c>
      <c r="K916" t="n">
        <v>0</v>
      </c>
      <c r="L916" t="n">
        <v>0</v>
      </c>
      <c r="M916" t="n">
        <v>0</v>
      </c>
      <c r="N916" t="n">
        <v>0</v>
      </c>
      <c r="O916" t="n">
        <v>0</v>
      </c>
      <c r="P916" t="n">
        <v>0</v>
      </c>
      <c r="Q916" t="n">
        <v>0</v>
      </c>
      <c r="R916" s="2" t="inlineStr"/>
    </row>
    <row r="917" ht="15" customHeight="1">
      <c r="A917" t="inlineStr">
        <is>
          <t>A 38216-2023</t>
        </is>
      </c>
      <c r="B917" s="1" t="n">
        <v>45161</v>
      </c>
      <c r="C917" s="1" t="n">
        <v>45849</v>
      </c>
      <c r="D917" t="inlineStr">
        <is>
          <t>NORRBOTTENS LÄN</t>
        </is>
      </c>
      <c r="E917" t="inlineStr">
        <is>
          <t>BODEN</t>
        </is>
      </c>
      <c r="G917" t="n">
        <v>7.6</v>
      </c>
      <c r="H917" t="n">
        <v>0</v>
      </c>
      <c r="I917" t="n">
        <v>0</v>
      </c>
      <c r="J917" t="n">
        <v>0</v>
      </c>
      <c r="K917" t="n">
        <v>0</v>
      </c>
      <c r="L917" t="n">
        <v>0</v>
      </c>
      <c r="M917" t="n">
        <v>0</v>
      </c>
      <c r="N917" t="n">
        <v>0</v>
      </c>
      <c r="O917" t="n">
        <v>0</v>
      </c>
      <c r="P917" t="n">
        <v>0</v>
      </c>
      <c r="Q917" t="n">
        <v>0</v>
      </c>
      <c r="R917" s="2" t="inlineStr"/>
    </row>
    <row r="918" ht="15" customHeight="1">
      <c r="A918" t="inlineStr">
        <is>
          <t>A 38219-2023</t>
        </is>
      </c>
      <c r="B918" s="1" t="n">
        <v>45161</v>
      </c>
      <c r="C918" s="1" t="n">
        <v>45849</v>
      </c>
      <c r="D918" t="inlineStr">
        <is>
          <t>NORRBOTTENS LÄN</t>
        </is>
      </c>
      <c r="E918" t="inlineStr">
        <is>
          <t>BODEN</t>
        </is>
      </c>
      <c r="G918" t="n">
        <v>3.1</v>
      </c>
      <c r="H918" t="n">
        <v>0</v>
      </c>
      <c r="I918" t="n">
        <v>0</v>
      </c>
      <c r="J918" t="n">
        <v>0</v>
      </c>
      <c r="K918" t="n">
        <v>0</v>
      </c>
      <c r="L918" t="n">
        <v>0</v>
      </c>
      <c r="M918" t="n">
        <v>0</v>
      </c>
      <c r="N918" t="n">
        <v>0</v>
      </c>
      <c r="O918" t="n">
        <v>0</v>
      </c>
      <c r="P918" t="n">
        <v>0</v>
      </c>
      <c r="Q918" t="n">
        <v>0</v>
      </c>
      <c r="R918" s="2" t="inlineStr"/>
    </row>
    <row r="919" ht="15" customHeight="1">
      <c r="A919" t="inlineStr">
        <is>
          <t>A 38372-2023</t>
        </is>
      </c>
      <c r="B919" s="1" t="n">
        <v>45161</v>
      </c>
      <c r="C919" s="1" t="n">
        <v>45849</v>
      </c>
      <c r="D919" t="inlineStr">
        <is>
          <t>NORRBOTTENS LÄN</t>
        </is>
      </c>
      <c r="E919" t="inlineStr">
        <is>
          <t>BODEN</t>
        </is>
      </c>
      <c r="F919" t="inlineStr">
        <is>
          <t>SCA</t>
        </is>
      </c>
      <c r="G919" t="n">
        <v>7.9</v>
      </c>
      <c r="H919" t="n">
        <v>0</v>
      </c>
      <c r="I919" t="n">
        <v>0</v>
      </c>
      <c r="J919" t="n">
        <v>0</v>
      </c>
      <c r="K919" t="n">
        <v>0</v>
      </c>
      <c r="L919" t="n">
        <v>0</v>
      </c>
      <c r="M919" t="n">
        <v>0</v>
      </c>
      <c r="N919" t="n">
        <v>0</v>
      </c>
      <c r="O919" t="n">
        <v>0</v>
      </c>
      <c r="P919" t="n">
        <v>0</v>
      </c>
      <c r="Q919" t="n">
        <v>0</v>
      </c>
      <c r="R919" s="2" t="inlineStr"/>
    </row>
    <row r="920" ht="15" customHeight="1">
      <c r="A920" t="inlineStr">
        <is>
          <t>A 38370-2023</t>
        </is>
      </c>
      <c r="B920" s="1" t="n">
        <v>45161</v>
      </c>
      <c r="C920" s="1" t="n">
        <v>45849</v>
      </c>
      <c r="D920" t="inlineStr">
        <is>
          <t>NORRBOTTENS LÄN</t>
        </is>
      </c>
      <c r="E920" t="inlineStr">
        <is>
          <t>BODEN</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38371-2023</t>
        </is>
      </c>
      <c r="B921" s="1" t="n">
        <v>45161</v>
      </c>
      <c r="C921" s="1" t="n">
        <v>45849</v>
      </c>
      <c r="D921" t="inlineStr">
        <is>
          <t>NORRBOTTENS LÄN</t>
        </is>
      </c>
      <c r="E921" t="inlineStr">
        <is>
          <t>BODEN</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38970-2023</t>
        </is>
      </c>
      <c r="B922" s="1" t="n">
        <v>45162</v>
      </c>
      <c r="C922" s="1" t="n">
        <v>45849</v>
      </c>
      <c r="D922" t="inlineStr">
        <is>
          <t>NORRBOTTENS LÄN</t>
        </is>
      </c>
      <c r="E922" t="inlineStr">
        <is>
          <t>BODEN</t>
        </is>
      </c>
      <c r="G922" t="n">
        <v>6.2</v>
      </c>
      <c r="H922" t="n">
        <v>0</v>
      </c>
      <c r="I922" t="n">
        <v>0</v>
      </c>
      <c r="J922" t="n">
        <v>0</v>
      </c>
      <c r="K922" t="n">
        <v>0</v>
      </c>
      <c r="L922" t="n">
        <v>0</v>
      </c>
      <c r="M922" t="n">
        <v>0</v>
      </c>
      <c r="N922" t="n">
        <v>0</v>
      </c>
      <c r="O922" t="n">
        <v>0</v>
      </c>
      <c r="P922" t="n">
        <v>0</v>
      </c>
      <c r="Q922" t="n">
        <v>0</v>
      </c>
      <c r="R922" s="2" t="inlineStr"/>
    </row>
    <row r="923" ht="15" customHeight="1">
      <c r="A923" t="inlineStr">
        <is>
          <t>A 38981-2023</t>
        </is>
      </c>
      <c r="B923" s="1" t="n">
        <v>45162</v>
      </c>
      <c r="C923" s="1" t="n">
        <v>45849</v>
      </c>
      <c r="D923" t="inlineStr">
        <is>
          <t>NORRBOTTENS LÄN</t>
        </is>
      </c>
      <c r="E923" t="inlineStr">
        <is>
          <t>BODEN</t>
        </is>
      </c>
      <c r="G923" t="n">
        <v>4.1</v>
      </c>
      <c r="H923" t="n">
        <v>0</v>
      </c>
      <c r="I923" t="n">
        <v>0</v>
      </c>
      <c r="J923" t="n">
        <v>0</v>
      </c>
      <c r="K923" t="n">
        <v>0</v>
      </c>
      <c r="L923" t="n">
        <v>0</v>
      </c>
      <c r="M923" t="n">
        <v>0</v>
      </c>
      <c r="N923" t="n">
        <v>0</v>
      </c>
      <c r="O923" t="n">
        <v>0</v>
      </c>
      <c r="P923" t="n">
        <v>0</v>
      </c>
      <c r="Q923" t="n">
        <v>0</v>
      </c>
      <c r="R923" s="2" t="inlineStr"/>
    </row>
    <row r="924" ht="15" customHeight="1">
      <c r="A924" t="inlineStr">
        <is>
          <t>A 39017-2023</t>
        </is>
      </c>
      <c r="B924" s="1" t="n">
        <v>45163</v>
      </c>
      <c r="C924" s="1" t="n">
        <v>45849</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39440-2023</t>
        </is>
      </c>
      <c r="B925" s="1" t="n">
        <v>45163</v>
      </c>
      <c r="C925" s="1" t="n">
        <v>45849</v>
      </c>
      <c r="D925" t="inlineStr">
        <is>
          <t>NORRBOTTENS LÄN</t>
        </is>
      </c>
      <c r="E925" t="inlineStr">
        <is>
          <t>BODEN</t>
        </is>
      </c>
      <c r="G925" t="n">
        <v>2.1</v>
      </c>
      <c r="H925" t="n">
        <v>0</v>
      </c>
      <c r="I925" t="n">
        <v>0</v>
      </c>
      <c r="J925" t="n">
        <v>0</v>
      </c>
      <c r="K925" t="n">
        <v>0</v>
      </c>
      <c r="L925" t="n">
        <v>0</v>
      </c>
      <c r="M925" t="n">
        <v>0</v>
      </c>
      <c r="N925" t="n">
        <v>0</v>
      </c>
      <c r="O925" t="n">
        <v>0</v>
      </c>
      <c r="P925" t="n">
        <v>0</v>
      </c>
      <c r="Q925" t="n">
        <v>0</v>
      </c>
      <c r="R925" s="2" t="inlineStr"/>
    </row>
    <row r="926" ht="15" customHeight="1">
      <c r="A926" t="inlineStr">
        <is>
          <t>A 39572-2023</t>
        </is>
      </c>
      <c r="B926" s="1" t="n">
        <v>45163</v>
      </c>
      <c r="C926" s="1" t="n">
        <v>45849</v>
      </c>
      <c r="D926" t="inlineStr">
        <is>
          <t>NORRBOTTENS LÄN</t>
        </is>
      </c>
      <c r="E926" t="inlineStr">
        <is>
          <t>BODEN</t>
        </is>
      </c>
      <c r="G926" t="n">
        <v>13.1</v>
      </c>
      <c r="H926" t="n">
        <v>0</v>
      </c>
      <c r="I926" t="n">
        <v>0</v>
      </c>
      <c r="J926" t="n">
        <v>0</v>
      </c>
      <c r="K926" t="n">
        <v>0</v>
      </c>
      <c r="L926" t="n">
        <v>0</v>
      </c>
      <c r="M926" t="n">
        <v>0</v>
      </c>
      <c r="N926" t="n">
        <v>0</v>
      </c>
      <c r="O926" t="n">
        <v>0</v>
      </c>
      <c r="P926" t="n">
        <v>0</v>
      </c>
      <c r="Q926" t="n">
        <v>0</v>
      </c>
      <c r="R926" s="2" t="inlineStr"/>
    </row>
    <row r="927" ht="15" customHeight="1">
      <c r="A927" t="inlineStr">
        <is>
          <t>A 39463-2023</t>
        </is>
      </c>
      <c r="B927" s="1" t="n">
        <v>45166</v>
      </c>
      <c r="C927" s="1" t="n">
        <v>45849</v>
      </c>
      <c r="D927" t="inlineStr">
        <is>
          <t>NORRBOTTENS LÄN</t>
        </is>
      </c>
      <c r="E927" t="inlineStr">
        <is>
          <t>BODEN</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39501-2023</t>
        </is>
      </c>
      <c r="B928" s="1" t="n">
        <v>45166</v>
      </c>
      <c r="C928" s="1" t="n">
        <v>45849</v>
      </c>
      <c r="D928" t="inlineStr">
        <is>
          <t>NORRBOTTENS LÄN</t>
        </is>
      </c>
      <c r="E928" t="inlineStr">
        <is>
          <t>BODEN</t>
        </is>
      </c>
      <c r="F928" t="inlineStr">
        <is>
          <t>SCA</t>
        </is>
      </c>
      <c r="G928" t="n">
        <v>16.7</v>
      </c>
      <c r="H928" t="n">
        <v>0</v>
      </c>
      <c r="I928" t="n">
        <v>0</v>
      </c>
      <c r="J928" t="n">
        <v>0</v>
      </c>
      <c r="K928" t="n">
        <v>0</v>
      </c>
      <c r="L928" t="n">
        <v>0</v>
      </c>
      <c r="M928" t="n">
        <v>0</v>
      </c>
      <c r="N928" t="n">
        <v>0</v>
      </c>
      <c r="O928" t="n">
        <v>0</v>
      </c>
      <c r="P928" t="n">
        <v>0</v>
      </c>
      <c r="Q928" t="n">
        <v>0</v>
      </c>
      <c r="R928" s="2" t="inlineStr"/>
    </row>
    <row r="929" ht="15" customHeight="1">
      <c r="A929" t="inlineStr">
        <is>
          <t>A 39966-2023</t>
        </is>
      </c>
      <c r="B929" s="1" t="n">
        <v>45168</v>
      </c>
      <c r="C929" s="1" t="n">
        <v>45849</v>
      </c>
      <c r="D929" t="inlineStr">
        <is>
          <t>NORRBOTTENS LÄN</t>
        </is>
      </c>
      <c r="E929" t="inlineStr">
        <is>
          <t>BODEN</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39970-2023</t>
        </is>
      </c>
      <c r="B930" s="1" t="n">
        <v>45168</v>
      </c>
      <c r="C930" s="1" t="n">
        <v>45849</v>
      </c>
      <c r="D930" t="inlineStr">
        <is>
          <t>NORRBOTTENS LÄN</t>
        </is>
      </c>
      <c r="E930" t="inlineStr">
        <is>
          <t>BODEN</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40010-2023</t>
        </is>
      </c>
      <c r="B931" s="1" t="n">
        <v>45168</v>
      </c>
      <c r="C931" s="1" t="n">
        <v>45849</v>
      </c>
      <c r="D931" t="inlineStr">
        <is>
          <t>NORRBOTTENS LÄN</t>
        </is>
      </c>
      <c r="E931" t="inlineStr">
        <is>
          <t>BODEN</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39972-2023</t>
        </is>
      </c>
      <c r="B932" s="1" t="n">
        <v>45168</v>
      </c>
      <c r="C932" s="1" t="n">
        <v>45849</v>
      </c>
      <c r="D932" t="inlineStr">
        <is>
          <t>NORRBOTTENS LÄN</t>
        </is>
      </c>
      <c r="E932" t="inlineStr">
        <is>
          <t>BODEN</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40934-2023</t>
        </is>
      </c>
      <c r="B933" s="1" t="n">
        <v>45169</v>
      </c>
      <c r="C933" s="1" t="n">
        <v>45849</v>
      </c>
      <c r="D933" t="inlineStr">
        <is>
          <t>NORRBOTTENS LÄN</t>
        </is>
      </c>
      <c r="E933" t="inlineStr">
        <is>
          <t>BODEN</t>
        </is>
      </c>
      <c r="G933" t="n">
        <v>7.2</v>
      </c>
      <c r="H933" t="n">
        <v>0</v>
      </c>
      <c r="I933" t="n">
        <v>0</v>
      </c>
      <c r="J933" t="n">
        <v>0</v>
      </c>
      <c r="K933" t="n">
        <v>0</v>
      </c>
      <c r="L933" t="n">
        <v>0</v>
      </c>
      <c r="M933" t="n">
        <v>0</v>
      </c>
      <c r="N933" t="n">
        <v>0</v>
      </c>
      <c r="O933" t="n">
        <v>0</v>
      </c>
      <c r="P933" t="n">
        <v>0</v>
      </c>
      <c r="Q933" t="n">
        <v>0</v>
      </c>
      <c r="R933" s="2" t="inlineStr"/>
    </row>
    <row r="934" ht="15" customHeight="1">
      <c r="A934" t="inlineStr">
        <is>
          <t>A 40911-2023</t>
        </is>
      </c>
      <c r="B934" s="1" t="n">
        <v>45169</v>
      </c>
      <c r="C934" s="1" t="n">
        <v>45849</v>
      </c>
      <c r="D934" t="inlineStr">
        <is>
          <t>NORRBOTTENS LÄN</t>
        </is>
      </c>
      <c r="E934" t="inlineStr">
        <is>
          <t>BODEN</t>
        </is>
      </c>
      <c r="G934" t="n">
        <v>21.3</v>
      </c>
      <c r="H934" t="n">
        <v>0</v>
      </c>
      <c r="I934" t="n">
        <v>0</v>
      </c>
      <c r="J934" t="n">
        <v>0</v>
      </c>
      <c r="K934" t="n">
        <v>0</v>
      </c>
      <c r="L934" t="n">
        <v>0</v>
      </c>
      <c r="M934" t="n">
        <v>0</v>
      </c>
      <c r="N934" t="n">
        <v>0</v>
      </c>
      <c r="O934" t="n">
        <v>0</v>
      </c>
      <c r="P934" t="n">
        <v>0</v>
      </c>
      <c r="Q934" t="n">
        <v>0</v>
      </c>
      <c r="R934" s="2" t="inlineStr"/>
    </row>
    <row r="935" ht="15" customHeight="1">
      <c r="A935" t="inlineStr">
        <is>
          <t>A 40614-2023</t>
        </is>
      </c>
      <c r="B935" s="1" t="n">
        <v>45170</v>
      </c>
      <c r="C935" s="1" t="n">
        <v>45849</v>
      </c>
      <c r="D935" t="inlineStr">
        <is>
          <t>NORRBOTTENS LÄN</t>
        </is>
      </c>
      <c r="E935" t="inlineStr">
        <is>
          <t>BODEN</t>
        </is>
      </c>
      <c r="F935" t="inlineStr">
        <is>
          <t>Sveaskog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40839-2023</t>
        </is>
      </c>
      <c r="B936" s="1" t="n">
        <v>45172</v>
      </c>
      <c r="C936" s="1" t="n">
        <v>45849</v>
      </c>
      <c r="D936" t="inlineStr">
        <is>
          <t>NORRBOTTENS LÄN</t>
        </is>
      </c>
      <c r="E936" t="inlineStr">
        <is>
          <t>BODEN</t>
        </is>
      </c>
      <c r="G936" t="n">
        <v>10</v>
      </c>
      <c r="H936" t="n">
        <v>0</v>
      </c>
      <c r="I936" t="n">
        <v>0</v>
      </c>
      <c r="J936" t="n">
        <v>0</v>
      </c>
      <c r="K936" t="n">
        <v>0</v>
      </c>
      <c r="L936" t="n">
        <v>0</v>
      </c>
      <c r="M936" t="n">
        <v>0</v>
      </c>
      <c r="N936" t="n">
        <v>0</v>
      </c>
      <c r="O936" t="n">
        <v>0</v>
      </c>
      <c r="P936" t="n">
        <v>0</v>
      </c>
      <c r="Q936" t="n">
        <v>0</v>
      </c>
      <c r="R936" s="2" t="inlineStr"/>
    </row>
    <row r="937" ht="15" customHeight="1">
      <c r="A937" t="inlineStr">
        <is>
          <t>A 40885-2023</t>
        </is>
      </c>
      <c r="B937" s="1" t="n">
        <v>45173</v>
      </c>
      <c r="C937" s="1" t="n">
        <v>45849</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41212-2023</t>
        </is>
      </c>
      <c r="B938" s="1" t="n">
        <v>45174</v>
      </c>
      <c r="C938" s="1" t="n">
        <v>45849</v>
      </c>
      <c r="D938" t="inlineStr">
        <is>
          <t>NORRBOTTENS LÄN</t>
        </is>
      </c>
      <c r="E938" t="inlineStr">
        <is>
          <t>BODEN</t>
        </is>
      </c>
      <c r="G938" t="n">
        <v>2.4</v>
      </c>
      <c r="H938" t="n">
        <v>0</v>
      </c>
      <c r="I938" t="n">
        <v>0</v>
      </c>
      <c r="J938" t="n">
        <v>0</v>
      </c>
      <c r="K938" t="n">
        <v>0</v>
      </c>
      <c r="L938" t="n">
        <v>0</v>
      </c>
      <c r="M938" t="n">
        <v>0</v>
      </c>
      <c r="N938" t="n">
        <v>0</v>
      </c>
      <c r="O938" t="n">
        <v>0</v>
      </c>
      <c r="P938" t="n">
        <v>0</v>
      </c>
      <c r="Q938" t="n">
        <v>0</v>
      </c>
      <c r="R938" s="2" t="inlineStr"/>
    </row>
    <row r="939" ht="15" customHeight="1">
      <c r="A939" t="inlineStr">
        <is>
          <t>A 41937-2023</t>
        </is>
      </c>
      <c r="B939" s="1" t="n">
        <v>45177</v>
      </c>
      <c r="C939" s="1" t="n">
        <v>45849</v>
      </c>
      <c r="D939" t="inlineStr">
        <is>
          <t>NORRBOTTENS LÄN</t>
        </is>
      </c>
      <c r="E939" t="inlineStr">
        <is>
          <t>BODEN</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41938-2023</t>
        </is>
      </c>
      <c r="B940" s="1" t="n">
        <v>45176</v>
      </c>
      <c r="C940" s="1" t="n">
        <v>45849</v>
      </c>
      <c r="D940" t="inlineStr">
        <is>
          <t>NORRBOTTENS LÄN</t>
        </is>
      </c>
      <c r="E940" t="inlineStr">
        <is>
          <t>BODEN</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42701-2023</t>
        </is>
      </c>
      <c r="B941" s="1" t="n">
        <v>45176</v>
      </c>
      <c r="C941" s="1" t="n">
        <v>45849</v>
      </c>
      <c r="D941" t="inlineStr">
        <is>
          <t>NORRBOTTENS LÄN</t>
        </is>
      </c>
      <c r="E941" t="inlineStr">
        <is>
          <t>BODEN</t>
        </is>
      </c>
      <c r="G941" t="n">
        <v>13</v>
      </c>
      <c r="H941" t="n">
        <v>0</v>
      </c>
      <c r="I941" t="n">
        <v>0</v>
      </c>
      <c r="J941" t="n">
        <v>0</v>
      </c>
      <c r="K941" t="n">
        <v>0</v>
      </c>
      <c r="L941" t="n">
        <v>0</v>
      </c>
      <c r="M941" t="n">
        <v>0</v>
      </c>
      <c r="N941" t="n">
        <v>0</v>
      </c>
      <c r="O941" t="n">
        <v>0</v>
      </c>
      <c r="P941" t="n">
        <v>0</v>
      </c>
      <c r="Q941" t="n">
        <v>0</v>
      </c>
      <c r="R941" s="2" t="inlineStr"/>
    </row>
    <row r="942" ht="15" customHeight="1">
      <c r="A942" t="inlineStr">
        <is>
          <t>A 42152-2023</t>
        </is>
      </c>
      <c r="B942" s="1" t="n">
        <v>45177</v>
      </c>
      <c r="C942" s="1" t="n">
        <v>45849</v>
      </c>
      <c r="D942" t="inlineStr">
        <is>
          <t>NORRBOTTENS LÄN</t>
        </is>
      </c>
      <c r="E942" t="inlineStr">
        <is>
          <t>BODEN</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42505-2023</t>
        </is>
      </c>
      <c r="B943" s="1" t="n">
        <v>45180</v>
      </c>
      <c r="C943" s="1" t="n">
        <v>45849</v>
      </c>
      <c r="D943" t="inlineStr">
        <is>
          <t>NORRBOTTENS LÄN</t>
        </is>
      </c>
      <c r="E943" t="inlineStr">
        <is>
          <t>BODEN</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42794-2023</t>
        </is>
      </c>
      <c r="B944" s="1" t="n">
        <v>45182</v>
      </c>
      <c r="C944" s="1" t="n">
        <v>45849</v>
      </c>
      <c r="D944" t="inlineStr">
        <is>
          <t>NORRBOTTENS LÄN</t>
        </is>
      </c>
      <c r="E944" t="inlineStr">
        <is>
          <t>BODEN</t>
        </is>
      </c>
      <c r="G944" t="n">
        <v>3</v>
      </c>
      <c r="H944" t="n">
        <v>0</v>
      </c>
      <c r="I944" t="n">
        <v>0</v>
      </c>
      <c r="J944" t="n">
        <v>0</v>
      </c>
      <c r="K944" t="n">
        <v>0</v>
      </c>
      <c r="L944" t="n">
        <v>0</v>
      </c>
      <c r="M944" t="n">
        <v>0</v>
      </c>
      <c r="N944" t="n">
        <v>0</v>
      </c>
      <c r="O944" t="n">
        <v>0</v>
      </c>
      <c r="P944" t="n">
        <v>0</v>
      </c>
      <c r="Q944" t="n">
        <v>0</v>
      </c>
      <c r="R944" s="2" t="inlineStr"/>
    </row>
    <row r="945" ht="15" customHeight="1">
      <c r="A945" t="inlineStr">
        <is>
          <t>A 43119-2023</t>
        </is>
      </c>
      <c r="B945" s="1" t="n">
        <v>45183</v>
      </c>
      <c r="C945" s="1" t="n">
        <v>45849</v>
      </c>
      <c r="D945" t="inlineStr">
        <is>
          <t>NORRBOTTENS LÄN</t>
        </is>
      </c>
      <c r="E945" t="inlineStr">
        <is>
          <t>BODEN</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43085-2023</t>
        </is>
      </c>
      <c r="B946" s="1" t="n">
        <v>45182</v>
      </c>
      <c r="C946" s="1" t="n">
        <v>45849</v>
      </c>
      <c r="D946" t="inlineStr">
        <is>
          <t>NORRBOTTENS LÄN</t>
        </is>
      </c>
      <c r="E946" t="inlineStr">
        <is>
          <t>BODEN</t>
        </is>
      </c>
      <c r="G946" t="n">
        <v>3.5</v>
      </c>
      <c r="H946" t="n">
        <v>0</v>
      </c>
      <c r="I946" t="n">
        <v>0</v>
      </c>
      <c r="J946" t="n">
        <v>0</v>
      </c>
      <c r="K946" t="n">
        <v>0</v>
      </c>
      <c r="L946" t="n">
        <v>0</v>
      </c>
      <c r="M946" t="n">
        <v>0</v>
      </c>
      <c r="N946" t="n">
        <v>0</v>
      </c>
      <c r="O946" t="n">
        <v>0</v>
      </c>
      <c r="P946" t="n">
        <v>0</v>
      </c>
      <c r="Q946" t="n">
        <v>0</v>
      </c>
      <c r="R946" s="2" t="inlineStr"/>
    </row>
    <row r="947" ht="15" customHeight="1">
      <c r="A947" t="inlineStr">
        <is>
          <t>A 44092-2023</t>
        </is>
      </c>
      <c r="B947" s="1" t="n">
        <v>45182</v>
      </c>
      <c r="C947" s="1" t="n">
        <v>45849</v>
      </c>
      <c r="D947" t="inlineStr">
        <is>
          <t>NORRBOTTENS LÄN</t>
        </is>
      </c>
      <c r="E947" t="inlineStr">
        <is>
          <t>BODEN</t>
        </is>
      </c>
      <c r="G947" t="n">
        <v>2.6</v>
      </c>
      <c r="H947" t="n">
        <v>0</v>
      </c>
      <c r="I947" t="n">
        <v>0</v>
      </c>
      <c r="J947" t="n">
        <v>0</v>
      </c>
      <c r="K947" t="n">
        <v>0</v>
      </c>
      <c r="L947" t="n">
        <v>0</v>
      </c>
      <c r="M947" t="n">
        <v>0</v>
      </c>
      <c r="N947" t="n">
        <v>0</v>
      </c>
      <c r="O947" t="n">
        <v>0</v>
      </c>
      <c r="P947" t="n">
        <v>0</v>
      </c>
      <c r="Q947" t="n">
        <v>0</v>
      </c>
      <c r="R947" s="2" t="inlineStr"/>
    </row>
    <row r="948" ht="15" customHeight="1">
      <c r="A948" t="inlineStr">
        <is>
          <t>A 44061-2023</t>
        </is>
      </c>
      <c r="B948" s="1" t="n">
        <v>45182</v>
      </c>
      <c r="C948" s="1" t="n">
        <v>45849</v>
      </c>
      <c r="D948" t="inlineStr">
        <is>
          <t>NORRBOTTENS LÄN</t>
        </is>
      </c>
      <c r="E948" t="inlineStr">
        <is>
          <t>BODEN</t>
        </is>
      </c>
      <c r="G948" t="n">
        <v>2.3</v>
      </c>
      <c r="H948" t="n">
        <v>0</v>
      </c>
      <c r="I948" t="n">
        <v>0</v>
      </c>
      <c r="J948" t="n">
        <v>0</v>
      </c>
      <c r="K948" t="n">
        <v>0</v>
      </c>
      <c r="L948" t="n">
        <v>0</v>
      </c>
      <c r="M948" t="n">
        <v>0</v>
      </c>
      <c r="N948" t="n">
        <v>0</v>
      </c>
      <c r="O948" t="n">
        <v>0</v>
      </c>
      <c r="P948" t="n">
        <v>0</v>
      </c>
      <c r="Q948" t="n">
        <v>0</v>
      </c>
      <c r="R948" s="2" t="inlineStr"/>
    </row>
    <row r="949" ht="15" customHeight="1">
      <c r="A949" t="inlineStr">
        <is>
          <t>A 43416-2023</t>
        </is>
      </c>
      <c r="B949" s="1" t="n">
        <v>45184</v>
      </c>
      <c r="C949" s="1" t="n">
        <v>45849</v>
      </c>
      <c r="D949" t="inlineStr">
        <is>
          <t>NORRBOTTENS LÄN</t>
        </is>
      </c>
      <c r="E949" t="inlineStr">
        <is>
          <t>BODEN</t>
        </is>
      </c>
      <c r="F949" t="inlineStr">
        <is>
          <t>SCA</t>
        </is>
      </c>
      <c r="G949" t="n">
        <v>6.7</v>
      </c>
      <c r="H949" t="n">
        <v>0</v>
      </c>
      <c r="I949" t="n">
        <v>0</v>
      </c>
      <c r="J949" t="n">
        <v>0</v>
      </c>
      <c r="K949" t="n">
        <v>0</v>
      </c>
      <c r="L949" t="n">
        <v>0</v>
      </c>
      <c r="M949" t="n">
        <v>0</v>
      </c>
      <c r="N949" t="n">
        <v>0</v>
      </c>
      <c r="O949" t="n">
        <v>0</v>
      </c>
      <c r="P949" t="n">
        <v>0</v>
      </c>
      <c r="Q949" t="n">
        <v>0</v>
      </c>
      <c r="R949" s="2" t="inlineStr"/>
    </row>
    <row r="950" ht="15" customHeight="1">
      <c r="A950" t="inlineStr">
        <is>
          <t>A 43443-2023</t>
        </is>
      </c>
      <c r="B950" s="1" t="n">
        <v>45184</v>
      </c>
      <c r="C950" s="1" t="n">
        <v>45849</v>
      </c>
      <c r="D950" t="inlineStr">
        <is>
          <t>NORRBOTTENS LÄN</t>
        </is>
      </c>
      <c r="E950" t="inlineStr">
        <is>
          <t>BODEN</t>
        </is>
      </c>
      <c r="F950" t="inlineStr">
        <is>
          <t>Sveaskog</t>
        </is>
      </c>
      <c r="G950" t="n">
        <v>5.4</v>
      </c>
      <c r="H950" t="n">
        <v>0</v>
      </c>
      <c r="I950" t="n">
        <v>0</v>
      </c>
      <c r="J950" t="n">
        <v>0</v>
      </c>
      <c r="K950" t="n">
        <v>0</v>
      </c>
      <c r="L950" t="n">
        <v>0</v>
      </c>
      <c r="M950" t="n">
        <v>0</v>
      </c>
      <c r="N950" t="n">
        <v>0</v>
      </c>
      <c r="O950" t="n">
        <v>0</v>
      </c>
      <c r="P950" t="n">
        <v>0</v>
      </c>
      <c r="Q950" t="n">
        <v>0</v>
      </c>
      <c r="R950" s="2" t="inlineStr"/>
    </row>
    <row r="951" ht="15" customHeight="1">
      <c r="A951" t="inlineStr">
        <is>
          <t>A 43639-2023</t>
        </is>
      </c>
      <c r="B951" s="1" t="n">
        <v>45186</v>
      </c>
      <c r="C951" s="1" t="n">
        <v>45849</v>
      </c>
      <c r="D951" t="inlineStr">
        <is>
          <t>NORRBOTTENS LÄN</t>
        </is>
      </c>
      <c r="E951" t="inlineStr">
        <is>
          <t>BODEN</t>
        </is>
      </c>
      <c r="G951" t="n">
        <v>2.4</v>
      </c>
      <c r="H951" t="n">
        <v>0</v>
      </c>
      <c r="I951" t="n">
        <v>0</v>
      </c>
      <c r="J951" t="n">
        <v>0</v>
      </c>
      <c r="K951" t="n">
        <v>0</v>
      </c>
      <c r="L951" t="n">
        <v>0</v>
      </c>
      <c r="M951" t="n">
        <v>0</v>
      </c>
      <c r="N951" t="n">
        <v>0</v>
      </c>
      <c r="O951" t="n">
        <v>0</v>
      </c>
      <c r="P951" t="n">
        <v>0</v>
      </c>
      <c r="Q951" t="n">
        <v>0</v>
      </c>
      <c r="R951" s="2" t="inlineStr"/>
    </row>
    <row r="952" ht="15" customHeight="1">
      <c r="A952" t="inlineStr">
        <is>
          <t>A 43640-2023</t>
        </is>
      </c>
      <c r="B952" s="1" t="n">
        <v>45186</v>
      </c>
      <c r="C952" s="1" t="n">
        <v>45849</v>
      </c>
      <c r="D952" t="inlineStr">
        <is>
          <t>NORRBOTTENS LÄN</t>
        </is>
      </c>
      <c r="E952" t="inlineStr">
        <is>
          <t>BODEN</t>
        </is>
      </c>
      <c r="G952" t="n">
        <v>0.6</v>
      </c>
      <c r="H952" t="n">
        <v>0</v>
      </c>
      <c r="I952" t="n">
        <v>0</v>
      </c>
      <c r="J952" t="n">
        <v>0</v>
      </c>
      <c r="K952" t="n">
        <v>0</v>
      </c>
      <c r="L952" t="n">
        <v>0</v>
      </c>
      <c r="M952" t="n">
        <v>0</v>
      </c>
      <c r="N952" t="n">
        <v>0</v>
      </c>
      <c r="O952" t="n">
        <v>0</v>
      </c>
      <c r="P952" t="n">
        <v>0</v>
      </c>
      <c r="Q952" t="n">
        <v>0</v>
      </c>
      <c r="R952" s="2" t="inlineStr"/>
    </row>
    <row r="953" ht="15" customHeight="1">
      <c r="A953" t="inlineStr">
        <is>
          <t>A 43648-2023</t>
        </is>
      </c>
      <c r="B953" s="1" t="n">
        <v>45187</v>
      </c>
      <c r="C953" s="1" t="n">
        <v>45849</v>
      </c>
      <c r="D953" t="inlineStr">
        <is>
          <t>NORRBOTTENS LÄN</t>
        </is>
      </c>
      <c r="E953" t="inlineStr">
        <is>
          <t>BODEN</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44186-2023</t>
        </is>
      </c>
      <c r="B954" s="1" t="n">
        <v>45188</v>
      </c>
      <c r="C954" s="1" t="n">
        <v>45849</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44183-2023</t>
        </is>
      </c>
      <c r="B955" s="1" t="n">
        <v>45188</v>
      </c>
      <c r="C955" s="1" t="n">
        <v>45849</v>
      </c>
      <c r="D955" t="inlineStr">
        <is>
          <t>NORRBOTTENS LÄN</t>
        </is>
      </c>
      <c r="E955" t="inlineStr">
        <is>
          <t>BODEN</t>
        </is>
      </c>
      <c r="F955" t="inlineStr">
        <is>
          <t>Sveaskog</t>
        </is>
      </c>
      <c r="G955" t="n">
        <v>20.6</v>
      </c>
      <c r="H955" t="n">
        <v>0</v>
      </c>
      <c r="I955" t="n">
        <v>0</v>
      </c>
      <c r="J955" t="n">
        <v>0</v>
      </c>
      <c r="K955" t="n">
        <v>0</v>
      </c>
      <c r="L955" t="n">
        <v>0</v>
      </c>
      <c r="M955" t="n">
        <v>0</v>
      </c>
      <c r="N955" t="n">
        <v>0</v>
      </c>
      <c r="O955" t="n">
        <v>0</v>
      </c>
      <c r="P955" t="n">
        <v>0</v>
      </c>
      <c r="Q955" t="n">
        <v>0</v>
      </c>
      <c r="R955" s="2" t="inlineStr"/>
    </row>
    <row r="956" ht="15" customHeight="1">
      <c r="A956" t="inlineStr">
        <is>
          <t>A 44568-2023</t>
        </is>
      </c>
      <c r="B956" s="1" t="n">
        <v>45189</v>
      </c>
      <c r="C956" s="1" t="n">
        <v>45849</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45003-2023</t>
        </is>
      </c>
      <c r="B957" s="1" t="n">
        <v>45191</v>
      </c>
      <c r="C957" s="1" t="n">
        <v>45849</v>
      </c>
      <c r="D957" t="inlineStr">
        <is>
          <t>NORRBOTTENS LÄN</t>
        </is>
      </c>
      <c r="E957" t="inlineStr">
        <is>
          <t>BODEN</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46232-2023</t>
        </is>
      </c>
      <c r="B958" s="1" t="n">
        <v>45191</v>
      </c>
      <c r="C958" s="1" t="n">
        <v>45849</v>
      </c>
      <c r="D958" t="inlineStr">
        <is>
          <t>NORRBOTTENS LÄN</t>
        </is>
      </c>
      <c r="E958" t="inlineStr">
        <is>
          <t>BODEN</t>
        </is>
      </c>
      <c r="G958" t="n">
        <v>8</v>
      </c>
      <c r="H958" t="n">
        <v>0</v>
      </c>
      <c r="I958" t="n">
        <v>0</v>
      </c>
      <c r="J958" t="n">
        <v>0</v>
      </c>
      <c r="K958" t="n">
        <v>0</v>
      </c>
      <c r="L958" t="n">
        <v>0</v>
      </c>
      <c r="M958" t="n">
        <v>0</v>
      </c>
      <c r="N958" t="n">
        <v>0</v>
      </c>
      <c r="O958" t="n">
        <v>0</v>
      </c>
      <c r="P958" t="n">
        <v>0</v>
      </c>
      <c r="Q958" t="n">
        <v>0</v>
      </c>
      <c r="R958" s="2" t="inlineStr"/>
    </row>
    <row r="959" ht="15" customHeight="1">
      <c r="A959" t="inlineStr">
        <is>
          <t>A 45446-2023</t>
        </is>
      </c>
      <c r="B959" s="1" t="n">
        <v>45194</v>
      </c>
      <c r="C959" s="1" t="n">
        <v>45849</v>
      </c>
      <c r="D959" t="inlineStr">
        <is>
          <t>NORRBOTTENS LÄN</t>
        </is>
      </c>
      <c r="E959" t="inlineStr">
        <is>
          <t>BODEN</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45454-2023</t>
        </is>
      </c>
      <c r="B960" s="1" t="n">
        <v>45194</v>
      </c>
      <c r="C960" s="1" t="n">
        <v>45849</v>
      </c>
      <c r="D960" t="inlineStr">
        <is>
          <t>NORRBOTTENS LÄN</t>
        </is>
      </c>
      <c r="E960" t="inlineStr">
        <is>
          <t>BODEN</t>
        </is>
      </c>
      <c r="G960" t="n">
        <v>3.8</v>
      </c>
      <c r="H960" t="n">
        <v>0</v>
      </c>
      <c r="I960" t="n">
        <v>0</v>
      </c>
      <c r="J960" t="n">
        <v>0</v>
      </c>
      <c r="K960" t="n">
        <v>0</v>
      </c>
      <c r="L960" t="n">
        <v>0</v>
      </c>
      <c r="M960" t="n">
        <v>0</v>
      </c>
      <c r="N960" t="n">
        <v>0</v>
      </c>
      <c r="O960" t="n">
        <v>0</v>
      </c>
      <c r="P960" t="n">
        <v>0</v>
      </c>
      <c r="Q960" t="n">
        <v>0</v>
      </c>
      <c r="R960" s="2" t="inlineStr"/>
    </row>
    <row r="961" ht="15" customHeight="1">
      <c r="A961" t="inlineStr">
        <is>
          <t>A 45448-2023</t>
        </is>
      </c>
      <c r="B961" s="1" t="n">
        <v>45194</v>
      </c>
      <c r="C961" s="1" t="n">
        <v>45849</v>
      </c>
      <c r="D961" t="inlineStr">
        <is>
          <t>NORRBOTTENS LÄN</t>
        </is>
      </c>
      <c r="E961" t="inlineStr">
        <is>
          <t>BODEN</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45929-2023</t>
        </is>
      </c>
      <c r="B962" s="1" t="n">
        <v>45196</v>
      </c>
      <c r="C962" s="1" t="n">
        <v>45849</v>
      </c>
      <c r="D962" t="inlineStr">
        <is>
          <t>NORRBOTTENS LÄN</t>
        </is>
      </c>
      <c r="E962" t="inlineStr">
        <is>
          <t>BODEN</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45930-2023</t>
        </is>
      </c>
      <c r="B963" s="1" t="n">
        <v>45196</v>
      </c>
      <c r="C963" s="1" t="n">
        <v>45849</v>
      </c>
      <c r="D963" t="inlineStr">
        <is>
          <t>NORRBOTTENS LÄN</t>
        </is>
      </c>
      <c r="E963" t="inlineStr">
        <is>
          <t>BODEN</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45931-2023</t>
        </is>
      </c>
      <c r="B964" s="1" t="n">
        <v>45196</v>
      </c>
      <c r="C964" s="1" t="n">
        <v>45849</v>
      </c>
      <c r="D964" t="inlineStr">
        <is>
          <t>NORRBOTTENS LÄN</t>
        </is>
      </c>
      <c r="E964" t="inlineStr">
        <is>
          <t>BODEN</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46999-2023</t>
        </is>
      </c>
      <c r="B965" s="1" t="n">
        <v>45196</v>
      </c>
      <c r="C965" s="1" t="n">
        <v>45849</v>
      </c>
      <c r="D965" t="inlineStr">
        <is>
          <t>NORRBOTTENS LÄN</t>
        </is>
      </c>
      <c r="E965" t="inlineStr">
        <is>
          <t>BODEN</t>
        </is>
      </c>
      <c r="G965" t="n">
        <v>1</v>
      </c>
      <c r="H965" t="n">
        <v>0</v>
      </c>
      <c r="I965" t="n">
        <v>0</v>
      </c>
      <c r="J965" t="n">
        <v>0</v>
      </c>
      <c r="K965" t="n">
        <v>0</v>
      </c>
      <c r="L965" t="n">
        <v>0</v>
      </c>
      <c r="M965" t="n">
        <v>0</v>
      </c>
      <c r="N965" t="n">
        <v>0</v>
      </c>
      <c r="O965" t="n">
        <v>0</v>
      </c>
      <c r="P965" t="n">
        <v>0</v>
      </c>
      <c r="Q965" t="n">
        <v>0</v>
      </c>
      <c r="R965" s="2" t="inlineStr"/>
    </row>
    <row r="966" ht="15" customHeight="1">
      <c r="A966" t="inlineStr">
        <is>
          <t>A 46277-2023</t>
        </is>
      </c>
      <c r="B966" s="1" t="n">
        <v>45196</v>
      </c>
      <c r="C966" s="1" t="n">
        <v>45849</v>
      </c>
      <c r="D966" t="inlineStr">
        <is>
          <t>NORRBOTTENS LÄN</t>
        </is>
      </c>
      <c r="E966" t="inlineStr">
        <is>
          <t>BODEN</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46276-2023</t>
        </is>
      </c>
      <c r="B967" s="1" t="n">
        <v>45197</v>
      </c>
      <c r="C967" s="1" t="n">
        <v>45849</v>
      </c>
      <c r="D967" t="inlineStr">
        <is>
          <t>NORRBOTTENS LÄN</t>
        </is>
      </c>
      <c r="E967" t="inlineStr">
        <is>
          <t>BODEN</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46909-2023</t>
        </is>
      </c>
      <c r="B968" s="1" t="n">
        <v>45201</v>
      </c>
      <c r="C968" s="1" t="n">
        <v>45849</v>
      </c>
      <c r="D968" t="inlineStr">
        <is>
          <t>NORRBOTTENS LÄN</t>
        </is>
      </c>
      <c r="E968" t="inlineStr">
        <is>
          <t>BODEN</t>
        </is>
      </c>
      <c r="G968" t="n">
        <v>7.4</v>
      </c>
      <c r="H968" t="n">
        <v>0</v>
      </c>
      <c r="I968" t="n">
        <v>0</v>
      </c>
      <c r="J968" t="n">
        <v>0</v>
      </c>
      <c r="K968" t="n">
        <v>0</v>
      </c>
      <c r="L968" t="n">
        <v>0</v>
      </c>
      <c r="M968" t="n">
        <v>0</v>
      </c>
      <c r="N968" t="n">
        <v>0</v>
      </c>
      <c r="O968" t="n">
        <v>0</v>
      </c>
      <c r="P968" t="n">
        <v>0</v>
      </c>
      <c r="Q968" t="n">
        <v>0</v>
      </c>
      <c r="R968" s="2" t="inlineStr"/>
    </row>
    <row r="969" ht="15" customHeight="1">
      <c r="A969" t="inlineStr">
        <is>
          <t>A 46926-2023</t>
        </is>
      </c>
      <c r="B969" s="1" t="n">
        <v>45201</v>
      </c>
      <c r="C969" s="1" t="n">
        <v>45849</v>
      </c>
      <c r="D969" t="inlineStr">
        <is>
          <t>NORRBOTTENS LÄN</t>
        </is>
      </c>
      <c r="E969" t="inlineStr">
        <is>
          <t>BODEN</t>
        </is>
      </c>
      <c r="G969" t="n">
        <v>3</v>
      </c>
      <c r="H969" t="n">
        <v>0</v>
      </c>
      <c r="I969" t="n">
        <v>0</v>
      </c>
      <c r="J969" t="n">
        <v>0</v>
      </c>
      <c r="K969" t="n">
        <v>0</v>
      </c>
      <c r="L969" t="n">
        <v>0</v>
      </c>
      <c r="M969" t="n">
        <v>0</v>
      </c>
      <c r="N969" t="n">
        <v>0</v>
      </c>
      <c r="O969" t="n">
        <v>0</v>
      </c>
      <c r="P969" t="n">
        <v>0</v>
      </c>
      <c r="Q969" t="n">
        <v>0</v>
      </c>
      <c r="R969" s="2" t="inlineStr"/>
    </row>
    <row r="970" ht="15" customHeight="1">
      <c r="A970" t="inlineStr">
        <is>
          <t>A 47097-2023</t>
        </is>
      </c>
      <c r="B970" s="1" t="n">
        <v>45201</v>
      </c>
      <c r="C970" s="1" t="n">
        <v>45849</v>
      </c>
      <c r="D970" t="inlineStr">
        <is>
          <t>NORRBOTTENS LÄN</t>
        </is>
      </c>
      <c r="E970" t="inlineStr">
        <is>
          <t>BODEN</t>
        </is>
      </c>
      <c r="G970" t="n">
        <v>5.5</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45849</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49094-2023</t>
        </is>
      </c>
      <c r="B972" s="1" t="n">
        <v>45204</v>
      </c>
      <c r="C972" s="1" t="n">
        <v>45849</v>
      </c>
      <c r="D972" t="inlineStr">
        <is>
          <t>NORRBOTTENS LÄN</t>
        </is>
      </c>
      <c r="E972" t="inlineStr">
        <is>
          <t>BODEN</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48129-2023</t>
        </is>
      </c>
      <c r="B973" s="1" t="n">
        <v>45205</v>
      </c>
      <c r="C973" s="1" t="n">
        <v>45849</v>
      </c>
      <c r="D973" t="inlineStr">
        <is>
          <t>NORRBOTTENS LÄN</t>
        </is>
      </c>
      <c r="E973" t="inlineStr">
        <is>
          <t>BODEN</t>
        </is>
      </c>
      <c r="G973" t="n">
        <v>7.1</v>
      </c>
      <c r="H973" t="n">
        <v>0</v>
      </c>
      <c r="I973" t="n">
        <v>0</v>
      </c>
      <c r="J973" t="n">
        <v>0</v>
      </c>
      <c r="K973" t="n">
        <v>0</v>
      </c>
      <c r="L973" t="n">
        <v>0</v>
      </c>
      <c r="M973" t="n">
        <v>0</v>
      </c>
      <c r="N973" t="n">
        <v>0</v>
      </c>
      <c r="O973" t="n">
        <v>0</v>
      </c>
      <c r="P973" t="n">
        <v>0</v>
      </c>
      <c r="Q973" t="n">
        <v>0</v>
      </c>
      <c r="R973" s="2" t="inlineStr"/>
    </row>
    <row r="974" ht="15" customHeight="1">
      <c r="A974" t="inlineStr">
        <is>
          <t>A 48262-2023</t>
        </is>
      </c>
      <c r="B974" s="1" t="n">
        <v>45205</v>
      </c>
      <c r="C974" s="1" t="n">
        <v>45849</v>
      </c>
      <c r="D974" t="inlineStr">
        <is>
          <t>NORRBOTTENS LÄN</t>
        </is>
      </c>
      <c r="E974" t="inlineStr">
        <is>
          <t>BODEN</t>
        </is>
      </c>
      <c r="G974" t="n">
        <v>1.7</v>
      </c>
      <c r="H974" t="n">
        <v>0</v>
      </c>
      <c r="I974" t="n">
        <v>0</v>
      </c>
      <c r="J974" t="n">
        <v>0</v>
      </c>
      <c r="K974" t="n">
        <v>0</v>
      </c>
      <c r="L974" t="n">
        <v>0</v>
      </c>
      <c r="M974" t="n">
        <v>0</v>
      </c>
      <c r="N974" t="n">
        <v>0</v>
      </c>
      <c r="O974" t="n">
        <v>0</v>
      </c>
      <c r="P974" t="n">
        <v>0</v>
      </c>
      <c r="Q974" t="n">
        <v>0</v>
      </c>
      <c r="R974" s="2" t="inlineStr"/>
    </row>
    <row r="975" ht="15" customHeight="1">
      <c r="A975" t="inlineStr">
        <is>
          <t>A 48417-2023</t>
        </is>
      </c>
      <c r="B975" s="1" t="n">
        <v>45205</v>
      </c>
      <c r="C975" s="1" t="n">
        <v>45849</v>
      </c>
      <c r="D975" t="inlineStr">
        <is>
          <t>NORRBOTTENS LÄN</t>
        </is>
      </c>
      <c r="E975" t="inlineStr">
        <is>
          <t>BODEN</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48450-2023</t>
        </is>
      </c>
      <c r="B976" s="1" t="n">
        <v>45206</v>
      </c>
      <c r="C976" s="1" t="n">
        <v>45849</v>
      </c>
      <c r="D976" t="inlineStr">
        <is>
          <t>NORRBOTTENS LÄN</t>
        </is>
      </c>
      <c r="E976" t="inlineStr">
        <is>
          <t>BODEN</t>
        </is>
      </c>
      <c r="G976" t="n">
        <v>2.6</v>
      </c>
      <c r="H976" t="n">
        <v>0</v>
      </c>
      <c r="I976" t="n">
        <v>0</v>
      </c>
      <c r="J976" t="n">
        <v>0</v>
      </c>
      <c r="K976" t="n">
        <v>0</v>
      </c>
      <c r="L976" t="n">
        <v>0</v>
      </c>
      <c r="M976" t="n">
        <v>0</v>
      </c>
      <c r="N976" t="n">
        <v>0</v>
      </c>
      <c r="O976" t="n">
        <v>0</v>
      </c>
      <c r="P976" t="n">
        <v>0</v>
      </c>
      <c r="Q976" t="n">
        <v>0</v>
      </c>
      <c r="R976" s="2" t="inlineStr"/>
    </row>
    <row r="977" ht="15" customHeight="1">
      <c r="A977" t="inlineStr">
        <is>
          <t>A 48595-2023</t>
        </is>
      </c>
      <c r="B977" s="1" t="n">
        <v>45208</v>
      </c>
      <c r="C977" s="1" t="n">
        <v>45849</v>
      </c>
      <c r="D977" t="inlineStr">
        <is>
          <t>NORRBOTTENS LÄN</t>
        </is>
      </c>
      <c r="E977" t="inlineStr">
        <is>
          <t>BODEN</t>
        </is>
      </c>
      <c r="F977" t="inlineStr">
        <is>
          <t>Sveaskog</t>
        </is>
      </c>
      <c r="G977" t="n">
        <v>4.2</v>
      </c>
      <c r="H977" t="n">
        <v>0</v>
      </c>
      <c r="I977" t="n">
        <v>0</v>
      </c>
      <c r="J977" t="n">
        <v>0</v>
      </c>
      <c r="K977" t="n">
        <v>0</v>
      </c>
      <c r="L977" t="n">
        <v>0</v>
      </c>
      <c r="M977" t="n">
        <v>0</v>
      </c>
      <c r="N977" t="n">
        <v>0</v>
      </c>
      <c r="O977" t="n">
        <v>0</v>
      </c>
      <c r="P977" t="n">
        <v>0</v>
      </c>
      <c r="Q977" t="n">
        <v>0</v>
      </c>
      <c r="R977" s="2" t="inlineStr"/>
    </row>
    <row r="978" ht="15" customHeight="1">
      <c r="A978" t="inlineStr">
        <is>
          <t>A 48592-2023</t>
        </is>
      </c>
      <c r="B978" s="1" t="n">
        <v>45208</v>
      </c>
      <c r="C978" s="1" t="n">
        <v>45849</v>
      </c>
      <c r="D978" t="inlineStr">
        <is>
          <t>NORRBOTTENS LÄN</t>
        </is>
      </c>
      <c r="E978" t="inlineStr">
        <is>
          <t>BODEN</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48681-2023</t>
        </is>
      </c>
      <c r="B979" s="1" t="n">
        <v>45208</v>
      </c>
      <c r="C979" s="1" t="n">
        <v>45849</v>
      </c>
      <c r="D979" t="inlineStr">
        <is>
          <t>NORRBOTTENS LÄN</t>
        </is>
      </c>
      <c r="E979" t="inlineStr">
        <is>
          <t>BODEN</t>
        </is>
      </c>
      <c r="G979" t="n">
        <v>8.4</v>
      </c>
      <c r="H979" t="n">
        <v>0</v>
      </c>
      <c r="I979" t="n">
        <v>0</v>
      </c>
      <c r="J979" t="n">
        <v>0</v>
      </c>
      <c r="K979" t="n">
        <v>0</v>
      </c>
      <c r="L979" t="n">
        <v>0</v>
      </c>
      <c r="M979" t="n">
        <v>0</v>
      </c>
      <c r="N979" t="n">
        <v>0</v>
      </c>
      <c r="O979" t="n">
        <v>0</v>
      </c>
      <c r="P979" t="n">
        <v>0</v>
      </c>
      <c r="Q979" t="n">
        <v>0</v>
      </c>
      <c r="R979" s="2" t="inlineStr"/>
    </row>
    <row r="980" ht="15" customHeight="1">
      <c r="A980" t="inlineStr">
        <is>
          <t>A 49127-2023</t>
        </is>
      </c>
      <c r="B980" s="1" t="n">
        <v>45210</v>
      </c>
      <c r="C980" s="1" t="n">
        <v>45849</v>
      </c>
      <c r="D980" t="inlineStr">
        <is>
          <t>NORRBOTTENS LÄN</t>
        </is>
      </c>
      <c r="E980" t="inlineStr">
        <is>
          <t>BODEN</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49219-2023</t>
        </is>
      </c>
      <c r="B981" s="1" t="n">
        <v>45210</v>
      </c>
      <c r="C981" s="1" t="n">
        <v>45849</v>
      </c>
      <c r="D981" t="inlineStr">
        <is>
          <t>NORRBOTTENS LÄN</t>
        </is>
      </c>
      <c r="E981" t="inlineStr">
        <is>
          <t>BODEN</t>
        </is>
      </c>
      <c r="G981" t="n">
        <v>7.7</v>
      </c>
      <c r="H981" t="n">
        <v>0</v>
      </c>
      <c r="I981" t="n">
        <v>0</v>
      </c>
      <c r="J981" t="n">
        <v>0</v>
      </c>
      <c r="K981" t="n">
        <v>0</v>
      </c>
      <c r="L981" t="n">
        <v>0</v>
      </c>
      <c r="M981" t="n">
        <v>0</v>
      </c>
      <c r="N981" t="n">
        <v>0</v>
      </c>
      <c r="O981" t="n">
        <v>0</v>
      </c>
      <c r="P981" t="n">
        <v>0</v>
      </c>
      <c r="Q981" t="n">
        <v>0</v>
      </c>
      <c r="R981" s="2" t="inlineStr"/>
    </row>
    <row r="982" ht="15" customHeight="1">
      <c r="A982" t="inlineStr">
        <is>
          <t>A 49124-2023</t>
        </is>
      </c>
      <c r="B982" s="1" t="n">
        <v>45210</v>
      </c>
      <c r="C982" s="1" t="n">
        <v>45849</v>
      </c>
      <c r="D982" t="inlineStr">
        <is>
          <t>NORRBOTTENS LÄN</t>
        </is>
      </c>
      <c r="E982" t="inlineStr">
        <is>
          <t>BODEN</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49162-2023</t>
        </is>
      </c>
      <c r="B983" s="1" t="n">
        <v>45210</v>
      </c>
      <c r="C983" s="1" t="n">
        <v>45849</v>
      </c>
      <c r="D983" t="inlineStr">
        <is>
          <t>NORRBOTTENS LÄN</t>
        </is>
      </c>
      <c r="E983" t="inlineStr">
        <is>
          <t>BODEN</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49410-2023</t>
        </is>
      </c>
      <c r="B984" s="1" t="n">
        <v>45211</v>
      </c>
      <c r="C984" s="1" t="n">
        <v>45849</v>
      </c>
      <c r="D984" t="inlineStr">
        <is>
          <t>NORRBOTTENS LÄN</t>
        </is>
      </c>
      <c r="E984" t="inlineStr">
        <is>
          <t>BODEN</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49456-2023</t>
        </is>
      </c>
      <c r="B985" s="1" t="n">
        <v>45211</v>
      </c>
      <c r="C985" s="1" t="n">
        <v>45849</v>
      </c>
      <c r="D985" t="inlineStr">
        <is>
          <t>NORRBOTTENS LÄN</t>
        </is>
      </c>
      <c r="E985" t="inlineStr">
        <is>
          <t>BODEN</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49522-2023</t>
        </is>
      </c>
      <c r="B986" s="1" t="n">
        <v>45211</v>
      </c>
      <c r="C986" s="1" t="n">
        <v>45849</v>
      </c>
      <c r="D986" t="inlineStr">
        <is>
          <t>NORRBOTTENS LÄN</t>
        </is>
      </c>
      <c r="E986" t="inlineStr">
        <is>
          <t>BODEN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49526-2023</t>
        </is>
      </c>
      <c r="B987" s="1" t="n">
        <v>45211</v>
      </c>
      <c r="C987" s="1" t="n">
        <v>45849</v>
      </c>
      <c r="D987" t="inlineStr">
        <is>
          <t>NORRBOTTENS LÄN</t>
        </is>
      </c>
      <c r="E987" t="inlineStr">
        <is>
          <t>BODEN</t>
        </is>
      </c>
      <c r="F987" t="inlineStr">
        <is>
          <t>Sveaskog</t>
        </is>
      </c>
      <c r="G987" t="n">
        <v>2.3</v>
      </c>
      <c r="H987" t="n">
        <v>0</v>
      </c>
      <c r="I987" t="n">
        <v>0</v>
      </c>
      <c r="J987" t="n">
        <v>0</v>
      </c>
      <c r="K987" t="n">
        <v>0</v>
      </c>
      <c r="L987" t="n">
        <v>0</v>
      </c>
      <c r="M987" t="n">
        <v>0</v>
      </c>
      <c r="N987" t="n">
        <v>0</v>
      </c>
      <c r="O987" t="n">
        <v>0</v>
      </c>
      <c r="P987" t="n">
        <v>0</v>
      </c>
      <c r="Q987" t="n">
        <v>0</v>
      </c>
      <c r="R987" s="2" t="inlineStr"/>
    </row>
    <row r="988" ht="15" customHeight="1">
      <c r="A988" t="inlineStr">
        <is>
          <t>A 49459-2023</t>
        </is>
      </c>
      <c r="B988" s="1" t="n">
        <v>45211</v>
      </c>
      <c r="C988" s="1" t="n">
        <v>45849</v>
      </c>
      <c r="D988" t="inlineStr">
        <is>
          <t>NORRBOTTENS LÄN</t>
        </is>
      </c>
      <c r="E988" t="inlineStr">
        <is>
          <t>BODEN</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49859-2023</t>
        </is>
      </c>
      <c r="B989" s="1" t="n">
        <v>45212</v>
      </c>
      <c r="C989" s="1" t="n">
        <v>45849</v>
      </c>
      <c r="D989" t="inlineStr">
        <is>
          <t>NORRBOTTENS LÄN</t>
        </is>
      </c>
      <c r="E989" t="inlineStr">
        <is>
          <t>BODEN</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49876-2023</t>
        </is>
      </c>
      <c r="B990" s="1" t="n">
        <v>45212</v>
      </c>
      <c r="C990" s="1" t="n">
        <v>45849</v>
      </c>
      <c r="D990" t="inlineStr">
        <is>
          <t>NORRBOTTENS LÄN</t>
        </is>
      </c>
      <c r="E990" t="inlineStr">
        <is>
          <t>BODEN</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51193-2023</t>
        </is>
      </c>
      <c r="B991" s="1" t="n">
        <v>45212</v>
      </c>
      <c r="C991" s="1" t="n">
        <v>45849</v>
      </c>
      <c r="D991" t="inlineStr">
        <is>
          <t>NORRBOTTENS LÄN</t>
        </is>
      </c>
      <c r="E991" t="inlineStr">
        <is>
          <t>BODEN</t>
        </is>
      </c>
      <c r="G991" t="n">
        <v>1.1</v>
      </c>
      <c r="H991" t="n">
        <v>0</v>
      </c>
      <c r="I991" t="n">
        <v>0</v>
      </c>
      <c r="J991" t="n">
        <v>0</v>
      </c>
      <c r="K991" t="n">
        <v>0</v>
      </c>
      <c r="L991" t="n">
        <v>0</v>
      </c>
      <c r="M991" t="n">
        <v>0</v>
      </c>
      <c r="N991" t="n">
        <v>0</v>
      </c>
      <c r="O991" t="n">
        <v>0</v>
      </c>
      <c r="P991" t="n">
        <v>0</v>
      </c>
      <c r="Q991" t="n">
        <v>0</v>
      </c>
      <c r="R991" s="2" t="inlineStr"/>
    </row>
    <row r="992" ht="15" customHeight="1">
      <c r="A992" t="inlineStr">
        <is>
          <t>A 50511-2023</t>
        </is>
      </c>
      <c r="B992" s="1" t="n">
        <v>45217</v>
      </c>
      <c r="C992" s="1" t="n">
        <v>45849</v>
      </c>
      <c r="D992" t="inlineStr">
        <is>
          <t>NORRBOTTENS LÄN</t>
        </is>
      </c>
      <c r="E992" t="inlineStr">
        <is>
          <t>BODEN</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50491-2023</t>
        </is>
      </c>
      <c r="B993" s="1" t="n">
        <v>45217</v>
      </c>
      <c r="C993" s="1" t="n">
        <v>45849</v>
      </c>
      <c r="D993" t="inlineStr">
        <is>
          <t>NORRBOTTENS LÄN</t>
        </is>
      </c>
      <c r="E993" t="inlineStr">
        <is>
          <t>BODEN</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50327-2023</t>
        </is>
      </c>
      <c r="B994" s="1" t="n">
        <v>45216</v>
      </c>
      <c r="C994" s="1" t="n">
        <v>45849</v>
      </c>
      <c r="D994" t="inlineStr">
        <is>
          <t>NORRBOTTENS LÄN</t>
        </is>
      </c>
      <c r="E994" t="inlineStr">
        <is>
          <t>BODEN</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50492-2023</t>
        </is>
      </c>
      <c r="B995" s="1" t="n">
        <v>45217</v>
      </c>
      <c r="C995" s="1" t="n">
        <v>45849</v>
      </c>
      <c r="D995" t="inlineStr">
        <is>
          <t>NORRBOTTENS LÄN</t>
        </is>
      </c>
      <c r="E995" t="inlineStr">
        <is>
          <t>BODEN</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51828-2023</t>
        </is>
      </c>
      <c r="B996" s="1" t="n">
        <v>45223</v>
      </c>
      <c r="C996" s="1" t="n">
        <v>45849</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52073-2023</t>
        </is>
      </c>
      <c r="B997" s="1" t="n">
        <v>45223</v>
      </c>
      <c r="C997" s="1" t="n">
        <v>45849</v>
      </c>
      <c r="D997" t="inlineStr">
        <is>
          <t>NORRBOTTENS LÄN</t>
        </is>
      </c>
      <c r="E997" t="inlineStr">
        <is>
          <t>BODEN</t>
        </is>
      </c>
      <c r="F997" t="inlineStr">
        <is>
          <t>Sveaskog</t>
        </is>
      </c>
      <c r="G997" t="n">
        <v>13.2</v>
      </c>
      <c r="H997" t="n">
        <v>0</v>
      </c>
      <c r="I997" t="n">
        <v>0</v>
      </c>
      <c r="J997" t="n">
        <v>0</v>
      </c>
      <c r="K997" t="n">
        <v>0</v>
      </c>
      <c r="L997" t="n">
        <v>0</v>
      </c>
      <c r="M997" t="n">
        <v>0</v>
      </c>
      <c r="N997" t="n">
        <v>0</v>
      </c>
      <c r="O997" t="n">
        <v>0</v>
      </c>
      <c r="P997" t="n">
        <v>0</v>
      </c>
      <c r="Q997" t="n">
        <v>0</v>
      </c>
      <c r="R997" s="2" t="inlineStr"/>
    </row>
    <row r="998" ht="15" customHeight="1">
      <c r="A998" t="inlineStr">
        <is>
          <t>A 52396-2023</t>
        </is>
      </c>
      <c r="B998" s="1" t="n">
        <v>45225</v>
      </c>
      <c r="C998" s="1" t="n">
        <v>45849</v>
      </c>
      <c r="D998" t="inlineStr">
        <is>
          <t>NORRBOTTENS LÄN</t>
        </is>
      </c>
      <c r="E998" t="inlineStr">
        <is>
          <t>BODEN</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52395-2023</t>
        </is>
      </c>
      <c r="B999" s="1" t="n">
        <v>45225</v>
      </c>
      <c r="C999" s="1" t="n">
        <v>45849</v>
      </c>
      <c r="D999" t="inlineStr">
        <is>
          <t>NORRBOTTENS LÄN</t>
        </is>
      </c>
      <c r="E999" t="inlineStr">
        <is>
          <t>BODEN</t>
        </is>
      </c>
      <c r="F999" t="inlineStr">
        <is>
          <t>SCA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52976-2023</t>
        </is>
      </c>
      <c r="B1000" s="1" t="n">
        <v>45226</v>
      </c>
      <c r="C1000" s="1" t="n">
        <v>45849</v>
      </c>
      <c r="D1000" t="inlineStr">
        <is>
          <t>NORRBOTTENS LÄN</t>
        </is>
      </c>
      <c r="E1000" t="inlineStr">
        <is>
          <t>BODEN</t>
        </is>
      </c>
      <c r="F1000" t="inlineStr">
        <is>
          <t>Sveaskog</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55027-2023</t>
        </is>
      </c>
      <c r="B1001" s="1" t="n">
        <v>45229</v>
      </c>
      <c r="C1001" s="1" t="n">
        <v>45849</v>
      </c>
      <c r="D1001" t="inlineStr">
        <is>
          <t>NORRBOTTENS LÄN</t>
        </is>
      </c>
      <c r="E1001" t="inlineStr">
        <is>
          <t>BODEN</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54012-2023</t>
        </is>
      </c>
      <c r="B1002" s="1" t="n">
        <v>45231</v>
      </c>
      <c r="C1002" s="1" t="n">
        <v>45849</v>
      </c>
      <c r="D1002" t="inlineStr">
        <is>
          <t>NORRBOTTENS LÄN</t>
        </is>
      </c>
      <c r="E1002" t="inlineStr">
        <is>
          <t>BODEN</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54153-2023</t>
        </is>
      </c>
      <c r="B1003" s="1" t="n">
        <v>45232</v>
      </c>
      <c r="C1003" s="1" t="n">
        <v>45849</v>
      </c>
      <c r="D1003" t="inlineStr">
        <is>
          <t>NORRBOTTENS LÄN</t>
        </is>
      </c>
      <c r="E1003" t="inlineStr">
        <is>
          <t>BODEN</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54142-2023</t>
        </is>
      </c>
      <c r="B1004" s="1" t="n">
        <v>45232</v>
      </c>
      <c r="C1004" s="1" t="n">
        <v>45849</v>
      </c>
      <c r="D1004" t="inlineStr">
        <is>
          <t>NORRBOTTENS LÄN</t>
        </is>
      </c>
      <c r="E1004" t="inlineStr">
        <is>
          <t>BODEN</t>
        </is>
      </c>
      <c r="F1004" t="inlineStr">
        <is>
          <t>Sveaskog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54250-2023</t>
        </is>
      </c>
      <c r="B1005" s="1" t="n">
        <v>45232</v>
      </c>
      <c r="C1005" s="1" t="n">
        <v>45849</v>
      </c>
      <c r="D1005" t="inlineStr">
        <is>
          <t>NORRBOTTENS LÄN</t>
        </is>
      </c>
      <c r="E1005" t="inlineStr">
        <is>
          <t>BODEN</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54267-2023</t>
        </is>
      </c>
      <c r="B1006" s="1" t="n">
        <v>45232</v>
      </c>
      <c r="C1006" s="1" t="n">
        <v>45849</v>
      </c>
      <c r="D1006" t="inlineStr">
        <is>
          <t>NORRBOTTENS LÄN</t>
        </is>
      </c>
      <c r="E1006" t="inlineStr">
        <is>
          <t>BODEN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54139-2023</t>
        </is>
      </c>
      <c r="B1007" s="1" t="n">
        <v>45232</v>
      </c>
      <c r="C1007" s="1" t="n">
        <v>45849</v>
      </c>
      <c r="D1007" t="inlineStr">
        <is>
          <t>NORRBOTTENS LÄN</t>
        </is>
      </c>
      <c r="E1007" t="inlineStr">
        <is>
          <t>BODEN</t>
        </is>
      </c>
      <c r="F1007" t="inlineStr">
        <is>
          <t>Sveaskog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54269-2023</t>
        </is>
      </c>
      <c r="B1008" s="1" t="n">
        <v>45232</v>
      </c>
      <c r="C1008" s="1" t="n">
        <v>45849</v>
      </c>
      <c r="D1008" t="inlineStr">
        <is>
          <t>NORRBOTTENS LÄN</t>
        </is>
      </c>
      <c r="E1008" t="inlineStr">
        <is>
          <t>BODEN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54327-2023</t>
        </is>
      </c>
      <c r="B1009" s="1" t="n">
        <v>45232</v>
      </c>
      <c r="C1009" s="1" t="n">
        <v>45849</v>
      </c>
      <c r="D1009" t="inlineStr">
        <is>
          <t>NORRBOTTENS LÄN</t>
        </is>
      </c>
      <c r="E1009" t="inlineStr">
        <is>
          <t>BODEN</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54616-2023</t>
        </is>
      </c>
      <c r="B1010" s="1" t="n">
        <v>45233</v>
      </c>
      <c r="C1010" s="1" t="n">
        <v>45849</v>
      </c>
      <c r="D1010" t="inlineStr">
        <is>
          <t>NORRBOTTENS LÄN</t>
        </is>
      </c>
      <c r="E1010" t="inlineStr">
        <is>
          <t>BODEN</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56382-2023</t>
        </is>
      </c>
      <c r="B1011" s="1" t="n">
        <v>45236</v>
      </c>
      <c r="C1011" s="1" t="n">
        <v>45849</v>
      </c>
      <c r="D1011" t="inlineStr">
        <is>
          <t>NORRBOTTENS LÄN</t>
        </is>
      </c>
      <c r="E1011" t="inlineStr">
        <is>
          <t>BODEN</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55317-2023</t>
        </is>
      </c>
      <c r="B1012" s="1" t="n">
        <v>45237</v>
      </c>
      <c r="C1012" s="1" t="n">
        <v>45849</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55629-2023</t>
        </is>
      </c>
      <c r="B1013" s="1" t="n">
        <v>45238</v>
      </c>
      <c r="C1013" s="1" t="n">
        <v>45849</v>
      </c>
      <c r="D1013" t="inlineStr">
        <is>
          <t>NORRBOTTENS LÄN</t>
        </is>
      </c>
      <c r="E1013" t="inlineStr">
        <is>
          <t>BODEN</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55630-2023</t>
        </is>
      </c>
      <c r="B1014" s="1" t="n">
        <v>45238</v>
      </c>
      <c r="C1014" s="1" t="n">
        <v>45849</v>
      </c>
      <c r="D1014" t="inlineStr">
        <is>
          <t>NORRBOTTENS LÄN</t>
        </is>
      </c>
      <c r="E1014" t="inlineStr">
        <is>
          <t>BODEN</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55628-2023</t>
        </is>
      </c>
      <c r="B1015" s="1" t="n">
        <v>45238</v>
      </c>
      <c r="C1015" s="1" t="n">
        <v>45849</v>
      </c>
      <c r="D1015" t="inlineStr">
        <is>
          <t>NORRBOTTENS LÄN</t>
        </is>
      </c>
      <c r="E1015" t="inlineStr">
        <is>
          <t>BODEN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56035-2023</t>
        </is>
      </c>
      <c r="B1016" s="1" t="n">
        <v>45240</v>
      </c>
      <c r="C1016" s="1" t="n">
        <v>45849</v>
      </c>
      <c r="D1016" t="inlineStr">
        <is>
          <t>NORRBOTTENS LÄN</t>
        </is>
      </c>
      <c r="E1016" t="inlineStr">
        <is>
          <t>BODEN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56045-2023</t>
        </is>
      </c>
      <c r="B1017" s="1" t="n">
        <v>45240</v>
      </c>
      <c r="C1017" s="1" t="n">
        <v>45849</v>
      </c>
      <c r="D1017" t="inlineStr">
        <is>
          <t>NORRBOTTENS LÄN</t>
        </is>
      </c>
      <c r="E1017" t="inlineStr">
        <is>
          <t>BODEN</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v>
      </c>
      <c r="C1018" s="1" t="n">
        <v>45849</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56837-2023</t>
        </is>
      </c>
      <c r="B1019" s="1" t="n">
        <v>45244</v>
      </c>
      <c r="C1019" s="1" t="n">
        <v>45849</v>
      </c>
      <c r="D1019" t="inlineStr">
        <is>
          <t>NORRBOTTENS LÄN</t>
        </is>
      </c>
      <c r="E1019" t="inlineStr">
        <is>
          <t>BODEN</t>
        </is>
      </c>
      <c r="F1019" t="inlineStr">
        <is>
          <t>Övriga statliga verk och myndigheter</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57225-2023</t>
        </is>
      </c>
      <c r="B1020" s="1" t="n">
        <v>45245</v>
      </c>
      <c r="C1020" s="1" t="n">
        <v>45849</v>
      </c>
      <c r="D1020" t="inlineStr">
        <is>
          <t>NORRBOTTENS LÄN</t>
        </is>
      </c>
      <c r="E1020" t="inlineStr">
        <is>
          <t>BODEN</t>
        </is>
      </c>
      <c r="F1020" t="inlineStr">
        <is>
          <t>Sveaskog</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57226-2023</t>
        </is>
      </c>
      <c r="B1021" s="1" t="n">
        <v>45245</v>
      </c>
      <c r="C1021" s="1" t="n">
        <v>45849</v>
      </c>
      <c r="D1021" t="inlineStr">
        <is>
          <t>NORRBOTTENS LÄN</t>
        </is>
      </c>
      <c r="E1021" t="inlineStr">
        <is>
          <t>BODEN</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58331-2023</t>
        </is>
      </c>
      <c r="B1022" s="1" t="n">
        <v>45245</v>
      </c>
      <c r="C1022" s="1" t="n">
        <v>45849</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57579-2023</t>
        </is>
      </c>
      <c r="B1023" s="1" t="n">
        <v>45246</v>
      </c>
      <c r="C1023" s="1" t="n">
        <v>45849</v>
      </c>
      <c r="D1023" t="inlineStr">
        <is>
          <t>NORRBOTTENS LÄN</t>
        </is>
      </c>
      <c r="E1023" t="inlineStr">
        <is>
          <t>BODEN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57563-2023</t>
        </is>
      </c>
      <c r="B1024" s="1" t="n">
        <v>45246</v>
      </c>
      <c r="C1024" s="1" t="n">
        <v>45849</v>
      </c>
      <c r="D1024" t="inlineStr">
        <is>
          <t>NORRBOTTENS LÄN</t>
        </is>
      </c>
      <c r="E1024" t="inlineStr">
        <is>
          <t>BODEN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57968-2023</t>
        </is>
      </c>
      <c r="B1025" s="1" t="n">
        <v>45247</v>
      </c>
      <c r="C1025" s="1" t="n">
        <v>45849</v>
      </c>
      <c r="D1025" t="inlineStr">
        <is>
          <t>NORRBOTTENS LÄN</t>
        </is>
      </c>
      <c r="E1025" t="inlineStr">
        <is>
          <t>BODEN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58044-2023</t>
        </is>
      </c>
      <c r="B1026" s="1" t="n">
        <v>45247</v>
      </c>
      <c r="C1026" s="1" t="n">
        <v>45849</v>
      </c>
      <c r="D1026" t="inlineStr">
        <is>
          <t>NORRBOTTENS LÄN</t>
        </is>
      </c>
      <c r="E1026" t="inlineStr">
        <is>
          <t>BODEN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58099-2023</t>
        </is>
      </c>
      <c r="B1027" s="1" t="n">
        <v>45248</v>
      </c>
      <c r="C1027" s="1" t="n">
        <v>45849</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58843-2023</t>
        </is>
      </c>
      <c r="B1028" s="1" t="n">
        <v>45252</v>
      </c>
      <c r="C1028" s="1" t="n">
        <v>45849</v>
      </c>
      <c r="D1028" t="inlineStr">
        <is>
          <t>NORRBOTTENS LÄN</t>
        </is>
      </c>
      <c r="E1028" t="inlineStr">
        <is>
          <t>BODEN</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58844-2023</t>
        </is>
      </c>
      <c r="B1029" s="1" t="n">
        <v>45252</v>
      </c>
      <c r="C1029" s="1" t="n">
        <v>45849</v>
      </c>
      <c r="D1029" t="inlineStr">
        <is>
          <t>NORRBOTTENS LÄN</t>
        </is>
      </c>
      <c r="E1029" t="inlineStr">
        <is>
          <t>BODEN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58848-2023</t>
        </is>
      </c>
      <c r="B1030" s="1" t="n">
        <v>45252</v>
      </c>
      <c r="C1030" s="1" t="n">
        <v>45849</v>
      </c>
      <c r="D1030" t="inlineStr">
        <is>
          <t>NORRBOTTENS LÄN</t>
        </is>
      </c>
      <c r="E1030" t="inlineStr">
        <is>
          <t>BODEN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59247-2023</t>
        </is>
      </c>
      <c r="B1031" s="1" t="n">
        <v>45252</v>
      </c>
      <c r="C1031" s="1" t="n">
        <v>45849</v>
      </c>
      <c r="D1031" t="inlineStr">
        <is>
          <t>NORRBOTTENS LÄN</t>
        </is>
      </c>
      <c r="E1031" t="inlineStr">
        <is>
          <t>BODEN</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59365-2023</t>
        </is>
      </c>
      <c r="B1032" s="1" t="n">
        <v>45253</v>
      </c>
      <c r="C1032" s="1" t="n">
        <v>45849</v>
      </c>
      <c r="D1032" t="inlineStr">
        <is>
          <t>NORRBOTTENS LÄN</t>
        </is>
      </c>
      <c r="E1032" t="inlineStr">
        <is>
          <t>BODEN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59532-2023</t>
        </is>
      </c>
      <c r="B1033" s="1" t="n">
        <v>45254</v>
      </c>
      <c r="C1033" s="1" t="n">
        <v>45849</v>
      </c>
      <c r="D1033" t="inlineStr">
        <is>
          <t>NORRBOTTENS LÄN</t>
        </is>
      </c>
      <c r="E1033" t="inlineStr">
        <is>
          <t>BODEN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59584-2023</t>
        </is>
      </c>
      <c r="B1034" s="1" t="n">
        <v>45254</v>
      </c>
      <c r="C1034" s="1" t="n">
        <v>45849</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59588-2023</t>
        </is>
      </c>
      <c r="B1035" s="1" t="n">
        <v>45254</v>
      </c>
      <c r="C1035" s="1" t="n">
        <v>45849</v>
      </c>
      <c r="D1035" t="inlineStr">
        <is>
          <t>NORRBOTTENS LÄN</t>
        </is>
      </c>
      <c r="E1035" t="inlineStr">
        <is>
          <t>BODEN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59893-2023</t>
        </is>
      </c>
      <c r="B1036" s="1" t="n">
        <v>45254</v>
      </c>
      <c r="C1036" s="1" t="n">
        <v>45849</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59890-2023</t>
        </is>
      </c>
      <c r="B1037" s="1" t="n">
        <v>45254</v>
      </c>
      <c r="C1037" s="1" t="n">
        <v>45849</v>
      </c>
      <c r="D1037" t="inlineStr">
        <is>
          <t>NORRBOTTENS LÄN</t>
        </is>
      </c>
      <c r="E1037" t="inlineStr">
        <is>
          <t>BODEN</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59688-2023</t>
        </is>
      </c>
      <c r="B1038" s="1" t="n">
        <v>45256</v>
      </c>
      <c r="C1038" s="1" t="n">
        <v>45849</v>
      </c>
      <c r="D1038" t="inlineStr">
        <is>
          <t>NORRBOTTENS LÄN</t>
        </is>
      </c>
      <c r="E1038" t="inlineStr">
        <is>
          <t>BODEN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59880-2023</t>
        </is>
      </c>
      <c r="B1039" s="1" t="n">
        <v>45257</v>
      </c>
      <c r="C1039" s="1" t="n">
        <v>45849</v>
      </c>
      <c r="D1039" t="inlineStr">
        <is>
          <t>NORRBOTTENS LÄN</t>
        </is>
      </c>
      <c r="E1039" t="inlineStr">
        <is>
          <t>BODEN</t>
        </is>
      </c>
      <c r="F1039" t="inlineStr">
        <is>
          <t>Naturvårdsverket</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59877-2023</t>
        </is>
      </c>
      <c r="B1040" s="1" t="n">
        <v>45257</v>
      </c>
      <c r="C1040" s="1" t="n">
        <v>45849</v>
      </c>
      <c r="D1040" t="inlineStr">
        <is>
          <t>NORRBOTTENS LÄN</t>
        </is>
      </c>
      <c r="E1040" t="inlineStr">
        <is>
          <t>BODEN</t>
        </is>
      </c>
      <c r="F1040" t="inlineStr">
        <is>
          <t>Naturvårdsverket</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59983-2023</t>
        </is>
      </c>
      <c r="B1041" s="1" t="n">
        <v>45257</v>
      </c>
      <c r="C1041" s="1" t="n">
        <v>45849</v>
      </c>
      <c r="D1041" t="inlineStr">
        <is>
          <t>NORRBOTTENS LÄN</t>
        </is>
      </c>
      <c r="E1041" t="inlineStr">
        <is>
          <t>BODEN</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59987-2023</t>
        </is>
      </c>
      <c r="B1042" s="1" t="n">
        <v>45257</v>
      </c>
      <c r="C1042" s="1" t="n">
        <v>45849</v>
      </c>
      <c r="D1042" t="inlineStr">
        <is>
          <t>NORRBOTTENS LÄN</t>
        </is>
      </c>
      <c r="E1042" t="inlineStr">
        <is>
          <t>BODEN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59984-2023</t>
        </is>
      </c>
      <c r="B1043" s="1" t="n">
        <v>45257</v>
      </c>
      <c r="C1043" s="1" t="n">
        <v>45849</v>
      </c>
      <c r="D1043" t="inlineStr">
        <is>
          <t>NORRBOTTENS LÄN</t>
        </is>
      </c>
      <c r="E1043" t="inlineStr">
        <is>
          <t>BODEN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59988-2023</t>
        </is>
      </c>
      <c r="B1044" s="1" t="n">
        <v>45257</v>
      </c>
      <c r="C1044" s="1" t="n">
        <v>45849</v>
      </c>
      <c r="D1044" t="inlineStr">
        <is>
          <t>NORRBOTTENS LÄN</t>
        </is>
      </c>
      <c r="E1044" t="inlineStr">
        <is>
          <t>BODEN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60578-2023</t>
        </is>
      </c>
      <c r="B1045" s="1" t="n">
        <v>45260</v>
      </c>
      <c r="C1045" s="1" t="n">
        <v>45849</v>
      </c>
      <c r="D1045" t="inlineStr">
        <is>
          <t>NORRBOTTENS LÄN</t>
        </is>
      </c>
      <c r="E1045" t="inlineStr">
        <is>
          <t>BODEN</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60567-2023</t>
        </is>
      </c>
      <c r="B1046" s="1" t="n">
        <v>45259</v>
      </c>
      <c r="C1046" s="1" t="n">
        <v>45849</v>
      </c>
      <c r="D1046" t="inlineStr">
        <is>
          <t>NORRBOTTENS LÄN</t>
        </is>
      </c>
      <c r="E1046" t="inlineStr">
        <is>
          <t>BODEN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61154-2023</t>
        </is>
      </c>
      <c r="B1047" s="1" t="n">
        <v>45260</v>
      </c>
      <c r="C1047" s="1" t="n">
        <v>45849</v>
      </c>
      <c r="D1047" t="inlineStr">
        <is>
          <t>NORRBOTTENS LÄN</t>
        </is>
      </c>
      <c r="E1047" t="inlineStr">
        <is>
          <t>BODEN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61128-2023</t>
        </is>
      </c>
      <c r="B1048" s="1" t="n">
        <v>45260</v>
      </c>
      <c r="C1048" s="1" t="n">
        <v>45849</v>
      </c>
      <c r="D1048" t="inlineStr">
        <is>
          <t>NORRBOTTENS LÄN</t>
        </is>
      </c>
      <c r="E1048" t="inlineStr">
        <is>
          <t>BODEN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61156-2023</t>
        </is>
      </c>
      <c r="B1049" s="1" t="n">
        <v>45260</v>
      </c>
      <c r="C1049" s="1" t="n">
        <v>45849</v>
      </c>
      <c r="D1049" t="inlineStr">
        <is>
          <t>NORRBOTTENS LÄN</t>
        </is>
      </c>
      <c r="E1049" t="inlineStr">
        <is>
          <t>BODEN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61155-2023</t>
        </is>
      </c>
      <c r="B1050" s="1" t="n">
        <v>45260</v>
      </c>
      <c r="C1050" s="1" t="n">
        <v>45849</v>
      </c>
      <c r="D1050" t="inlineStr">
        <is>
          <t>NORRBOTTENS LÄN</t>
        </is>
      </c>
      <c r="E1050" t="inlineStr">
        <is>
          <t>BODEN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61241-2023</t>
        </is>
      </c>
      <c r="B1051" s="1" t="n">
        <v>45260</v>
      </c>
      <c r="C1051" s="1" t="n">
        <v>45849</v>
      </c>
      <c r="D1051" t="inlineStr">
        <is>
          <t>NORRBOTTENS LÄN</t>
        </is>
      </c>
      <c r="E1051" t="inlineStr">
        <is>
          <t>BODEN</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61141-2023</t>
        </is>
      </c>
      <c r="B1052" s="1" t="n">
        <v>45260</v>
      </c>
      <c r="C1052" s="1" t="n">
        <v>45849</v>
      </c>
      <c r="D1052" t="inlineStr">
        <is>
          <t>NORRBOTTENS LÄN</t>
        </is>
      </c>
      <c r="E1052" t="inlineStr">
        <is>
          <t>BODEN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61185-2023</t>
        </is>
      </c>
      <c r="B1053" s="1" t="n">
        <v>45264</v>
      </c>
      <c r="C1053" s="1" t="n">
        <v>45849</v>
      </c>
      <c r="D1053" t="inlineStr">
        <is>
          <t>NORRBOTTENS LÄN</t>
        </is>
      </c>
      <c r="E1053" t="inlineStr">
        <is>
          <t>BODEN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61260-2023</t>
        </is>
      </c>
      <c r="B1054" s="1" t="n">
        <v>45264</v>
      </c>
      <c r="C1054" s="1" t="n">
        <v>45849</v>
      </c>
      <c r="D1054" t="inlineStr">
        <is>
          <t>NORRBOTTENS LÄN</t>
        </is>
      </c>
      <c r="E1054" t="inlineStr">
        <is>
          <t>BODEN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61184-2023</t>
        </is>
      </c>
      <c r="B1055" s="1" t="n">
        <v>45264</v>
      </c>
      <c r="C1055" s="1" t="n">
        <v>45849</v>
      </c>
      <c r="D1055" t="inlineStr">
        <is>
          <t>NORRBOTTENS LÄN</t>
        </is>
      </c>
      <c r="E1055" t="inlineStr">
        <is>
          <t>BODEN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61488-2023</t>
        </is>
      </c>
      <c r="B1056" s="1" t="n">
        <v>45264</v>
      </c>
      <c r="C1056" s="1" t="n">
        <v>45849</v>
      </c>
      <c r="D1056" t="inlineStr">
        <is>
          <t>NORRBOTTENS LÄN</t>
        </is>
      </c>
      <c r="E1056" t="inlineStr">
        <is>
          <t>BODEN</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61487-2023</t>
        </is>
      </c>
      <c r="B1057" s="1" t="n">
        <v>45264</v>
      </c>
      <c r="C1057" s="1" t="n">
        <v>45849</v>
      </c>
      <c r="D1057" t="inlineStr">
        <is>
          <t>NORRBOTTENS LÄN</t>
        </is>
      </c>
      <c r="E1057" t="inlineStr">
        <is>
          <t>BODEN</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61501-2023</t>
        </is>
      </c>
      <c r="B1058" s="1" t="n">
        <v>45264</v>
      </c>
      <c r="C1058" s="1" t="n">
        <v>45849</v>
      </c>
      <c r="D1058" t="inlineStr">
        <is>
          <t>NORRBOTTENS LÄN</t>
        </is>
      </c>
      <c r="E1058" t="inlineStr">
        <is>
          <t>BODEN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61509-2023</t>
        </is>
      </c>
      <c r="B1059" s="1" t="n">
        <v>45265</v>
      </c>
      <c r="C1059" s="1" t="n">
        <v>45849</v>
      </c>
      <c r="D1059" t="inlineStr">
        <is>
          <t>NORRBOTTENS LÄN</t>
        </is>
      </c>
      <c r="E1059" t="inlineStr">
        <is>
          <t>BODEN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61770-2023</t>
        </is>
      </c>
      <c r="B1060" s="1" t="n">
        <v>45265</v>
      </c>
      <c r="C1060" s="1" t="n">
        <v>45849</v>
      </c>
      <c r="D1060" t="inlineStr">
        <is>
          <t>NORRBOTTENS LÄN</t>
        </is>
      </c>
      <c r="E1060" t="inlineStr">
        <is>
          <t>BODEN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61775-2023</t>
        </is>
      </c>
      <c r="B1061" s="1" t="n">
        <v>45265</v>
      </c>
      <c r="C1061" s="1" t="n">
        <v>45849</v>
      </c>
      <c r="D1061" t="inlineStr">
        <is>
          <t>NORRBOTTENS LÄN</t>
        </is>
      </c>
      <c r="E1061" t="inlineStr">
        <is>
          <t>BODEN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62396-2023</t>
        </is>
      </c>
      <c r="B1062" s="1" t="n">
        <v>45268</v>
      </c>
      <c r="C1062" s="1" t="n">
        <v>45849</v>
      </c>
      <c r="D1062" t="inlineStr">
        <is>
          <t>NORRBOTTENS LÄN</t>
        </is>
      </c>
      <c r="E1062" t="inlineStr">
        <is>
          <t>BODEN</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62894-2023</t>
        </is>
      </c>
      <c r="B1063" s="1" t="n">
        <v>45272</v>
      </c>
      <c r="C1063" s="1" t="n">
        <v>45849</v>
      </c>
      <c r="D1063" t="inlineStr">
        <is>
          <t>NORRBOTTENS LÄN</t>
        </is>
      </c>
      <c r="E1063" t="inlineStr">
        <is>
          <t>BODEN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63705-2023</t>
        </is>
      </c>
      <c r="B1064" s="1" t="n">
        <v>45275</v>
      </c>
      <c r="C1064" s="1" t="n">
        <v>45849</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63824-2023</t>
        </is>
      </c>
      <c r="B1065" s="1" t="n">
        <v>45278</v>
      </c>
      <c r="C1065" s="1" t="n">
        <v>45849</v>
      </c>
      <c r="D1065" t="inlineStr">
        <is>
          <t>NORRBOTTENS LÄN</t>
        </is>
      </c>
      <c r="E1065" t="inlineStr">
        <is>
          <t>BODEN</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64649-2023</t>
        </is>
      </c>
      <c r="B1066" s="1" t="n">
        <v>45281</v>
      </c>
      <c r="C1066" s="1" t="n">
        <v>45849</v>
      </c>
      <c r="D1066" t="inlineStr">
        <is>
          <t>NORRBOTTENS LÄN</t>
        </is>
      </c>
      <c r="E1066" t="inlineStr">
        <is>
          <t>BODEN</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64653-2023</t>
        </is>
      </c>
      <c r="B1067" s="1" t="n">
        <v>45281</v>
      </c>
      <c r="C1067" s="1" t="n">
        <v>45849</v>
      </c>
      <c r="D1067" t="inlineStr">
        <is>
          <t>NORRBOTTENS LÄN</t>
        </is>
      </c>
      <c r="E1067" t="inlineStr">
        <is>
          <t>BODEN</t>
        </is>
      </c>
      <c r="F1067" t="inlineStr">
        <is>
          <t>Sveaskog</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64893-2023</t>
        </is>
      </c>
      <c r="B1068" s="1" t="n">
        <v>45282</v>
      </c>
      <c r="C1068" s="1" t="n">
        <v>45849</v>
      </c>
      <c r="D1068" t="inlineStr">
        <is>
          <t>NORRBOTTENS LÄN</t>
        </is>
      </c>
      <c r="E1068" t="inlineStr">
        <is>
          <t>BODEN</t>
        </is>
      </c>
      <c r="F1068" t="inlineStr">
        <is>
          <t>Övriga Aktiebolag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64975-2023</t>
        </is>
      </c>
      <c r="B1069" s="1" t="n">
        <v>45285</v>
      </c>
      <c r="C1069" s="1" t="n">
        <v>45849</v>
      </c>
      <c r="D1069" t="inlineStr">
        <is>
          <t>NORRBOTTENS LÄN</t>
        </is>
      </c>
      <c r="E1069" t="inlineStr">
        <is>
          <t>BODEN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65241-2023</t>
        </is>
      </c>
      <c r="B1070" s="1" t="n">
        <v>45289</v>
      </c>
      <c r="C1070" s="1" t="n">
        <v>45849</v>
      </c>
      <c r="D1070" t="inlineStr">
        <is>
          <t>NORRBOTTENS LÄN</t>
        </is>
      </c>
      <c r="E1070" t="inlineStr">
        <is>
          <t>BODEN</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65234-2023</t>
        </is>
      </c>
      <c r="B1071" s="1" t="n">
        <v>45289</v>
      </c>
      <c r="C1071" s="1" t="n">
        <v>45849</v>
      </c>
      <c r="D1071" t="inlineStr">
        <is>
          <t>NORRBOTTENS LÄN</t>
        </is>
      </c>
      <c r="E1071" t="inlineStr">
        <is>
          <t>BODEN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581-2024</t>
        </is>
      </c>
      <c r="B1072" s="1" t="n">
        <v>45299</v>
      </c>
      <c r="C1072" s="1" t="n">
        <v>45849</v>
      </c>
      <c r="D1072" t="inlineStr">
        <is>
          <t>NORRBOTTENS LÄN</t>
        </is>
      </c>
      <c r="E1072" t="inlineStr">
        <is>
          <t>BODEN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849-2024</t>
        </is>
      </c>
      <c r="B1073" s="1" t="n">
        <v>45300</v>
      </c>
      <c r="C1073" s="1" t="n">
        <v>45849</v>
      </c>
      <c r="D1073" t="inlineStr">
        <is>
          <t>NORRBOTTENS LÄN</t>
        </is>
      </c>
      <c r="E1073" t="inlineStr">
        <is>
          <t>BODEN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1049-2024</t>
        </is>
      </c>
      <c r="B1074" s="1" t="n">
        <v>45301</v>
      </c>
      <c r="C1074" s="1" t="n">
        <v>45849</v>
      </c>
      <c r="D1074" t="inlineStr">
        <is>
          <t>NORRBOTTENS LÄN</t>
        </is>
      </c>
      <c r="E1074" t="inlineStr">
        <is>
          <t>BODEN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1081-2024</t>
        </is>
      </c>
      <c r="B1075" s="1" t="n">
        <v>45301</v>
      </c>
      <c r="C1075" s="1" t="n">
        <v>45849</v>
      </c>
      <c r="D1075" t="inlineStr">
        <is>
          <t>NORRBOTTENS LÄN</t>
        </is>
      </c>
      <c r="E1075" t="inlineStr">
        <is>
          <t>BODEN</t>
        </is>
      </c>
      <c r="F1075" t="inlineStr">
        <is>
          <t>Övriga statliga verk och myndigheter</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1174-2024</t>
        </is>
      </c>
      <c r="B1076" s="1" t="n">
        <v>45302</v>
      </c>
      <c r="C1076" s="1" t="n">
        <v>45849</v>
      </c>
      <c r="D1076" t="inlineStr">
        <is>
          <t>NORRBOTTENS LÄN</t>
        </is>
      </c>
      <c r="E1076" t="inlineStr">
        <is>
          <t>BODEN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2069-2024</t>
        </is>
      </c>
      <c r="B1077" s="1" t="n">
        <v>45309</v>
      </c>
      <c r="C1077" s="1" t="n">
        <v>45849</v>
      </c>
      <c r="D1077" t="inlineStr">
        <is>
          <t>NORRBOTTENS LÄN</t>
        </is>
      </c>
      <c r="E1077" t="inlineStr">
        <is>
          <t>BODEN</t>
        </is>
      </c>
      <c r="F1077" t="inlineStr">
        <is>
          <t>Naturvårdsverket</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2426-2024</t>
        </is>
      </c>
      <c r="B1078" s="1" t="n">
        <v>45310</v>
      </c>
      <c r="C1078" s="1" t="n">
        <v>45849</v>
      </c>
      <c r="D1078" t="inlineStr">
        <is>
          <t>NORRBOTTENS LÄN</t>
        </is>
      </c>
      <c r="E1078" t="inlineStr">
        <is>
          <t>BODEN</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2583-2024</t>
        </is>
      </c>
      <c r="B1079" s="1" t="n">
        <v>45313</v>
      </c>
      <c r="C1079" s="1" t="n">
        <v>45849</v>
      </c>
      <c r="D1079" t="inlineStr">
        <is>
          <t>NORRBOTTENS LÄN</t>
        </is>
      </c>
      <c r="E1079" t="inlineStr">
        <is>
          <t>BODEN</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2682-2024</t>
        </is>
      </c>
      <c r="B1080" s="1" t="n">
        <v>45314</v>
      </c>
      <c r="C1080" s="1" t="n">
        <v>45849</v>
      </c>
      <c r="D1080" t="inlineStr">
        <is>
          <t>NORRBOTTENS LÄN</t>
        </is>
      </c>
      <c r="E1080" t="inlineStr">
        <is>
          <t>BODEN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3019-2024</t>
        </is>
      </c>
      <c r="B1081" s="1" t="n">
        <v>45315</v>
      </c>
      <c r="C1081" s="1" t="n">
        <v>45849</v>
      </c>
      <c r="D1081" t="inlineStr">
        <is>
          <t>NORRBOTTENS LÄN</t>
        </is>
      </c>
      <c r="E1081" t="inlineStr">
        <is>
          <t>BODEN</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3090-2024</t>
        </is>
      </c>
      <c r="B1082" s="1" t="n">
        <v>45316</v>
      </c>
      <c r="C1082" s="1" t="n">
        <v>45849</v>
      </c>
      <c r="D1082" t="inlineStr">
        <is>
          <t>NORRBOTTENS LÄN</t>
        </is>
      </c>
      <c r="E1082" t="inlineStr">
        <is>
          <t>BODEN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3146-2024</t>
        </is>
      </c>
      <c r="B1083" s="1" t="n">
        <v>45316</v>
      </c>
      <c r="C1083" s="1" t="n">
        <v>45849</v>
      </c>
      <c r="D1083" t="inlineStr">
        <is>
          <t>NORRBOTTENS LÄN</t>
        </is>
      </c>
      <c r="E1083" t="inlineStr">
        <is>
          <t>BODEN</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4053-2024</t>
        </is>
      </c>
      <c r="B1084" s="1" t="n">
        <v>45323</v>
      </c>
      <c r="C1084" s="1" t="n">
        <v>45849</v>
      </c>
      <c r="D1084" t="inlineStr">
        <is>
          <t>NORRBOTTENS LÄN</t>
        </is>
      </c>
      <c r="E1084" t="inlineStr">
        <is>
          <t>BODEN</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4055-2024</t>
        </is>
      </c>
      <c r="B1085" s="1" t="n">
        <v>45323</v>
      </c>
      <c r="C1085" s="1" t="n">
        <v>45849</v>
      </c>
      <c r="D1085" t="inlineStr">
        <is>
          <t>NORRBOTTENS LÄN</t>
        </is>
      </c>
      <c r="E1085" t="inlineStr">
        <is>
          <t>BODEN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5099-2024</t>
        </is>
      </c>
      <c r="B1086" s="1" t="n">
        <v>45330</v>
      </c>
      <c r="C1086" s="1" t="n">
        <v>45849</v>
      </c>
      <c r="D1086" t="inlineStr">
        <is>
          <t>NORRBOTTENS LÄN</t>
        </is>
      </c>
      <c r="E1086" t="inlineStr">
        <is>
          <t>BODEN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5193-2024</t>
        </is>
      </c>
      <c r="B1087" s="1" t="n">
        <v>45330</v>
      </c>
      <c r="C1087" s="1" t="n">
        <v>45849</v>
      </c>
      <c r="D1087" t="inlineStr">
        <is>
          <t>NORRBOTTENS LÄN</t>
        </is>
      </c>
      <c r="E1087" t="inlineStr">
        <is>
          <t>BODEN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6084-2024</t>
        </is>
      </c>
      <c r="B1088" s="1" t="n">
        <v>45336</v>
      </c>
      <c r="C1088" s="1" t="n">
        <v>45849</v>
      </c>
      <c r="D1088" t="inlineStr">
        <is>
          <t>NORRBOTTENS LÄN</t>
        </is>
      </c>
      <c r="E1088" t="inlineStr">
        <is>
          <t>BODEN</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6396-2024</t>
        </is>
      </c>
      <c r="B1089" s="1" t="n">
        <v>45338</v>
      </c>
      <c r="C1089" s="1" t="n">
        <v>45849</v>
      </c>
      <c r="D1089" t="inlineStr">
        <is>
          <t>NORRBOTTENS LÄN</t>
        </is>
      </c>
      <c r="E1089" t="inlineStr">
        <is>
          <t>BODEN</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6382-2024</t>
        </is>
      </c>
      <c r="B1090" s="1" t="n">
        <v>45338</v>
      </c>
      <c r="C1090" s="1" t="n">
        <v>45849</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6517-2024</t>
        </is>
      </c>
      <c r="B1091" s="1" t="n">
        <v>45341</v>
      </c>
      <c r="C1091" s="1" t="n">
        <v>45849</v>
      </c>
      <c r="D1091" t="inlineStr">
        <is>
          <t>NORRBOTTENS LÄN</t>
        </is>
      </c>
      <c r="E1091" t="inlineStr">
        <is>
          <t>BODEN</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6606-2024</t>
        </is>
      </c>
      <c r="B1092" s="1" t="n">
        <v>45341</v>
      </c>
      <c r="C1092" s="1" t="n">
        <v>45849</v>
      </c>
      <c r="D1092" t="inlineStr">
        <is>
          <t>NORRBOTTENS LÄN</t>
        </is>
      </c>
      <c r="E1092" t="inlineStr">
        <is>
          <t>BODEN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6638-2024</t>
        </is>
      </c>
      <c r="B1093" s="1" t="n">
        <v>45341</v>
      </c>
      <c r="C1093" s="1" t="n">
        <v>45849</v>
      </c>
      <c r="D1093" t="inlineStr">
        <is>
          <t>NORRBOTTENS LÄN</t>
        </is>
      </c>
      <c r="E1093" t="inlineStr">
        <is>
          <t>BODEN</t>
        </is>
      </c>
      <c r="F1093" t="inlineStr">
        <is>
          <t>Övriga statliga verk och myndigheter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7442-2024</t>
        </is>
      </c>
      <c r="B1094" s="1" t="n">
        <v>45345</v>
      </c>
      <c r="C1094" s="1" t="n">
        <v>45849</v>
      </c>
      <c r="D1094" t="inlineStr">
        <is>
          <t>NORRBOTTENS LÄN</t>
        </is>
      </c>
      <c r="E1094" t="inlineStr">
        <is>
          <t>BODEN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8171-2024</t>
        </is>
      </c>
      <c r="B1095" s="1" t="n">
        <v>45349</v>
      </c>
      <c r="C1095" s="1" t="n">
        <v>45849</v>
      </c>
      <c r="D1095" t="inlineStr">
        <is>
          <t>NORRBOTTENS LÄN</t>
        </is>
      </c>
      <c r="E1095" t="inlineStr">
        <is>
          <t>BODEN</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8029-2024</t>
        </is>
      </c>
      <c r="B1096" s="1" t="n">
        <v>45350</v>
      </c>
      <c r="C1096" s="1" t="n">
        <v>45849</v>
      </c>
      <c r="D1096" t="inlineStr">
        <is>
          <t>NORRBOTTENS LÄN</t>
        </is>
      </c>
      <c r="E1096" t="inlineStr">
        <is>
          <t>BODEN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8028-2024</t>
        </is>
      </c>
      <c r="B1097" s="1" t="n">
        <v>45350</v>
      </c>
      <c r="C1097" s="1" t="n">
        <v>45849</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8232-2024</t>
        </is>
      </c>
      <c r="B1098" s="1" t="n">
        <v>45351</v>
      </c>
      <c r="C1098" s="1" t="n">
        <v>45849</v>
      </c>
      <c r="D1098" t="inlineStr">
        <is>
          <t>NORRBOTTENS LÄN</t>
        </is>
      </c>
      <c r="E1098" t="inlineStr">
        <is>
          <t>BODEN</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8870-2024</t>
        </is>
      </c>
      <c r="B1099" s="1" t="n">
        <v>45356</v>
      </c>
      <c r="C1099" s="1" t="n">
        <v>45849</v>
      </c>
      <c r="D1099" t="inlineStr">
        <is>
          <t>NORRBOTTENS LÄN</t>
        </is>
      </c>
      <c r="E1099" t="inlineStr">
        <is>
          <t>BODEN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8871-2024</t>
        </is>
      </c>
      <c r="B1100" s="1" t="n">
        <v>45356</v>
      </c>
      <c r="C1100" s="1" t="n">
        <v>45849</v>
      </c>
      <c r="D1100" t="inlineStr">
        <is>
          <t>NORRBOTTENS LÄN</t>
        </is>
      </c>
      <c r="E1100" t="inlineStr">
        <is>
          <t>BODEN</t>
        </is>
      </c>
      <c r="G1100" t="n">
        <v>16.1</v>
      </c>
      <c r="H1100" t="n">
        <v>0</v>
      </c>
      <c r="I1100" t="n">
        <v>0</v>
      </c>
      <c r="J1100" t="n">
        <v>0</v>
      </c>
      <c r="K1100" t="n">
        <v>0</v>
      </c>
      <c r="L1100" t="n">
        <v>0</v>
      </c>
      <c r="M1100" t="n">
        <v>0</v>
      </c>
      <c r="N1100" t="n">
        <v>0</v>
      </c>
      <c r="O1100" t="n">
        <v>0</v>
      </c>
      <c r="P1100" t="n">
        <v>0</v>
      </c>
      <c r="Q1100" t="n">
        <v>0</v>
      </c>
      <c r="R1100" s="2" t="inlineStr"/>
    </row>
    <row r="1101" ht="15" customHeight="1">
      <c r="A1101" t="inlineStr">
        <is>
          <t>A 8782-2024</t>
        </is>
      </c>
      <c r="B1101" s="1" t="n">
        <v>45356</v>
      </c>
      <c r="C1101" s="1" t="n">
        <v>45849</v>
      </c>
      <c r="D1101" t="inlineStr">
        <is>
          <t>NORRBOTTENS LÄN</t>
        </is>
      </c>
      <c r="E1101" t="inlineStr">
        <is>
          <t>BODEN</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8869-2024</t>
        </is>
      </c>
      <c r="B1102" s="1" t="n">
        <v>45357</v>
      </c>
      <c r="C1102" s="1" t="n">
        <v>45849</v>
      </c>
      <c r="D1102" t="inlineStr">
        <is>
          <t>NORRBOTTENS LÄN</t>
        </is>
      </c>
      <c r="E1102" t="inlineStr">
        <is>
          <t>BODEN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8873-2024</t>
        </is>
      </c>
      <c r="B1103" s="1" t="n">
        <v>45356</v>
      </c>
      <c r="C1103" s="1" t="n">
        <v>45849</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8868-2024</t>
        </is>
      </c>
      <c r="B1104" s="1" t="n">
        <v>45357</v>
      </c>
      <c r="C1104" s="1" t="n">
        <v>45849</v>
      </c>
      <c r="D1104" t="inlineStr">
        <is>
          <t>NORRBOTTENS LÄN</t>
        </is>
      </c>
      <c r="E1104" t="inlineStr">
        <is>
          <t>BODEN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8872-2024</t>
        </is>
      </c>
      <c r="B1105" s="1" t="n">
        <v>45356</v>
      </c>
      <c r="C1105" s="1" t="n">
        <v>45849</v>
      </c>
      <c r="D1105" t="inlineStr">
        <is>
          <t>NORRBOTTENS LÄN</t>
        </is>
      </c>
      <c r="E1105" t="inlineStr">
        <is>
          <t>BODEN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9318-2024</t>
        </is>
      </c>
      <c r="B1106" s="1" t="n">
        <v>45358</v>
      </c>
      <c r="C1106" s="1" t="n">
        <v>45849</v>
      </c>
      <c r="D1106" t="inlineStr">
        <is>
          <t>NORRBOTTENS LÄN</t>
        </is>
      </c>
      <c r="E1106" t="inlineStr">
        <is>
          <t>BODEN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9322-2024</t>
        </is>
      </c>
      <c r="B1107" s="1" t="n">
        <v>45358</v>
      </c>
      <c r="C1107" s="1" t="n">
        <v>45849</v>
      </c>
      <c r="D1107" t="inlineStr">
        <is>
          <t>NORRBOTTENS LÄN</t>
        </is>
      </c>
      <c r="E1107" t="inlineStr">
        <is>
          <t>BODEN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9319-2024</t>
        </is>
      </c>
      <c r="B1108" s="1" t="n">
        <v>45358</v>
      </c>
      <c r="C1108" s="1" t="n">
        <v>45849</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9320-2024</t>
        </is>
      </c>
      <c r="B1109" s="1" t="n">
        <v>45358</v>
      </c>
      <c r="C1109" s="1" t="n">
        <v>45849</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9321-2024</t>
        </is>
      </c>
      <c r="B1110" s="1" t="n">
        <v>45358</v>
      </c>
      <c r="C1110" s="1" t="n">
        <v>45849</v>
      </c>
      <c r="D1110" t="inlineStr">
        <is>
          <t>NORRBOTTENS LÄN</t>
        </is>
      </c>
      <c r="E1110" t="inlineStr">
        <is>
          <t>BODEN</t>
        </is>
      </c>
      <c r="G1110" t="n">
        <v>12.8</v>
      </c>
      <c r="H1110" t="n">
        <v>0</v>
      </c>
      <c r="I1110" t="n">
        <v>0</v>
      </c>
      <c r="J1110" t="n">
        <v>0</v>
      </c>
      <c r="K1110" t="n">
        <v>0</v>
      </c>
      <c r="L1110" t="n">
        <v>0</v>
      </c>
      <c r="M1110" t="n">
        <v>0</v>
      </c>
      <c r="N1110" t="n">
        <v>0</v>
      </c>
      <c r="O1110" t="n">
        <v>0</v>
      </c>
      <c r="P1110" t="n">
        <v>0</v>
      </c>
      <c r="Q1110" t="n">
        <v>0</v>
      </c>
      <c r="R1110" s="2" t="inlineStr"/>
    </row>
    <row r="1111" ht="15" customHeight="1">
      <c r="A1111" t="inlineStr">
        <is>
          <t>A 10730-2024</t>
        </is>
      </c>
      <c r="B1111" s="1" t="n">
        <v>45369</v>
      </c>
      <c r="C1111" s="1" t="n">
        <v>45849</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10921-2024</t>
        </is>
      </c>
      <c r="B1112" s="1" t="n">
        <v>45370</v>
      </c>
      <c r="C1112" s="1" t="n">
        <v>45849</v>
      </c>
      <c r="D1112" t="inlineStr">
        <is>
          <t>NORRBOTTENS LÄN</t>
        </is>
      </c>
      <c r="E1112" t="inlineStr">
        <is>
          <t>BODEN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11534-2024</t>
        </is>
      </c>
      <c r="B1113" s="1" t="n">
        <v>45372</v>
      </c>
      <c r="C1113" s="1" t="n">
        <v>45849</v>
      </c>
      <c r="D1113" t="inlineStr">
        <is>
          <t>NORRBOTTENS LÄN</t>
        </is>
      </c>
      <c r="E1113" t="inlineStr">
        <is>
          <t>BODEN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11554-2024</t>
        </is>
      </c>
      <c r="B1114" s="1" t="n">
        <v>45373</v>
      </c>
      <c r="C1114" s="1" t="n">
        <v>45849</v>
      </c>
      <c r="D1114" t="inlineStr">
        <is>
          <t>NORRBOTTENS LÄN</t>
        </is>
      </c>
      <c r="E1114" t="inlineStr">
        <is>
          <t>BODEN</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11769-2024</t>
        </is>
      </c>
      <c r="B1115" s="1" t="n">
        <v>45373</v>
      </c>
      <c r="C1115" s="1" t="n">
        <v>45849</v>
      </c>
      <c r="D1115" t="inlineStr">
        <is>
          <t>NORRBOTTENS LÄN</t>
        </is>
      </c>
      <c r="E1115" t="inlineStr">
        <is>
          <t>BODEN</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11866-2024</t>
        </is>
      </c>
      <c r="B1116" s="1" t="n">
        <v>45373</v>
      </c>
      <c r="C1116" s="1" t="n">
        <v>45849</v>
      </c>
      <c r="D1116" t="inlineStr">
        <is>
          <t>NORRBOTTENS LÄN</t>
        </is>
      </c>
      <c r="E1116" t="inlineStr">
        <is>
          <t>BODEN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11725-2024</t>
        </is>
      </c>
      <c r="B1117" s="1" t="n">
        <v>45373</v>
      </c>
      <c r="C1117" s="1" t="n">
        <v>45849</v>
      </c>
      <c r="D1117" t="inlineStr">
        <is>
          <t>NORRBOTTENS LÄN</t>
        </is>
      </c>
      <c r="E1117" t="inlineStr">
        <is>
          <t>BODEN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11858-2024</t>
        </is>
      </c>
      <c r="B1118" s="1" t="n">
        <v>45376</v>
      </c>
      <c r="C1118" s="1" t="n">
        <v>45849</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11965-2024</t>
        </is>
      </c>
      <c r="B1119" s="1" t="n">
        <v>45376</v>
      </c>
      <c r="C1119" s="1" t="n">
        <v>45849</v>
      </c>
      <c r="D1119" t="inlineStr">
        <is>
          <t>NORRBOTTENS LÄN</t>
        </is>
      </c>
      <c r="E1119" t="inlineStr">
        <is>
          <t>BODEN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12557-2024</t>
        </is>
      </c>
      <c r="B1120" s="1" t="n">
        <v>45379</v>
      </c>
      <c r="C1120" s="1" t="n">
        <v>45849</v>
      </c>
      <c r="D1120" t="inlineStr">
        <is>
          <t>NORRBOTTENS LÄN</t>
        </is>
      </c>
      <c r="E1120" t="inlineStr">
        <is>
          <t>BODEN</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12554-2024</t>
        </is>
      </c>
      <c r="B1121" s="1" t="n">
        <v>45379</v>
      </c>
      <c r="C1121" s="1" t="n">
        <v>45849</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12558-2024</t>
        </is>
      </c>
      <c r="B1122" s="1" t="n">
        <v>45379</v>
      </c>
      <c r="C1122" s="1" t="n">
        <v>45849</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12562-2024</t>
        </is>
      </c>
      <c r="B1123" s="1" t="n">
        <v>45379</v>
      </c>
      <c r="C1123" s="1" t="n">
        <v>45849</v>
      </c>
      <c r="D1123" t="inlineStr">
        <is>
          <t>NORRBOTTENS LÄN</t>
        </is>
      </c>
      <c r="E1123" t="inlineStr">
        <is>
          <t>BODEN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13376-2024</t>
        </is>
      </c>
      <c r="B1124" s="1" t="n">
        <v>45387</v>
      </c>
      <c r="C1124" s="1" t="n">
        <v>45849</v>
      </c>
      <c r="D1124" t="inlineStr">
        <is>
          <t>NORRBOTTENS LÄN</t>
        </is>
      </c>
      <c r="E1124" t="inlineStr">
        <is>
          <t>BODEN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13394-2024</t>
        </is>
      </c>
      <c r="B1125" s="1" t="n">
        <v>45387</v>
      </c>
      <c r="C1125" s="1" t="n">
        <v>45849</v>
      </c>
      <c r="D1125" t="inlineStr">
        <is>
          <t>NORRBOTTENS LÄN</t>
        </is>
      </c>
      <c r="E1125" t="inlineStr">
        <is>
          <t>BODEN</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13925-2024</t>
        </is>
      </c>
      <c r="B1126" s="1" t="n">
        <v>45392</v>
      </c>
      <c r="C1126" s="1" t="n">
        <v>45849</v>
      </c>
      <c r="D1126" t="inlineStr">
        <is>
          <t>NORRBOTTENS LÄN</t>
        </is>
      </c>
      <c r="E1126" t="inlineStr">
        <is>
          <t>BODEN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13926-2024</t>
        </is>
      </c>
      <c r="B1127" s="1" t="n">
        <v>45392</v>
      </c>
      <c r="C1127" s="1" t="n">
        <v>45849</v>
      </c>
      <c r="D1127" t="inlineStr">
        <is>
          <t>NORRBOTTENS LÄN</t>
        </is>
      </c>
      <c r="E1127" t="inlineStr">
        <is>
          <t>BODEN</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14802-2024</t>
        </is>
      </c>
      <c r="B1128" s="1" t="n">
        <v>45397</v>
      </c>
      <c r="C1128" s="1" t="n">
        <v>45849</v>
      </c>
      <c r="D1128" t="inlineStr">
        <is>
          <t>NORRBOTTENS LÄN</t>
        </is>
      </c>
      <c r="E1128" t="inlineStr">
        <is>
          <t>BODEN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14801-2024</t>
        </is>
      </c>
      <c r="B1129" s="1" t="n">
        <v>45397</v>
      </c>
      <c r="C1129" s="1" t="n">
        <v>45849</v>
      </c>
      <c r="D1129" t="inlineStr">
        <is>
          <t>NORRBOTTENS LÄN</t>
        </is>
      </c>
      <c r="E1129" t="inlineStr">
        <is>
          <t>BODEN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15668-2024</t>
        </is>
      </c>
      <c r="B1130" s="1" t="n">
        <v>45401</v>
      </c>
      <c r="C1130" s="1" t="n">
        <v>45849</v>
      </c>
      <c r="D1130" t="inlineStr">
        <is>
          <t>NORRBOTTENS LÄN</t>
        </is>
      </c>
      <c r="E1130" t="inlineStr">
        <is>
          <t>BODEN</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15586-2024</t>
        </is>
      </c>
      <c r="B1131" s="1" t="n">
        <v>45401</v>
      </c>
      <c r="C1131" s="1" t="n">
        <v>45849</v>
      </c>
      <c r="D1131" t="inlineStr">
        <is>
          <t>NORRBOTTENS LÄN</t>
        </is>
      </c>
      <c r="E1131" t="inlineStr">
        <is>
          <t>BODEN</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16222-2024</t>
        </is>
      </c>
      <c r="B1132" s="1" t="n">
        <v>45406</v>
      </c>
      <c r="C1132" s="1" t="n">
        <v>45849</v>
      </c>
      <c r="D1132" t="inlineStr">
        <is>
          <t>NORRBOTTENS LÄN</t>
        </is>
      </c>
      <c r="E1132" t="inlineStr">
        <is>
          <t>BODEN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16226-2024</t>
        </is>
      </c>
      <c r="B1133" s="1" t="n">
        <v>45407</v>
      </c>
      <c r="C1133" s="1" t="n">
        <v>45849</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16220-2024</t>
        </is>
      </c>
      <c r="B1134" s="1" t="n">
        <v>45407</v>
      </c>
      <c r="C1134" s="1" t="n">
        <v>45849</v>
      </c>
      <c r="D1134" t="inlineStr">
        <is>
          <t>NORRBOTTENS LÄN</t>
        </is>
      </c>
      <c r="E1134" t="inlineStr">
        <is>
          <t>BODEN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16215-2024</t>
        </is>
      </c>
      <c r="B1135" s="1" t="n">
        <v>45406</v>
      </c>
      <c r="C1135" s="1" t="n">
        <v>45849</v>
      </c>
      <c r="D1135" t="inlineStr">
        <is>
          <t>NORRBOTTENS LÄN</t>
        </is>
      </c>
      <c r="E1135" t="inlineStr">
        <is>
          <t>BODEN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16625-2024</t>
        </is>
      </c>
      <c r="B1136" s="1" t="n">
        <v>45408</v>
      </c>
      <c r="C1136" s="1" t="n">
        <v>45849</v>
      </c>
      <c r="D1136" t="inlineStr">
        <is>
          <t>NORRBOTTENS LÄN</t>
        </is>
      </c>
      <c r="E1136" t="inlineStr">
        <is>
          <t>BODEN</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16700-2024</t>
        </is>
      </c>
      <c r="B1137" s="1" t="n">
        <v>45409</v>
      </c>
      <c r="C1137" s="1" t="n">
        <v>45849</v>
      </c>
      <c r="D1137" t="inlineStr">
        <is>
          <t>NORRBOTTENS LÄN</t>
        </is>
      </c>
      <c r="E1137" t="inlineStr">
        <is>
          <t>BODEN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16699-2024</t>
        </is>
      </c>
      <c r="B1138" s="1" t="n">
        <v>45409</v>
      </c>
      <c r="C1138" s="1" t="n">
        <v>45849</v>
      </c>
      <c r="D1138" t="inlineStr">
        <is>
          <t>NORRBOTTENS LÄN</t>
        </is>
      </c>
      <c r="E1138" t="inlineStr">
        <is>
          <t>BODEN</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16965-2024</t>
        </is>
      </c>
      <c r="B1139" s="1" t="n">
        <v>45411</v>
      </c>
      <c r="C1139" s="1" t="n">
        <v>45849</v>
      </c>
      <c r="D1139" t="inlineStr">
        <is>
          <t>NORRBOTTENS LÄN</t>
        </is>
      </c>
      <c r="E1139" t="inlineStr">
        <is>
          <t>BODEN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16972-2024</t>
        </is>
      </c>
      <c r="B1140" s="1" t="n">
        <v>45411</v>
      </c>
      <c r="C1140" s="1" t="n">
        <v>45849</v>
      </c>
      <c r="D1140" t="inlineStr">
        <is>
          <t>NORRBOTTENS LÄN</t>
        </is>
      </c>
      <c r="E1140" t="inlineStr">
        <is>
          <t>BODEN</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16988-2024</t>
        </is>
      </c>
      <c r="B1141" s="1" t="n">
        <v>45412</v>
      </c>
      <c r="C1141" s="1" t="n">
        <v>45849</v>
      </c>
      <c r="D1141" t="inlineStr">
        <is>
          <t>NORRBOTTENS LÄN</t>
        </is>
      </c>
      <c r="E1141" t="inlineStr">
        <is>
          <t>BODEN</t>
        </is>
      </c>
      <c r="G1141" t="n">
        <v>14.5</v>
      </c>
      <c r="H1141" t="n">
        <v>0</v>
      </c>
      <c r="I1141" t="n">
        <v>0</v>
      </c>
      <c r="J1141" t="n">
        <v>0</v>
      </c>
      <c r="K1141" t="n">
        <v>0</v>
      </c>
      <c r="L1141" t="n">
        <v>0</v>
      </c>
      <c r="M1141" t="n">
        <v>0</v>
      </c>
      <c r="N1141" t="n">
        <v>0</v>
      </c>
      <c r="O1141" t="n">
        <v>0</v>
      </c>
      <c r="P1141" t="n">
        <v>0</v>
      </c>
      <c r="Q1141" t="n">
        <v>0</v>
      </c>
      <c r="R1141" s="2" t="inlineStr"/>
    </row>
    <row r="1142" ht="15" customHeight="1">
      <c r="A1142" t="inlineStr">
        <is>
          <t>A 17412-2024</t>
        </is>
      </c>
      <c r="B1142" s="1" t="n">
        <v>45414</v>
      </c>
      <c r="C1142" s="1" t="n">
        <v>45849</v>
      </c>
      <c r="D1142" t="inlineStr">
        <is>
          <t>NORRBOTTENS LÄN</t>
        </is>
      </c>
      <c r="E1142" t="inlineStr">
        <is>
          <t>BODEN</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17413-2024</t>
        </is>
      </c>
      <c r="B1143" s="1" t="n">
        <v>45415</v>
      </c>
      <c r="C1143" s="1" t="n">
        <v>45849</v>
      </c>
      <c r="D1143" t="inlineStr">
        <is>
          <t>NORRBOTTENS LÄN</t>
        </is>
      </c>
      <c r="E1143" t="inlineStr">
        <is>
          <t>BODEN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17962-2024</t>
        </is>
      </c>
      <c r="B1144" s="1" t="n">
        <v>45419</v>
      </c>
      <c r="C1144" s="1" t="n">
        <v>45849</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17961-2024</t>
        </is>
      </c>
      <c r="B1145" s="1" t="n">
        <v>45419</v>
      </c>
      <c r="C1145" s="1" t="n">
        <v>45849</v>
      </c>
      <c r="D1145" t="inlineStr">
        <is>
          <t>NORRBOTTENS LÄN</t>
        </is>
      </c>
      <c r="E1145" t="inlineStr">
        <is>
          <t>BODEN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18566-2024</t>
        </is>
      </c>
      <c r="B1146" s="1" t="n">
        <v>45425</v>
      </c>
      <c r="C1146" s="1" t="n">
        <v>45849</v>
      </c>
      <c r="D1146" t="inlineStr">
        <is>
          <t>NORRBOTTENS LÄN</t>
        </is>
      </c>
      <c r="E1146" t="inlineStr">
        <is>
          <t>BODEN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18569-2024</t>
        </is>
      </c>
      <c r="B1147" s="1" t="n">
        <v>45425</v>
      </c>
      <c r="C1147" s="1" t="n">
        <v>45849</v>
      </c>
      <c r="D1147" t="inlineStr">
        <is>
          <t>NORRBOTTENS LÄN</t>
        </is>
      </c>
      <c r="E1147" t="inlineStr">
        <is>
          <t>BODEN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18870-2024</t>
        </is>
      </c>
      <c r="B1148" s="1" t="n">
        <v>45426</v>
      </c>
      <c r="C1148" s="1" t="n">
        <v>45849</v>
      </c>
      <c r="D1148" t="inlineStr">
        <is>
          <t>NORRBOTTENS LÄN</t>
        </is>
      </c>
      <c r="E1148" t="inlineStr">
        <is>
          <t>BODEN</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18871-2024</t>
        </is>
      </c>
      <c r="B1149" s="1" t="n">
        <v>45426</v>
      </c>
      <c r="C1149" s="1" t="n">
        <v>45849</v>
      </c>
      <c r="D1149" t="inlineStr">
        <is>
          <t>NORRBOTTENS LÄN</t>
        </is>
      </c>
      <c r="E1149" t="inlineStr">
        <is>
          <t>BODEN</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19060-2024</t>
        </is>
      </c>
      <c r="B1150" s="1" t="n">
        <v>45428</v>
      </c>
      <c r="C1150" s="1" t="n">
        <v>45849</v>
      </c>
      <c r="D1150" t="inlineStr">
        <is>
          <t>NORRBOTTENS LÄN</t>
        </is>
      </c>
      <c r="E1150" t="inlineStr">
        <is>
          <t>BODEN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19068-2024</t>
        </is>
      </c>
      <c r="B1151" s="1" t="n">
        <v>45428</v>
      </c>
      <c r="C1151" s="1" t="n">
        <v>45849</v>
      </c>
      <c r="D1151" t="inlineStr">
        <is>
          <t>NORRBOTTENS LÄN</t>
        </is>
      </c>
      <c r="E1151" t="inlineStr">
        <is>
          <t>BODEN</t>
        </is>
      </c>
      <c r="G1151" t="n">
        <v>22.1</v>
      </c>
      <c r="H1151" t="n">
        <v>0</v>
      </c>
      <c r="I1151" t="n">
        <v>0</v>
      </c>
      <c r="J1151" t="n">
        <v>0</v>
      </c>
      <c r="K1151" t="n">
        <v>0</v>
      </c>
      <c r="L1151" t="n">
        <v>0</v>
      </c>
      <c r="M1151" t="n">
        <v>0</v>
      </c>
      <c r="N1151" t="n">
        <v>0</v>
      </c>
      <c r="O1151" t="n">
        <v>0</v>
      </c>
      <c r="P1151" t="n">
        <v>0</v>
      </c>
      <c r="Q1151" t="n">
        <v>0</v>
      </c>
      <c r="R1151" s="2" t="inlineStr"/>
    </row>
    <row r="1152" ht="15" customHeight="1">
      <c r="A1152" t="inlineStr">
        <is>
          <t>A 19069-2024</t>
        </is>
      </c>
      <c r="B1152" s="1" t="n">
        <v>45428</v>
      </c>
      <c r="C1152" s="1" t="n">
        <v>45849</v>
      </c>
      <c r="D1152" t="inlineStr">
        <is>
          <t>NORRBOTTENS LÄN</t>
        </is>
      </c>
      <c r="E1152" t="inlineStr">
        <is>
          <t>BODEN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19162-2024</t>
        </is>
      </c>
      <c r="B1153" s="1" t="n">
        <v>45428</v>
      </c>
      <c r="C1153" s="1" t="n">
        <v>45849</v>
      </c>
      <c r="D1153" t="inlineStr">
        <is>
          <t>NORRBOTTENS LÄN</t>
        </is>
      </c>
      <c r="E1153" t="inlineStr">
        <is>
          <t>BODEN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19505-2024</t>
        </is>
      </c>
      <c r="B1154" s="1" t="n">
        <v>45429</v>
      </c>
      <c r="C1154" s="1" t="n">
        <v>45849</v>
      </c>
      <c r="D1154" t="inlineStr">
        <is>
          <t>NORRBOTTENS LÄN</t>
        </is>
      </c>
      <c r="E1154" t="inlineStr">
        <is>
          <t>BODEN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19528-2024</t>
        </is>
      </c>
      <c r="B1155" s="1" t="n">
        <v>45429</v>
      </c>
      <c r="C1155" s="1" t="n">
        <v>45849</v>
      </c>
      <c r="D1155" t="inlineStr">
        <is>
          <t>NORRBOTTENS LÄN</t>
        </is>
      </c>
      <c r="E1155" t="inlineStr">
        <is>
          <t>BODEN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19533-2024</t>
        </is>
      </c>
      <c r="B1156" s="1" t="n">
        <v>45429</v>
      </c>
      <c r="C1156" s="1" t="n">
        <v>45849</v>
      </c>
      <c r="D1156" t="inlineStr">
        <is>
          <t>NORRBOTTENS LÄN</t>
        </is>
      </c>
      <c r="E1156" t="inlineStr">
        <is>
          <t>BODEN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19565-2024</t>
        </is>
      </c>
      <c r="B1157" s="1" t="n">
        <v>45429</v>
      </c>
      <c r="C1157" s="1" t="n">
        <v>45849</v>
      </c>
      <c r="D1157" t="inlineStr">
        <is>
          <t>NORRBOTTENS LÄN</t>
        </is>
      </c>
      <c r="E1157" t="inlineStr">
        <is>
          <t>BODEN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21335-2024</t>
        </is>
      </c>
      <c r="B1158" s="1" t="n">
        <v>45429</v>
      </c>
      <c r="C1158" s="1" t="n">
        <v>45849</v>
      </c>
      <c r="D1158" t="inlineStr">
        <is>
          <t>NORRBOTTENS LÄN</t>
        </is>
      </c>
      <c r="E1158" t="inlineStr">
        <is>
          <t>BODEN</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19564-2024</t>
        </is>
      </c>
      <c r="B1159" s="1" t="n">
        <v>45429</v>
      </c>
      <c r="C1159" s="1" t="n">
        <v>45849</v>
      </c>
      <c r="D1159" t="inlineStr">
        <is>
          <t>NORRBOTTENS LÄN</t>
        </is>
      </c>
      <c r="E1159" t="inlineStr">
        <is>
          <t>BODEN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19563-2024</t>
        </is>
      </c>
      <c r="B1160" s="1" t="n">
        <v>45430</v>
      </c>
      <c r="C1160" s="1" t="n">
        <v>45849</v>
      </c>
      <c r="D1160" t="inlineStr">
        <is>
          <t>NORRBOTTENS LÄN</t>
        </is>
      </c>
      <c r="E1160" t="inlineStr">
        <is>
          <t>BODEN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19575-2024</t>
        </is>
      </c>
      <c r="B1161" s="1" t="n">
        <v>45430</v>
      </c>
      <c r="C1161" s="1" t="n">
        <v>45849</v>
      </c>
      <c r="D1161" t="inlineStr">
        <is>
          <t>NORRBOTTENS LÄN</t>
        </is>
      </c>
      <c r="E1161" t="inlineStr">
        <is>
          <t>BODEN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21329-2024</t>
        </is>
      </c>
      <c r="B1162" s="1" t="n">
        <v>45440</v>
      </c>
      <c r="C1162" s="1" t="n">
        <v>45849</v>
      </c>
      <c r="D1162" t="inlineStr">
        <is>
          <t>NORRBOTTENS LÄN</t>
        </is>
      </c>
      <c r="E1162" t="inlineStr">
        <is>
          <t>BODEN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21525-2024</t>
        </is>
      </c>
      <c r="B1163" s="1" t="n">
        <v>45441</v>
      </c>
      <c r="C1163" s="1" t="n">
        <v>45849</v>
      </c>
      <c r="D1163" t="inlineStr">
        <is>
          <t>NORRBOTTENS LÄN</t>
        </is>
      </c>
      <c r="E1163" t="inlineStr">
        <is>
          <t>BODEN</t>
        </is>
      </c>
      <c r="G1163" t="n">
        <v>24.3</v>
      </c>
      <c r="H1163" t="n">
        <v>0</v>
      </c>
      <c r="I1163" t="n">
        <v>0</v>
      </c>
      <c r="J1163" t="n">
        <v>0</v>
      </c>
      <c r="K1163" t="n">
        <v>0</v>
      </c>
      <c r="L1163" t="n">
        <v>0</v>
      </c>
      <c r="M1163" t="n">
        <v>0</v>
      </c>
      <c r="N1163" t="n">
        <v>0</v>
      </c>
      <c r="O1163" t="n">
        <v>0</v>
      </c>
      <c r="P1163" t="n">
        <v>0</v>
      </c>
      <c r="Q1163" t="n">
        <v>0</v>
      </c>
      <c r="R1163" s="2" t="inlineStr"/>
    </row>
    <row r="1164" ht="15" customHeight="1">
      <c r="A1164" t="inlineStr">
        <is>
          <t>A 21908-2024</t>
        </is>
      </c>
      <c r="B1164" s="1" t="n">
        <v>45443</v>
      </c>
      <c r="C1164" s="1" t="n">
        <v>45849</v>
      </c>
      <c r="D1164" t="inlineStr">
        <is>
          <t>NORRBOTTENS LÄN</t>
        </is>
      </c>
      <c r="E1164" t="inlineStr">
        <is>
          <t>BODEN</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22447-2024</t>
        </is>
      </c>
      <c r="B1165" s="1" t="n">
        <v>45447</v>
      </c>
      <c r="C1165" s="1" t="n">
        <v>45849</v>
      </c>
      <c r="D1165" t="inlineStr">
        <is>
          <t>NORRBOTTENS LÄN</t>
        </is>
      </c>
      <c r="E1165" t="inlineStr">
        <is>
          <t>BODEN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22409-2024</t>
        </is>
      </c>
      <c r="B1166" s="1" t="n">
        <v>45446</v>
      </c>
      <c r="C1166" s="1" t="n">
        <v>45849</v>
      </c>
      <c r="D1166" t="inlineStr">
        <is>
          <t>NORRBOTTENS LÄN</t>
        </is>
      </c>
      <c r="E1166" t="inlineStr">
        <is>
          <t>BODEN</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22892-2024</t>
        </is>
      </c>
      <c r="B1167" s="1" t="n">
        <v>45448</v>
      </c>
      <c r="C1167" s="1" t="n">
        <v>45849</v>
      </c>
      <c r="D1167" t="inlineStr">
        <is>
          <t>NORRBOTTENS LÄN</t>
        </is>
      </c>
      <c r="E1167" t="inlineStr">
        <is>
          <t>BODEN</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22893-2024</t>
        </is>
      </c>
      <c r="B1168" s="1" t="n">
        <v>45448</v>
      </c>
      <c r="C1168" s="1" t="n">
        <v>45849</v>
      </c>
      <c r="D1168" t="inlineStr">
        <is>
          <t>NORRBOTTENS LÄN</t>
        </is>
      </c>
      <c r="E1168" t="inlineStr">
        <is>
          <t>BODEN</t>
        </is>
      </c>
      <c r="F1168" t="inlineStr">
        <is>
          <t>Sveaskog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23232-2024</t>
        </is>
      </c>
      <c r="B1169" s="1" t="n">
        <v>45453</v>
      </c>
      <c r="C1169" s="1" t="n">
        <v>45849</v>
      </c>
      <c r="D1169" t="inlineStr">
        <is>
          <t>NORRBOTTENS LÄN</t>
        </is>
      </c>
      <c r="E1169" t="inlineStr">
        <is>
          <t>BODEN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23231-2024</t>
        </is>
      </c>
      <c r="B1170" s="1" t="n">
        <v>45453</v>
      </c>
      <c r="C1170" s="1" t="n">
        <v>45849</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23686-2024</t>
        </is>
      </c>
      <c r="B1171" s="1" t="n">
        <v>45454</v>
      </c>
      <c r="C1171" s="1" t="n">
        <v>45849</v>
      </c>
      <c r="D1171" t="inlineStr">
        <is>
          <t>NORRBOTTENS LÄN</t>
        </is>
      </c>
      <c r="E1171" t="inlineStr">
        <is>
          <t>BODEN</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23706-2024</t>
        </is>
      </c>
      <c r="B1172" s="1" t="n">
        <v>45454</v>
      </c>
      <c r="C1172" s="1" t="n">
        <v>45849</v>
      </c>
      <c r="D1172" t="inlineStr">
        <is>
          <t>NORRBOTTENS LÄN</t>
        </is>
      </c>
      <c r="E1172" t="inlineStr">
        <is>
          <t>BODEN</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23677-2024</t>
        </is>
      </c>
      <c r="B1173" s="1" t="n">
        <v>45454</v>
      </c>
      <c r="C1173" s="1" t="n">
        <v>45849</v>
      </c>
      <c r="D1173" t="inlineStr">
        <is>
          <t>NORRBOTTENS LÄN</t>
        </is>
      </c>
      <c r="E1173" t="inlineStr">
        <is>
          <t>BODEN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23923-2024</t>
        </is>
      </c>
      <c r="B1174" s="1" t="n">
        <v>45456</v>
      </c>
      <c r="C1174" s="1" t="n">
        <v>45849</v>
      </c>
      <c r="D1174" t="inlineStr">
        <is>
          <t>NORRBOTTENS LÄN</t>
        </is>
      </c>
      <c r="E1174" t="inlineStr">
        <is>
          <t>BODEN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24193-2024</t>
        </is>
      </c>
      <c r="B1175" s="1" t="n">
        <v>45456</v>
      </c>
      <c r="C1175" s="1" t="n">
        <v>45849</v>
      </c>
      <c r="D1175" t="inlineStr">
        <is>
          <t>NORRBOTTENS LÄN</t>
        </is>
      </c>
      <c r="E1175" t="inlineStr">
        <is>
          <t>BODEN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24192-2024</t>
        </is>
      </c>
      <c r="B1176" s="1" t="n">
        <v>45456</v>
      </c>
      <c r="C1176" s="1" t="n">
        <v>45849</v>
      </c>
      <c r="D1176" t="inlineStr">
        <is>
          <t>NORRBOTTENS LÄN</t>
        </is>
      </c>
      <c r="E1176" t="inlineStr">
        <is>
          <t>BODEN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24435-2024</t>
        </is>
      </c>
      <c r="B1177" s="1" t="n">
        <v>45457</v>
      </c>
      <c r="C1177" s="1" t="n">
        <v>45849</v>
      </c>
      <c r="D1177" t="inlineStr">
        <is>
          <t>NORRBOTTENS LÄN</t>
        </is>
      </c>
      <c r="E1177" t="inlineStr">
        <is>
          <t>BODEN</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24434-2024</t>
        </is>
      </c>
      <c r="B1178" s="1" t="n">
        <v>45457</v>
      </c>
      <c r="C1178" s="1" t="n">
        <v>45849</v>
      </c>
      <c r="D1178" t="inlineStr">
        <is>
          <t>NORRBOTTENS LÄN</t>
        </is>
      </c>
      <c r="E1178" t="inlineStr">
        <is>
          <t>BODEN</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24433-2024</t>
        </is>
      </c>
      <c r="B1179" s="1" t="n">
        <v>45457</v>
      </c>
      <c r="C1179" s="1" t="n">
        <v>45849</v>
      </c>
      <c r="D1179" t="inlineStr">
        <is>
          <t>NORRBOTTENS LÄN</t>
        </is>
      </c>
      <c r="E1179" t="inlineStr">
        <is>
          <t>BODEN</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24500-2024</t>
        </is>
      </c>
      <c r="B1180" s="1" t="n">
        <v>45459</v>
      </c>
      <c r="C1180" s="1" t="n">
        <v>45849</v>
      </c>
      <c r="D1180" t="inlineStr">
        <is>
          <t>NORRBOTTENS LÄN</t>
        </is>
      </c>
      <c r="E1180" t="inlineStr">
        <is>
          <t>BODEN</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24744-2024</t>
        </is>
      </c>
      <c r="B1181" s="1" t="n">
        <v>45460</v>
      </c>
      <c r="C1181" s="1" t="n">
        <v>45849</v>
      </c>
      <c r="D1181" t="inlineStr">
        <is>
          <t>NORRBOTTENS LÄN</t>
        </is>
      </c>
      <c r="E1181" t="inlineStr">
        <is>
          <t>BODEN</t>
        </is>
      </c>
      <c r="F1181" t="inlineStr">
        <is>
          <t>Övriga Aktiebolag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24733-2024</t>
        </is>
      </c>
      <c r="B1182" s="1" t="n">
        <v>45460</v>
      </c>
      <c r="C1182" s="1" t="n">
        <v>45849</v>
      </c>
      <c r="D1182" t="inlineStr">
        <is>
          <t>NORRBOTTENS LÄN</t>
        </is>
      </c>
      <c r="E1182" t="inlineStr">
        <is>
          <t>BODEN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24872-2024</t>
        </is>
      </c>
      <c r="B1183" s="1" t="n">
        <v>45461</v>
      </c>
      <c r="C1183" s="1" t="n">
        <v>45849</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25038-2024</t>
        </is>
      </c>
      <c r="B1184" s="1" t="n">
        <v>45461</v>
      </c>
      <c r="C1184" s="1" t="n">
        <v>45849</v>
      </c>
      <c r="D1184" t="inlineStr">
        <is>
          <t>NORRBOTTENS LÄN</t>
        </is>
      </c>
      <c r="E1184" t="inlineStr">
        <is>
          <t>BODEN</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25367-2024</t>
        </is>
      </c>
      <c r="B1185" s="1" t="n">
        <v>45462</v>
      </c>
      <c r="C1185" s="1" t="n">
        <v>45849</v>
      </c>
      <c r="D1185" t="inlineStr">
        <is>
          <t>NORRBOTTENS LÄN</t>
        </is>
      </c>
      <c r="E1185" t="inlineStr">
        <is>
          <t>BODEN</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25341-2024</t>
        </is>
      </c>
      <c r="B1186" s="1" t="n">
        <v>45462</v>
      </c>
      <c r="C1186" s="1" t="n">
        <v>45849</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25394-2024</t>
        </is>
      </c>
      <c r="B1187" s="1" t="n">
        <v>45463</v>
      </c>
      <c r="C1187" s="1" t="n">
        <v>45849</v>
      </c>
      <c r="D1187" t="inlineStr">
        <is>
          <t>NORRBOTTENS LÄN</t>
        </is>
      </c>
      <c r="E1187" t="inlineStr">
        <is>
          <t>BODEN</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25554-2024</t>
        </is>
      </c>
      <c r="B1188" s="1" t="n">
        <v>45463</v>
      </c>
      <c r="C1188" s="1" t="n">
        <v>45849</v>
      </c>
      <c r="D1188" t="inlineStr">
        <is>
          <t>NORRBOTTENS LÄN</t>
        </is>
      </c>
      <c r="E1188" t="inlineStr">
        <is>
          <t>BODEN</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25575-2024</t>
        </is>
      </c>
      <c r="B1189" s="1" t="n">
        <v>45463</v>
      </c>
      <c r="C1189" s="1" t="n">
        <v>45849</v>
      </c>
      <c r="D1189" t="inlineStr">
        <is>
          <t>NORRBOTTENS LÄN</t>
        </is>
      </c>
      <c r="E1189" t="inlineStr">
        <is>
          <t>BODEN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25559-2024</t>
        </is>
      </c>
      <c r="B1190" s="1" t="n">
        <v>45463</v>
      </c>
      <c r="C1190" s="1" t="n">
        <v>45849</v>
      </c>
      <c r="D1190" t="inlineStr">
        <is>
          <t>NORRBOTTENS LÄN</t>
        </is>
      </c>
      <c r="E1190" t="inlineStr">
        <is>
          <t>BODEN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25535-2024</t>
        </is>
      </c>
      <c r="B1191" s="1" t="n">
        <v>45463</v>
      </c>
      <c r="C1191" s="1" t="n">
        <v>45849</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25735-2024</t>
        </is>
      </c>
      <c r="B1192" s="1" t="n">
        <v>45464</v>
      </c>
      <c r="C1192" s="1" t="n">
        <v>45849</v>
      </c>
      <c r="D1192" t="inlineStr">
        <is>
          <t>NORRBOTTENS LÄN</t>
        </is>
      </c>
      <c r="E1192" t="inlineStr">
        <is>
          <t>BODEN</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25825-2024</t>
        </is>
      </c>
      <c r="B1193" s="1" t="n">
        <v>45467</v>
      </c>
      <c r="C1193" s="1" t="n">
        <v>45849</v>
      </c>
      <c r="D1193" t="inlineStr">
        <is>
          <t>NORRBOTTENS LÄN</t>
        </is>
      </c>
      <c r="E1193" t="inlineStr">
        <is>
          <t>BODEN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25951-2024</t>
        </is>
      </c>
      <c r="B1194" s="1" t="n">
        <v>45467</v>
      </c>
      <c r="C1194" s="1" t="n">
        <v>45849</v>
      </c>
      <c r="D1194" t="inlineStr">
        <is>
          <t>NORRBOTTENS LÄN</t>
        </is>
      </c>
      <c r="E1194" t="inlineStr">
        <is>
          <t>BODEN</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26806-2024</t>
        </is>
      </c>
      <c r="B1195" s="1" t="n">
        <v>45470</v>
      </c>
      <c r="C1195" s="1" t="n">
        <v>45849</v>
      </c>
      <c r="D1195" t="inlineStr">
        <is>
          <t>NORRBOTTENS LÄN</t>
        </is>
      </c>
      <c r="E1195" t="inlineStr">
        <is>
          <t>BODEN</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26820-2024</t>
        </is>
      </c>
      <c r="B1196" s="1" t="n">
        <v>45470</v>
      </c>
      <c r="C1196" s="1" t="n">
        <v>45849</v>
      </c>
      <c r="D1196" t="inlineStr">
        <is>
          <t>NORRBOTTENS LÄN</t>
        </is>
      </c>
      <c r="E1196" t="inlineStr">
        <is>
          <t>BODEN</t>
        </is>
      </c>
      <c r="F1196" t="inlineStr">
        <is>
          <t>Sveaskog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27019-2024</t>
        </is>
      </c>
      <c r="B1197" s="1" t="n">
        <v>45471</v>
      </c>
      <c r="C1197" s="1" t="n">
        <v>45849</v>
      </c>
      <c r="D1197" t="inlineStr">
        <is>
          <t>NORRBOTTENS LÄN</t>
        </is>
      </c>
      <c r="E1197" t="inlineStr">
        <is>
          <t>BODEN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27009-2024</t>
        </is>
      </c>
      <c r="B1198" s="1" t="n">
        <v>45471</v>
      </c>
      <c r="C1198" s="1" t="n">
        <v>45849</v>
      </c>
      <c r="D1198" t="inlineStr">
        <is>
          <t>NORRBOTTENS LÄN</t>
        </is>
      </c>
      <c r="E1198" t="inlineStr">
        <is>
          <t>BODEN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27014-2024</t>
        </is>
      </c>
      <c r="B1199" s="1" t="n">
        <v>45471</v>
      </c>
      <c r="C1199" s="1" t="n">
        <v>45849</v>
      </c>
      <c r="D1199" t="inlineStr">
        <is>
          <t>NORRBOTTENS LÄN</t>
        </is>
      </c>
      <c r="E1199" t="inlineStr">
        <is>
          <t>BODEN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27006-2024</t>
        </is>
      </c>
      <c r="B1200" s="1" t="n">
        <v>45471</v>
      </c>
      <c r="C1200" s="1" t="n">
        <v>45849</v>
      </c>
      <c r="D1200" t="inlineStr">
        <is>
          <t>NORRBOTTENS LÄN</t>
        </is>
      </c>
      <c r="E1200" t="inlineStr">
        <is>
          <t>BODEN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27636-2024</t>
        </is>
      </c>
      <c r="B1201" s="1" t="n">
        <v>45474</v>
      </c>
      <c r="C1201" s="1" t="n">
        <v>45849</v>
      </c>
      <c r="D1201" t="inlineStr">
        <is>
          <t>NORRBOTTENS LÄN</t>
        </is>
      </c>
      <c r="E1201" t="inlineStr">
        <is>
          <t>BODEN</t>
        </is>
      </c>
      <c r="F1201" t="inlineStr">
        <is>
          <t>SCA</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27524-2024</t>
        </is>
      </c>
      <c r="B1202" s="1" t="n">
        <v>45474</v>
      </c>
      <c r="C1202" s="1" t="n">
        <v>45849</v>
      </c>
      <c r="D1202" t="inlineStr">
        <is>
          <t>NORRBOTTENS LÄN</t>
        </is>
      </c>
      <c r="E1202" t="inlineStr">
        <is>
          <t>BODEN</t>
        </is>
      </c>
      <c r="F1202" t="inlineStr">
        <is>
          <t>Övriga Aktiebolag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28074-2024</t>
        </is>
      </c>
      <c r="B1203" s="1" t="n">
        <v>45476</v>
      </c>
      <c r="C1203" s="1" t="n">
        <v>45849</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28078-2024</t>
        </is>
      </c>
      <c r="B1204" s="1" t="n">
        <v>45476</v>
      </c>
      <c r="C1204" s="1" t="n">
        <v>45849</v>
      </c>
      <c r="D1204" t="inlineStr">
        <is>
          <t>NORRBOTTENS LÄN</t>
        </is>
      </c>
      <c r="E1204" t="inlineStr">
        <is>
          <t>BODEN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28134-2024</t>
        </is>
      </c>
      <c r="B1205" s="1" t="n">
        <v>45476</v>
      </c>
      <c r="C1205" s="1" t="n">
        <v>45849</v>
      </c>
      <c r="D1205" t="inlineStr">
        <is>
          <t>NORRBOTTENS LÄN</t>
        </is>
      </c>
      <c r="E1205" t="inlineStr">
        <is>
          <t>BODEN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28079-2024</t>
        </is>
      </c>
      <c r="B1206" s="1" t="n">
        <v>45476</v>
      </c>
      <c r="C1206" s="1" t="n">
        <v>45849</v>
      </c>
      <c r="D1206" t="inlineStr">
        <is>
          <t>NORRBOTTENS LÄN</t>
        </is>
      </c>
      <c r="E1206" t="inlineStr">
        <is>
          <t>BODEN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28067-2024</t>
        </is>
      </c>
      <c r="B1207" s="1" t="n">
        <v>45476</v>
      </c>
      <c r="C1207" s="1" t="n">
        <v>45849</v>
      </c>
      <c r="D1207" t="inlineStr">
        <is>
          <t>NORRBOTTENS LÄN</t>
        </is>
      </c>
      <c r="E1207" t="inlineStr">
        <is>
          <t>BODEN</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28651-2024</t>
        </is>
      </c>
      <c r="B1208" s="1" t="n">
        <v>45478</v>
      </c>
      <c r="C1208" s="1" t="n">
        <v>45849</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28772-2024</t>
        </is>
      </c>
      <c r="B1209" s="1" t="n">
        <v>45478</v>
      </c>
      <c r="C1209" s="1" t="n">
        <v>45849</v>
      </c>
      <c r="D1209" t="inlineStr">
        <is>
          <t>NORRBOTTENS LÄN</t>
        </is>
      </c>
      <c r="E1209" t="inlineStr">
        <is>
          <t>BODEN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28758-2024</t>
        </is>
      </c>
      <c r="B1210" s="1" t="n">
        <v>45478</v>
      </c>
      <c r="C1210" s="1" t="n">
        <v>45849</v>
      </c>
      <c r="D1210" t="inlineStr">
        <is>
          <t>NORRBOTTENS LÄN</t>
        </is>
      </c>
      <c r="E1210" t="inlineStr">
        <is>
          <t>BODEN</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28762-2024</t>
        </is>
      </c>
      <c r="B1211" s="1" t="n">
        <v>45478</v>
      </c>
      <c r="C1211" s="1" t="n">
        <v>45849</v>
      </c>
      <c r="D1211" t="inlineStr">
        <is>
          <t>NORRBOTTENS LÄN</t>
        </is>
      </c>
      <c r="E1211" t="inlineStr">
        <is>
          <t>BODEN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28767-2024</t>
        </is>
      </c>
      <c r="B1212" s="1" t="n">
        <v>45478</v>
      </c>
      <c r="C1212" s="1" t="n">
        <v>45849</v>
      </c>
      <c r="D1212" t="inlineStr">
        <is>
          <t>NORRBOTTENS LÄN</t>
        </is>
      </c>
      <c r="E1212" t="inlineStr">
        <is>
          <t>BODEN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28898-2024</t>
        </is>
      </c>
      <c r="B1213" s="1" t="n">
        <v>45480</v>
      </c>
      <c r="C1213" s="1" t="n">
        <v>45849</v>
      </c>
      <c r="D1213" t="inlineStr">
        <is>
          <t>NORRBOTTENS LÄN</t>
        </is>
      </c>
      <c r="E1213" t="inlineStr">
        <is>
          <t>BODEN</t>
        </is>
      </c>
      <c r="G1213" t="n">
        <v>42.8</v>
      </c>
      <c r="H1213" t="n">
        <v>0</v>
      </c>
      <c r="I1213" t="n">
        <v>0</v>
      </c>
      <c r="J1213" t="n">
        <v>0</v>
      </c>
      <c r="K1213" t="n">
        <v>0</v>
      </c>
      <c r="L1213" t="n">
        <v>0</v>
      </c>
      <c r="M1213" t="n">
        <v>0</v>
      </c>
      <c r="N1213" t="n">
        <v>0</v>
      </c>
      <c r="O1213" t="n">
        <v>0</v>
      </c>
      <c r="P1213" t="n">
        <v>0</v>
      </c>
      <c r="Q1213" t="n">
        <v>0</v>
      </c>
      <c r="R1213" s="2" t="inlineStr"/>
    </row>
    <row r="1214" ht="15" customHeight="1">
      <c r="A1214" t="inlineStr">
        <is>
          <t>A 29109-2024</t>
        </is>
      </c>
      <c r="B1214" s="1" t="n">
        <v>45482</v>
      </c>
      <c r="C1214" s="1" t="n">
        <v>45849</v>
      </c>
      <c r="D1214" t="inlineStr">
        <is>
          <t>NORRBOTTENS LÄN</t>
        </is>
      </c>
      <c r="E1214" t="inlineStr">
        <is>
          <t>BODEN</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29281-2024</t>
        </is>
      </c>
      <c r="B1215" s="1" t="n">
        <v>45483</v>
      </c>
      <c r="C1215" s="1" t="n">
        <v>45849</v>
      </c>
      <c r="D1215" t="inlineStr">
        <is>
          <t>NORRBOTTENS LÄN</t>
        </is>
      </c>
      <c r="E1215" t="inlineStr">
        <is>
          <t>BODEN</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29282-2024</t>
        </is>
      </c>
      <c r="B1216" s="1" t="n">
        <v>45483</v>
      </c>
      <c r="C1216" s="1" t="n">
        <v>45849</v>
      </c>
      <c r="D1216" t="inlineStr">
        <is>
          <t>NORRBOTTENS LÄN</t>
        </is>
      </c>
      <c r="E1216" t="inlineStr">
        <is>
          <t>BODEN</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29377-2024</t>
        </is>
      </c>
      <c r="B1217" s="1" t="n">
        <v>45483</v>
      </c>
      <c r="C1217" s="1" t="n">
        <v>45849</v>
      </c>
      <c r="D1217" t="inlineStr">
        <is>
          <t>NORRBOTTENS LÄN</t>
        </is>
      </c>
      <c r="E1217" t="inlineStr">
        <is>
          <t>BODEN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29328-2024</t>
        </is>
      </c>
      <c r="B1218" s="1" t="n">
        <v>45483</v>
      </c>
      <c r="C1218" s="1" t="n">
        <v>45849</v>
      </c>
      <c r="D1218" t="inlineStr">
        <is>
          <t>NORRBOTTENS LÄN</t>
        </is>
      </c>
      <c r="E1218" t="inlineStr">
        <is>
          <t>BODEN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30186-2024</t>
        </is>
      </c>
      <c r="B1219" s="1" t="n">
        <v>45490</v>
      </c>
      <c r="C1219" s="1" t="n">
        <v>45849</v>
      </c>
      <c r="D1219" t="inlineStr">
        <is>
          <t>NORRBOTTENS LÄN</t>
        </is>
      </c>
      <c r="E1219" t="inlineStr">
        <is>
          <t>BODEN</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30152-2024</t>
        </is>
      </c>
      <c r="B1220" s="1" t="n">
        <v>45489</v>
      </c>
      <c r="C1220" s="1" t="n">
        <v>45849</v>
      </c>
      <c r="D1220" t="inlineStr">
        <is>
          <t>NORRBOTTENS LÄN</t>
        </is>
      </c>
      <c r="E1220" t="inlineStr">
        <is>
          <t>BODEN</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30093-2024</t>
        </is>
      </c>
      <c r="B1221" s="1" t="n">
        <v>45489</v>
      </c>
      <c r="C1221" s="1" t="n">
        <v>45849</v>
      </c>
      <c r="D1221" t="inlineStr">
        <is>
          <t>NORRBOTTENS LÄN</t>
        </is>
      </c>
      <c r="E1221" t="inlineStr">
        <is>
          <t>BODEN</t>
        </is>
      </c>
      <c r="F1221" t="inlineStr">
        <is>
          <t>Sveaskog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30363-2024</t>
        </is>
      </c>
      <c r="B1222" s="1" t="n">
        <v>45491</v>
      </c>
      <c r="C1222" s="1" t="n">
        <v>45849</v>
      </c>
      <c r="D1222" t="inlineStr">
        <is>
          <t>NORRBOTTENS LÄN</t>
        </is>
      </c>
      <c r="E1222" t="inlineStr">
        <is>
          <t>BODEN</t>
        </is>
      </c>
      <c r="F1222" t="inlineStr">
        <is>
          <t>Sveaskog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30689-2024</t>
        </is>
      </c>
      <c r="B1223" s="1" t="n">
        <v>45496</v>
      </c>
      <c r="C1223" s="1" t="n">
        <v>45849</v>
      </c>
      <c r="D1223" t="inlineStr">
        <is>
          <t>NORRBOTTENS LÄN</t>
        </is>
      </c>
      <c r="E1223" t="inlineStr">
        <is>
          <t>BODEN</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31007-2024</t>
        </is>
      </c>
      <c r="B1224" s="1" t="n">
        <v>45499</v>
      </c>
      <c r="C1224" s="1" t="n">
        <v>45849</v>
      </c>
      <c r="D1224" t="inlineStr">
        <is>
          <t>NORRBOTTENS LÄN</t>
        </is>
      </c>
      <c r="E1224" t="inlineStr">
        <is>
          <t>BODEN</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31045-2024</t>
        </is>
      </c>
      <c r="B1225" s="1" t="n">
        <v>45502</v>
      </c>
      <c r="C1225" s="1" t="n">
        <v>45849</v>
      </c>
      <c r="D1225" t="inlineStr">
        <is>
          <t>NORRBOTTENS LÄN</t>
        </is>
      </c>
      <c r="E1225" t="inlineStr">
        <is>
          <t>BODEN</t>
        </is>
      </c>
      <c r="F1225" t="inlineStr">
        <is>
          <t>Sveaskog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31456-2024</t>
        </is>
      </c>
      <c r="B1226" s="1" t="n">
        <v>45505</v>
      </c>
      <c r="C1226" s="1" t="n">
        <v>45849</v>
      </c>
      <c r="D1226" t="inlineStr">
        <is>
          <t>NORRBOTTENS LÄN</t>
        </is>
      </c>
      <c r="E1226" t="inlineStr">
        <is>
          <t>BODEN</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31490-2024</t>
        </is>
      </c>
      <c r="B1227" s="1" t="n">
        <v>45506</v>
      </c>
      <c r="C1227" s="1" t="n">
        <v>45849</v>
      </c>
      <c r="D1227" t="inlineStr">
        <is>
          <t>NORRBOTTENS LÄN</t>
        </is>
      </c>
      <c r="E1227" t="inlineStr">
        <is>
          <t>BODEN</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31589-2024</t>
        </is>
      </c>
      <c r="B1228" s="1" t="n">
        <v>45506</v>
      </c>
      <c r="C1228" s="1" t="n">
        <v>45849</v>
      </c>
      <c r="D1228" t="inlineStr">
        <is>
          <t>NORRBOTTENS LÄN</t>
        </is>
      </c>
      <c r="E1228" t="inlineStr">
        <is>
          <t>BODEN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31754-2024</t>
        </is>
      </c>
      <c r="B1229" s="1" t="n">
        <v>45509</v>
      </c>
      <c r="C1229" s="1" t="n">
        <v>45849</v>
      </c>
      <c r="D1229" t="inlineStr">
        <is>
          <t>NORRBOTTENS LÄN</t>
        </is>
      </c>
      <c r="E1229" t="inlineStr">
        <is>
          <t>BODEN</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31963-2024</t>
        </is>
      </c>
      <c r="B1230" s="1" t="n">
        <v>45510</v>
      </c>
      <c r="C1230" s="1" t="n">
        <v>45849</v>
      </c>
      <c r="D1230" t="inlineStr">
        <is>
          <t>NORRBOTTENS LÄN</t>
        </is>
      </c>
      <c r="E1230" t="inlineStr">
        <is>
          <t>BODEN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31961-2024</t>
        </is>
      </c>
      <c r="B1231" s="1" t="n">
        <v>45510</v>
      </c>
      <c r="C1231" s="1" t="n">
        <v>45849</v>
      </c>
      <c r="D1231" t="inlineStr">
        <is>
          <t>NORRBOTTENS LÄN</t>
        </is>
      </c>
      <c r="E1231" t="inlineStr">
        <is>
          <t>BODEN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32276-2024</t>
        </is>
      </c>
      <c r="B1232" s="1" t="n">
        <v>45512</v>
      </c>
      <c r="C1232" s="1" t="n">
        <v>45849</v>
      </c>
      <c r="D1232" t="inlineStr">
        <is>
          <t>NORRBOTTENS LÄN</t>
        </is>
      </c>
      <c r="E1232" t="inlineStr">
        <is>
          <t>BODEN</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32347-2024</t>
        </is>
      </c>
      <c r="B1233" s="1" t="n">
        <v>45512</v>
      </c>
      <c r="C1233" s="1" t="n">
        <v>45849</v>
      </c>
      <c r="D1233" t="inlineStr">
        <is>
          <t>NORRBOTTENS LÄN</t>
        </is>
      </c>
      <c r="E1233" t="inlineStr">
        <is>
          <t>BODEN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32906-2024</t>
        </is>
      </c>
      <c r="B1234" s="1" t="n">
        <v>45516</v>
      </c>
      <c r="C1234" s="1" t="n">
        <v>45849</v>
      </c>
      <c r="D1234" t="inlineStr">
        <is>
          <t>NORRBOTTENS LÄN</t>
        </is>
      </c>
      <c r="E1234" t="inlineStr">
        <is>
          <t>BODEN</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32913-2024</t>
        </is>
      </c>
      <c r="B1235" s="1" t="n">
        <v>45517</v>
      </c>
      <c r="C1235" s="1" t="n">
        <v>45849</v>
      </c>
      <c r="D1235" t="inlineStr">
        <is>
          <t>NORRBOTTENS LÄN</t>
        </is>
      </c>
      <c r="E1235" t="inlineStr">
        <is>
          <t>BODEN</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32912-2024</t>
        </is>
      </c>
      <c r="B1236" s="1" t="n">
        <v>45516</v>
      </c>
      <c r="C1236" s="1" t="n">
        <v>45849</v>
      </c>
      <c r="D1236" t="inlineStr">
        <is>
          <t>NORRBOTTENS LÄN</t>
        </is>
      </c>
      <c r="E1236" t="inlineStr">
        <is>
          <t>BODEN</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33289-2024</t>
        </is>
      </c>
      <c r="B1237" s="1" t="n">
        <v>45518</v>
      </c>
      <c r="C1237" s="1" t="n">
        <v>45849</v>
      </c>
      <c r="D1237" t="inlineStr">
        <is>
          <t>NORRBOTTENS LÄN</t>
        </is>
      </c>
      <c r="E1237" t="inlineStr">
        <is>
          <t>BODEN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33604-2024</t>
        </is>
      </c>
      <c r="B1238" s="1" t="n">
        <v>45520</v>
      </c>
      <c r="C1238" s="1" t="n">
        <v>45849</v>
      </c>
      <c r="D1238" t="inlineStr">
        <is>
          <t>NORRBOTTENS LÄN</t>
        </is>
      </c>
      <c r="E1238" t="inlineStr">
        <is>
          <t>BODEN</t>
        </is>
      </c>
      <c r="F1238" t="inlineStr">
        <is>
          <t>Sveaskog</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33915-2024</t>
        </is>
      </c>
      <c r="B1239" s="1" t="n">
        <v>45523</v>
      </c>
      <c r="C1239" s="1" t="n">
        <v>45849</v>
      </c>
      <c r="D1239" t="inlineStr">
        <is>
          <t>NORRBOTTENS LÄN</t>
        </is>
      </c>
      <c r="E1239" t="inlineStr">
        <is>
          <t>BODEN</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34495-2024</t>
        </is>
      </c>
      <c r="B1240" s="1" t="n">
        <v>45525</v>
      </c>
      <c r="C1240" s="1" t="n">
        <v>45849</v>
      </c>
      <c r="D1240" t="inlineStr">
        <is>
          <t>NORRBOTTENS LÄN</t>
        </is>
      </c>
      <c r="E1240" t="inlineStr">
        <is>
          <t>BODEN</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34403-2024</t>
        </is>
      </c>
      <c r="B1241" s="1" t="n">
        <v>45525</v>
      </c>
      <c r="C1241" s="1" t="n">
        <v>45849</v>
      </c>
      <c r="D1241" t="inlineStr">
        <is>
          <t>NORRBOTTENS LÄN</t>
        </is>
      </c>
      <c r="E1241" t="inlineStr">
        <is>
          <t>BODEN</t>
        </is>
      </c>
      <c r="F1241" t="inlineStr">
        <is>
          <t>Kommuner</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34774-2024</t>
        </is>
      </c>
      <c r="B1242" s="1" t="n">
        <v>45526</v>
      </c>
      <c r="C1242" s="1" t="n">
        <v>45849</v>
      </c>
      <c r="D1242" t="inlineStr">
        <is>
          <t>NORRBOTTENS LÄN</t>
        </is>
      </c>
      <c r="E1242" t="inlineStr">
        <is>
          <t>BODEN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34969-2024</t>
        </is>
      </c>
      <c r="B1243" s="1" t="n">
        <v>45527</v>
      </c>
      <c r="C1243" s="1" t="n">
        <v>45849</v>
      </c>
      <c r="D1243" t="inlineStr">
        <is>
          <t>NORRBOTTENS LÄN</t>
        </is>
      </c>
      <c r="E1243" t="inlineStr">
        <is>
          <t>BODEN</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35115-2024</t>
        </is>
      </c>
      <c r="B1244" s="1" t="n">
        <v>45530</v>
      </c>
      <c r="C1244" s="1" t="n">
        <v>45849</v>
      </c>
      <c r="D1244" t="inlineStr">
        <is>
          <t>NORRBOTTENS LÄN</t>
        </is>
      </c>
      <c r="E1244" t="inlineStr">
        <is>
          <t>BODEN</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35356-2024</t>
        </is>
      </c>
      <c r="B1245" s="1" t="n">
        <v>45531</v>
      </c>
      <c r="C1245" s="1" t="n">
        <v>45849</v>
      </c>
      <c r="D1245" t="inlineStr">
        <is>
          <t>NORRBOTTENS LÄN</t>
        </is>
      </c>
      <c r="E1245" t="inlineStr">
        <is>
          <t>BODEN</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35427-2024</t>
        </is>
      </c>
      <c r="B1246" s="1" t="n">
        <v>45531</v>
      </c>
      <c r="C1246" s="1" t="n">
        <v>45849</v>
      </c>
      <c r="D1246" t="inlineStr">
        <is>
          <t>NORRBOTTENS LÄN</t>
        </is>
      </c>
      <c r="E1246" t="inlineStr">
        <is>
          <t>BODEN</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35425-2024</t>
        </is>
      </c>
      <c r="B1247" s="1" t="n">
        <v>45531</v>
      </c>
      <c r="C1247" s="1" t="n">
        <v>45849</v>
      </c>
      <c r="D1247" t="inlineStr">
        <is>
          <t>NORRBOTTENS LÄN</t>
        </is>
      </c>
      <c r="E1247" t="inlineStr">
        <is>
          <t>BODEN</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35676-2024</t>
        </is>
      </c>
      <c r="B1248" s="1" t="n">
        <v>45532</v>
      </c>
      <c r="C1248" s="1" t="n">
        <v>45849</v>
      </c>
      <c r="D1248" t="inlineStr">
        <is>
          <t>NORRBOTTENS LÄN</t>
        </is>
      </c>
      <c r="E1248" t="inlineStr">
        <is>
          <t>BODEN</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35744-2024</t>
        </is>
      </c>
      <c r="B1249" s="1" t="n">
        <v>45532</v>
      </c>
      <c r="C1249" s="1" t="n">
        <v>45849</v>
      </c>
      <c r="D1249" t="inlineStr">
        <is>
          <t>NORRBOTTENS LÄN</t>
        </is>
      </c>
      <c r="E1249" t="inlineStr">
        <is>
          <t>BODEN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36249-2024</t>
        </is>
      </c>
      <c r="B1250" s="1" t="n">
        <v>45534</v>
      </c>
      <c r="C1250" s="1" t="n">
        <v>45849</v>
      </c>
      <c r="D1250" t="inlineStr">
        <is>
          <t>NORRBOTTENS LÄN</t>
        </is>
      </c>
      <c r="E1250" t="inlineStr">
        <is>
          <t>BODEN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36630-2024</t>
        </is>
      </c>
      <c r="B1251" s="1" t="n">
        <v>45537</v>
      </c>
      <c r="C1251" s="1" t="n">
        <v>45849</v>
      </c>
      <c r="D1251" t="inlineStr">
        <is>
          <t>NORRBOTTENS LÄN</t>
        </is>
      </c>
      <c r="E1251" t="inlineStr">
        <is>
          <t>BODEN</t>
        </is>
      </c>
      <c r="F1251" t="inlineStr">
        <is>
          <t>SCA</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36438-2024</t>
        </is>
      </c>
      <c r="B1252" s="1" t="n">
        <v>45537</v>
      </c>
      <c r="C1252" s="1" t="n">
        <v>45849</v>
      </c>
      <c r="D1252" t="inlineStr">
        <is>
          <t>NORRBOTTENS LÄN</t>
        </is>
      </c>
      <c r="E1252" t="inlineStr">
        <is>
          <t>BODEN</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36981-2024</t>
        </is>
      </c>
      <c r="B1253" s="1" t="n">
        <v>45539</v>
      </c>
      <c r="C1253" s="1" t="n">
        <v>45849</v>
      </c>
      <c r="D1253" t="inlineStr">
        <is>
          <t>NORRBOTTENS LÄN</t>
        </is>
      </c>
      <c r="E1253" t="inlineStr">
        <is>
          <t>BODEN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37114-2024</t>
        </is>
      </c>
      <c r="B1254" s="1" t="n">
        <v>45539</v>
      </c>
      <c r="C1254" s="1" t="n">
        <v>45849</v>
      </c>
      <c r="D1254" t="inlineStr">
        <is>
          <t>NORRBOTTENS LÄN</t>
        </is>
      </c>
      <c r="E1254" t="inlineStr">
        <is>
          <t>BODEN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37446-2024</t>
        </is>
      </c>
      <c r="B1255" s="1" t="n">
        <v>45540</v>
      </c>
      <c r="C1255" s="1" t="n">
        <v>45849</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37473-2024</t>
        </is>
      </c>
      <c r="B1256" s="1" t="n">
        <v>45540</v>
      </c>
      <c r="C1256" s="1" t="n">
        <v>45849</v>
      </c>
      <c r="D1256" t="inlineStr">
        <is>
          <t>NORRBOTTENS LÄN</t>
        </is>
      </c>
      <c r="E1256" t="inlineStr">
        <is>
          <t>BODEN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37791-2024</t>
        </is>
      </c>
      <c r="B1257" s="1" t="n">
        <v>45543</v>
      </c>
      <c r="C1257" s="1" t="n">
        <v>45849</v>
      </c>
      <c r="D1257" t="inlineStr">
        <is>
          <t>NORRBOTTENS LÄN</t>
        </is>
      </c>
      <c r="E1257" t="inlineStr">
        <is>
          <t>BODEN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37872-2024</t>
        </is>
      </c>
      <c r="B1258" s="1" t="n">
        <v>45544</v>
      </c>
      <c r="C1258" s="1" t="n">
        <v>45849</v>
      </c>
      <c r="D1258" t="inlineStr">
        <is>
          <t>NORRBOTTENS LÄN</t>
        </is>
      </c>
      <c r="E1258" t="inlineStr">
        <is>
          <t>BODEN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37976-2024</t>
        </is>
      </c>
      <c r="B1259" s="1" t="n">
        <v>45544</v>
      </c>
      <c r="C1259" s="1" t="n">
        <v>45849</v>
      </c>
      <c r="D1259" t="inlineStr">
        <is>
          <t>NORRBOTTENS LÄN</t>
        </is>
      </c>
      <c r="E1259" t="inlineStr">
        <is>
          <t>BODEN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37984-2024</t>
        </is>
      </c>
      <c r="B1260" s="1" t="n">
        <v>45544</v>
      </c>
      <c r="C1260" s="1" t="n">
        <v>45849</v>
      </c>
      <c r="D1260" t="inlineStr">
        <is>
          <t>NORRBOTTENS LÄN</t>
        </is>
      </c>
      <c r="E1260" t="inlineStr">
        <is>
          <t>BODEN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37993-2024</t>
        </is>
      </c>
      <c r="B1261" s="1" t="n">
        <v>45544</v>
      </c>
      <c r="C1261" s="1" t="n">
        <v>45849</v>
      </c>
      <c r="D1261" t="inlineStr">
        <is>
          <t>NORRBOTTENS LÄN</t>
        </is>
      </c>
      <c r="E1261" t="inlineStr">
        <is>
          <t>BODEN</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37866-2024</t>
        </is>
      </c>
      <c r="B1262" s="1" t="n">
        <v>45544</v>
      </c>
      <c r="C1262" s="1" t="n">
        <v>45849</v>
      </c>
      <c r="D1262" t="inlineStr">
        <is>
          <t>NORRBOTTENS LÄN</t>
        </is>
      </c>
      <c r="E1262" t="inlineStr">
        <is>
          <t>BODEN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38411-2024</t>
        </is>
      </c>
      <c r="B1263" s="1" t="n">
        <v>45546</v>
      </c>
      <c r="C1263" s="1" t="n">
        <v>45849</v>
      </c>
      <c r="D1263" t="inlineStr">
        <is>
          <t>NORRBOTTENS LÄN</t>
        </is>
      </c>
      <c r="E1263" t="inlineStr">
        <is>
          <t>BODEN</t>
        </is>
      </c>
      <c r="F1263" t="inlineStr">
        <is>
          <t>SCA</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38652-2024</t>
        </is>
      </c>
      <c r="B1264" s="1" t="n">
        <v>45546</v>
      </c>
      <c r="C1264" s="1" t="n">
        <v>45849</v>
      </c>
      <c r="D1264" t="inlineStr">
        <is>
          <t>NORRBOTTENS LÄN</t>
        </is>
      </c>
      <c r="E1264" t="inlineStr">
        <is>
          <t>BODEN</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38651-2024</t>
        </is>
      </c>
      <c r="B1265" s="1" t="n">
        <v>45546</v>
      </c>
      <c r="C1265" s="1" t="n">
        <v>45849</v>
      </c>
      <c r="D1265" t="inlineStr">
        <is>
          <t>NORRBOTTENS LÄN</t>
        </is>
      </c>
      <c r="E1265" t="inlineStr">
        <is>
          <t>BODEN</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38653-2024</t>
        </is>
      </c>
      <c r="B1266" s="1" t="n">
        <v>45546</v>
      </c>
      <c r="C1266" s="1" t="n">
        <v>45849</v>
      </c>
      <c r="D1266" t="inlineStr">
        <is>
          <t>NORRBOTTENS LÄN</t>
        </is>
      </c>
      <c r="E1266" t="inlineStr">
        <is>
          <t>BODEN</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38680-2024</t>
        </is>
      </c>
      <c r="B1267" s="1" t="n">
        <v>45547</v>
      </c>
      <c r="C1267" s="1" t="n">
        <v>45849</v>
      </c>
      <c r="D1267" t="inlineStr">
        <is>
          <t>NORRBOTTENS LÄN</t>
        </is>
      </c>
      <c r="E1267" t="inlineStr">
        <is>
          <t>BODEN</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38994-2024</t>
        </is>
      </c>
      <c r="B1268" s="1" t="n">
        <v>45548</v>
      </c>
      <c r="C1268" s="1" t="n">
        <v>45849</v>
      </c>
      <c r="D1268" t="inlineStr">
        <is>
          <t>NORRBOTTENS LÄN</t>
        </is>
      </c>
      <c r="E1268" t="inlineStr">
        <is>
          <t>BODEN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39272-2024</t>
        </is>
      </c>
      <c r="B1269" s="1" t="n">
        <v>45551</v>
      </c>
      <c r="C1269" s="1" t="n">
        <v>45849</v>
      </c>
      <c r="D1269" t="inlineStr">
        <is>
          <t>NORRBOTTENS LÄN</t>
        </is>
      </c>
      <c r="E1269" t="inlineStr">
        <is>
          <t>BODEN</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39339-2024</t>
        </is>
      </c>
      <c r="B1270" s="1" t="n">
        <v>45551</v>
      </c>
      <c r="C1270" s="1" t="n">
        <v>45849</v>
      </c>
      <c r="D1270" t="inlineStr">
        <is>
          <t>NORRBOTTENS LÄN</t>
        </is>
      </c>
      <c r="E1270" t="inlineStr">
        <is>
          <t>BODEN</t>
        </is>
      </c>
      <c r="F1270" t="inlineStr">
        <is>
          <t>Sveaskog</t>
        </is>
      </c>
      <c r="G1270" t="n">
        <v>21.5</v>
      </c>
      <c r="H1270" t="n">
        <v>0</v>
      </c>
      <c r="I1270" t="n">
        <v>0</v>
      </c>
      <c r="J1270" t="n">
        <v>0</v>
      </c>
      <c r="K1270" t="n">
        <v>0</v>
      </c>
      <c r="L1270" t="n">
        <v>0</v>
      </c>
      <c r="M1270" t="n">
        <v>0</v>
      </c>
      <c r="N1270" t="n">
        <v>0</v>
      </c>
      <c r="O1270" t="n">
        <v>0</v>
      </c>
      <c r="P1270" t="n">
        <v>0</v>
      </c>
      <c r="Q1270" t="n">
        <v>0</v>
      </c>
      <c r="R1270" s="2" t="inlineStr"/>
    </row>
    <row r="1271" ht="15" customHeight="1">
      <c r="A1271" t="inlineStr">
        <is>
          <t>A 39773-2024</t>
        </is>
      </c>
      <c r="B1271" s="1" t="n">
        <v>45552</v>
      </c>
      <c r="C1271" s="1" t="n">
        <v>45849</v>
      </c>
      <c r="D1271" t="inlineStr">
        <is>
          <t>NORRBOTTENS LÄN</t>
        </is>
      </c>
      <c r="E1271" t="inlineStr">
        <is>
          <t>BODEN</t>
        </is>
      </c>
      <c r="F1271" t="inlineStr">
        <is>
          <t>Övriga statliga verk och myndigheter</t>
        </is>
      </c>
      <c r="G1271" t="n">
        <v>18.1</v>
      </c>
      <c r="H1271" t="n">
        <v>0</v>
      </c>
      <c r="I1271" t="n">
        <v>0</v>
      </c>
      <c r="J1271" t="n">
        <v>0</v>
      </c>
      <c r="K1271" t="n">
        <v>0</v>
      </c>
      <c r="L1271" t="n">
        <v>0</v>
      </c>
      <c r="M1271" t="n">
        <v>0</v>
      </c>
      <c r="N1271" t="n">
        <v>0</v>
      </c>
      <c r="O1271" t="n">
        <v>0</v>
      </c>
      <c r="P1271" t="n">
        <v>0</v>
      </c>
      <c r="Q1271" t="n">
        <v>0</v>
      </c>
      <c r="R1271" s="2" t="inlineStr"/>
    </row>
    <row r="1272" ht="15" customHeight="1">
      <c r="A1272" t="inlineStr">
        <is>
          <t>A 39987-2024</t>
        </is>
      </c>
      <c r="B1272" s="1" t="n">
        <v>45553</v>
      </c>
      <c r="C1272" s="1" t="n">
        <v>45849</v>
      </c>
      <c r="D1272" t="inlineStr">
        <is>
          <t>NORRBOTTENS LÄN</t>
        </is>
      </c>
      <c r="E1272" t="inlineStr">
        <is>
          <t>BODEN</t>
        </is>
      </c>
      <c r="F1272" t="inlineStr">
        <is>
          <t>Sveaskog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40585-2024</t>
        </is>
      </c>
      <c r="B1273" s="1" t="n">
        <v>45555</v>
      </c>
      <c r="C1273" s="1" t="n">
        <v>45849</v>
      </c>
      <c r="D1273" t="inlineStr">
        <is>
          <t>NORRBOTTENS LÄN</t>
        </is>
      </c>
      <c r="E1273" t="inlineStr">
        <is>
          <t>BODEN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40682-2024</t>
        </is>
      </c>
      <c r="B1274" s="1" t="n">
        <v>45558</v>
      </c>
      <c r="C1274" s="1" t="n">
        <v>45849</v>
      </c>
      <c r="D1274" t="inlineStr">
        <is>
          <t>NORRBOTTENS LÄN</t>
        </is>
      </c>
      <c r="E1274" t="inlineStr">
        <is>
          <t>BODEN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40675-2024</t>
        </is>
      </c>
      <c r="B1275" s="1" t="n">
        <v>45558</v>
      </c>
      <c r="C1275" s="1" t="n">
        <v>45849</v>
      </c>
      <c r="D1275" t="inlineStr">
        <is>
          <t>NORRBOTTENS LÄN</t>
        </is>
      </c>
      <c r="E1275" t="inlineStr">
        <is>
          <t>BODEN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40680-2024</t>
        </is>
      </c>
      <c r="B1276" s="1" t="n">
        <v>45558</v>
      </c>
      <c r="C1276" s="1" t="n">
        <v>45849</v>
      </c>
      <c r="D1276" t="inlineStr">
        <is>
          <t>NORRBOTTENS LÄN</t>
        </is>
      </c>
      <c r="E1276" t="inlineStr">
        <is>
          <t>BODEN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40728-2024</t>
        </is>
      </c>
      <c r="B1277" s="1" t="n">
        <v>45558</v>
      </c>
      <c r="C1277" s="1" t="n">
        <v>45849</v>
      </c>
      <c r="D1277" t="inlineStr">
        <is>
          <t>NORRBOTTENS LÄN</t>
        </is>
      </c>
      <c r="E1277" t="inlineStr">
        <is>
          <t>BODEN</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41115-2024</t>
        </is>
      </c>
      <c r="B1278" s="1" t="n">
        <v>45559</v>
      </c>
      <c r="C1278" s="1" t="n">
        <v>45849</v>
      </c>
      <c r="D1278" t="inlineStr">
        <is>
          <t>NORRBOTTENS LÄN</t>
        </is>
      </c>
      <c r="E1278" t="inlineStr">
        <is>
          <t>BODEN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41316-2024</t>
        </is>
      </c>
      <c r="B1279" s="1" t="n">
        <v>45559</v>
      </c>
      <c r="C1279" s="1" t="n">
        <v>45849</v>
      </c>
      <c r="D1279" t="inlineStr">
        <is>
          <t>NORRBOTTENS LÄN</t>
        </is>
      </c>
      <c r="E1279" t="inlineStr">
        <is>
          <t>BODEN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41466-2024</t>
        </is>
      </c>
      <c r="B1280" s="1" t="n">
        <v>45560</v>
      </c>
      <c r="C1280" s="1" t="n">
        <v>45849</v>
      </c>
      <c r="D1280" t="inlineStr">
        <is>
          <t>NORRBOTTENS LÄN</t>
        </is>
      </c>
      <c r="E1280" t="inlineStr">
        <is>
          <t>BODEN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41485-2024</t>
        </is>
      </c>
      <c r="B1281" s="1" t="n">
        <v>45560</v>
      </c>
      <c r="C1281" s="1" t="n">
        <v>45849</v>
      </c>
      <c r="D1281" t="inlineStr">
        <is>
          <t>NORRBOTTENS LÄN</t>
        </is>
      </c>
      <c r="E1281" t="inlineStr">
        <is>
          <t>BODEN</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41487-2024</t>
        </is>
      </c>
      <c r="B1282" s="1" t="n">
        <v>45560</v>
      </c>
      <c r="C1282" s="1" t="n">
        <v>45849</v>
      </c>
      <c r="D1282" t="inlineStr">
        <is>
          <t>NORRBOTTENS LÄN</t>
        </is>
      </c>
      <c r="E1282" t="inlineStr">
        <is>
          <t>BODEN</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41949-2024</t>
        </is>
      </c>
      <c r="B1283" s="1" t="n">
        <v>45561</v>
      </c>
      <c r="C1283" s="1" t="n">
        <v>45849</v>
      </c>
      <c r="D1283" t="inlineStr">
        <is>
          <t>NORRBOTTENS LÄN</t>
        </is>
      </c>
      <c r="E1283" t="inlineStr">
        <is>
          <t>BODEN</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41957-2024</t>
        </is>
      </c>
      <c r="B1284" s="1" t="n">
        <v>45561</v>
      </c>
      <c r="C1284" s="1" t="n">
        <v>45849</v>
      </c>
      <c r="D1284" t="inlineStr">
        <is>
          <t>NORRBOTTENS LÄN</t>
        </is>
      </c>
      <c r="E1284" t="inlineStr">
        <is>
          <t>BODEN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41947-2024</t>
        </is>
      </c>
      <c r="B1285" s="1" t="n">
        <v>45561</v>
      </c>
      <c r="C1285" s="1" t="n">
        <v>45849</v>
      </c>
      <c r="D1285" t="inlineStr">
        <is>
          <t>NORRBOTTENS LÄN</t>
        </is>
      </c>
      <c r="E1285" t="inlineStr">
        <is>
          <t>BODEN</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41955-2024</t>
        </is>
      </c>
      <c r="B1286" s="1" t="n">
        <v>45561</v>
      </c>
      <c r="C1286" s="1" t="n">
        <v>45849</v>
      </c>
      <c r="D1286" t="inlineStr">
        <is>
          <t>NORRBOTTENS LÄN</t>
        </is>
      </c>
      <c r="E1286" t="inlineStr">
        <is>
          <t>BODEN</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41789-2024</t>
        </is>
      </c>
      <c r="B1287" s="1" t="n">
        <v>45561</v>
      </c>
      <c r="C1287" s="1" t="n">
        <v>45849</v>
      </c>
      <c r="D1287" t="inlineStr">
        <is>
          <t>NORRBOTTENS LÄN</t>
        </is>
      </c>
      <c r="E1287" t="inlineStr">
        <is>
          <t>BODEN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42196-2024</t>
        </is>
      </c>
      <c r="B1288" s="1" t="n">
        <v>45562</v>
      </c>
      <c r="C1288" s="1" t="n">
        <v>45849</v>
      </c>
      <c r="D1288" t="inlineStr">
        <is>
          <t>NORRBOTTENS LÄN</t>
        </is>
      </c>
      <c r="E1288" t="inlineStr">
        <is>
          <t>BODEN</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43410-2024</t>
        </is>
      </c>
      <c r="B1289" s="1" t="n">
        <v>45568</v>
      </c>
      <c r="C1289" s="1" t="n">
        <v>45849</v>
      </c>
      <c r="D1289" t="inlineStr">
        <is>
          <t>NORRBOTTENS LÄN</t>
        </is>
      </c>
      <c r="E1289" t="inlineStr">
        <is>
          <t>BODEN</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44153-2024</t>
        </is>
      </c>
      <c r="B1290" s="1" t="n">
        <v>45572</v>
      </c>
      <c r="C1290" s="1" t="n">
        <v>45849</v>
      </c>
      <c r="D1290" t="inlineStr">
        <is>
          <t>NORRBOTTENS LÄN</t>
        </is>
      </c>
      <c r="E1290" t="inlineStr">
        <is>
          <t>BODEN</t>
        </is>
      </c>
      <c r="F1290" t="inlineStr">
        <is>
          <t>Övriga Aktiebolag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43941-2024</t>
        </is>
      </c>
      <c r="B1291" s="1" t="n">
        <v>45572</v>
      </c>
      <c r="C1291" s="1" t="n">
        <v>45849</v>
      </c>
      <c r="D1291" t="inlineStr">
        <is>
          <t>NORRBOTTENS LÄN</t>
        </is>
      </c>
      <c r="E1291" t="inlineStr">
        <is>
          <t>BODEN</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43920-2024</t>
        </is>
      </c>
      <c r="B1292" s="1" t="n">
        <v>45572</v>
      </c>
      <c r="C1292" s="1" t="n">
        <v>45849</v>
      </c>
      <c r="D1292" t="inlineStr">
        <is>
          <t>NORRBOTTENS LÄN</t>
        </is>
      </c>
      <c r="E1292" t="inlineStr">
        <is>
          <t>BODEN</t>
        </is>
      </c>
      <c r="F1292" t="inlineStr">
        <is>
          <t>Övriga Aktiebolag</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43969-2024</t>
        </is>
      </c>
      <c r="B1293" s="1" t="n">
        <v>45572</v>
      </c>
      <c r="C1293" s="1" t="n">
        <v>45849</v>
      </c>
      <c r="D1293" t="inlineStr">
        <is>
          <t>NORRBOTTENS LÄN</t>
        </is>
      </c>
      <c r="E1293" t="inlineStr">
        <is>
          <t>BODEN</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44567-2024</t>
        </is>
      </c>
      <c r="B1294" s="1" t="n">
        <v>45574</v>
      </c>
      <c r="C1294" s="1" t="n">
        <v>45849</v>
      </c>
      <c r="D1294" t="inlineStr">
        <is>
          <t>NORRBOTTENS LÄN</t>
        </is>
      </c>
      <c r="E1294" t="inlineStr">
        <is>
          <t>BODEN</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44553-2024</t>
        </is>
      </c>
      <c r="B1295" s="1" t="n">
        <v>45574</v>
      </c>
      <c r="C1295" s="1" t="n">
        <v>45849</v>
      </c>
      <c r="D1295" t="inlineStr">
        <is>
          <t>NORRBOTTENS LÄN</t>
        </is>
      </c>
      <c r="E1295" t="inlineStr">
        <is>
          <t>BODEN</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44625-2024</t>
        </is>
      </c>
      <c r="B1296" s="1" t="n">
        <v>45574</v>
      </c>
      <c r="C1296" s="1" t="n">
        <v>45849</v>
      </c>
      <c r="D1296" t="inlineStr">
        <is>
          <t>NORRBOTTENS LÄN</t>
        </is>
      </c>
      <c r="E1296" t="inlineStr">
        <is>
          <t>BODEN</t>
        </is>
      </c>
      <c r="F1296" t="inlineStr">
        <is>
          <t>Sveaskog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44708-2024</t>
        </is>
      </c>
      <c r="B1297" s="1" t="n">
        <v>45574</v>
      </c>
      <c r="C1297" s="1" t="n">
        <v>45849</v>
      </c>
      <c r="D1297" t="inlineStr">
        <is>
          <t>NORRBOTTENS LÄN</t>
        </is>
      </c>
      <c r="E1297" t="inlineStr">
        <is>
          <t>BODEN</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45110-2024</t>
        </is>
      </c>
      <c r="B1298" s="1" t="n">
        <v>45575</v>
      </c>
      <c r="C1298" s="1" t="n">
        <v>45849</v>
      </c>
      <c r="D1298" t="inlineStr">
        <is>
          <t>NORRBOTTENS LÄN</t>
        </is>
      </c>
      <c r="E1298" t="inlineStr">
        <is>
          <t>BODEN</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46367-2024</t>
        </is>
      </c>
      <c r="B1299" s="1" t="n">
        <v>45582</v>
      </c>
      <c r="C1299" s="1" t="n">
        <v>45849</v>
      </c>
      <c r="D1299" t="inlineStr">
        <is>
          <t>NORRBOTTENS LÄN</t>
        </is>
      </c>
      <c r="E1299" t="inlineStr">
        <is>
          <t>BODEN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46684-2024</t>
        </is>
      </c>
      <c r="B1300" s="1" t="n">
        <v>45583</v>
      </c>
      <c r="C1300" s="1" t="n">
        <v>45849</v>
      </c>
      <c r="D1300" t="inlineStr">
        <is>
          <t>NORRBOTTENS LÄN</t>
        </is>
      </c>
      <c r="E1300" t="inlineStr">
        <is>
          <t>BODEN</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46844-2024</t>
        </is>
      </c>
      <c r="B1301" s="1" t="n">
        <v>45583</v>
      </c>
      <c r="C1301" s="1" t="n">
        <v>45849</v>
      </c>
      <c r="D1301" t="inlineStr">
        <is>
          <t>NORRBOTTENS LÄN</t>
        </is>
      </c>
      <c r="E1301" t="inlineStr">
        <is>
          <t>BODEN</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46901-2024</t>
        </is>
      </c>
      <c r="B1302" s="1" t="n">
        <v>45583</v>
      </c>
      <c r="C1302" s="1" t="n">
        <v>45849</v>
      </c>
      <c r="D1302" t="inlineStr">
        <is>
          <t>NORRBOTTENS LÄN</t>
        </is>
      </c>
      <c r="E1302" t="inlineStr">
        <is>
          <t>BODEN</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46900-2024</t>
        </is>
      </c>
      <c r="B1303" s="1" t="n">
        <v>45583</v>
      </c>
      <c r="C1303" s="1" t="n">
        <v>45849</v>
      </c>
      <c r="D1303" t="inlineStr">
        <is>
          <t>NORRBOTTENS LÄN</t>
        </is>
      </c>
      <c r="E1303" t="inlineStr">
        <is>
          <t>BODEN</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46903-2024</t>
        </is>
      </c>
      <c r="B1304" s="1" t="n">
        <v>45583</v>
      </c>
      <c r="C1304" s="1" t="n">
        <v>45849</v>
      </c>
      <c r="D1304" t="inlineStr">
        <is>
          <t>NORRBOTTENS LÄN</t>
        </is>
      </c>
      <c r="E1304" t="inlineStr">
        <is>
          <t>BODEN</t>
        </is>
      </c>
      <c r="F1304" t="inlineStr">
        <is>
          <t>SCA</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46975-2024</t>
        </is>
      </c>
      <c r="B1305" s="1" t="n">
        <v>45586</v>
      </c>
      <c r="C1305" s="1" t="n">
        <v>45849</v>
      </c>
      <c r="D1305" t="inlineStr">
        <is>
          <t>NORRBOTTENS LÄN</t>
        </is>
      </c>
      <c r="E1305" t="inlineStr">
        <is>
          <t>BODEN</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47024-2024</t>
        </is>
      </c>
      <c r="B1306" s="1" t="n">
        <v>45586</v>
      </c>
      <c r="C1306" s="1" t="n">
        <v>45849</v>
      </c>
      <c r="D1306" t="inlineStr">
        <is>
          <t>NORRBOTTENS LÄN</t>
        </is>
      </c>
      <c r="E1306" t="inlineStr">
        <is>
          <t>BODEN</t>
        </is>
      </c>
      <c r="F1306" t="inlineStr">
        <is>
          <t>Sveaskog</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46974-2024</t>
        </is>
      </c>
      <c r="B1307" s="1" t="n">
        <v>45586</v>
      </c>
      <c r="C1307" s="1" t="n">
        <v>45849</v>
      </c>
      <c r="D1307" t="inlineStr">
        <is>
          <t>NORRBOTTENS LÄN</t>
        </is>
      </c>
      <c r="E1307" t="inlineStr">
        <is>
          <t>BODEN</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47042-2024</t>
        </is>
      </c>
      <c r="B1308" s="1" t="n">
        <v>45586</v>
      </c>
      <c r="C1308" s="1" t="n">
        <v>45849</v>
      </c>
      <c r="D1308" t="inlineStr">
        <is>
          <t>NORRBOTTENS LÄN</t>
        </is>
      </c>
      <c r="E1308" t="inlineStr">
        <is>
          <t>BODEN</t>
        </is>
      </c>
      <c r="G1308" t="n">
        <v>27.9</v>
      </c>
      <c r="H1308" t="n">
        <v>0</v>
      </c>
      <c r="I1308" t="n">
        <v>0</v>
      </c>
      <c r="J1308" t="n">
        <v>0</v>
      </c>
      <c r="K1308" t="n">
        <v>0</v>
      </c>
      <c r="L1308" t="n">
        <v>0</v>
      </c>
      <c r="M1308" t="n">
        <v>0</v>
      </c>
      <c r="N1308" t="n">
        <v>0</v>
      </c>
      <c r="O1308" t="n">
        <v>0</v>
      </c>
      <c r="P1308" t="n">
        <v>0</v>
      </c>
      <c r="Q1308" t="n">
        <v>0</v>
      </c>
      <c r="R1308" s="2" t="inlineStr"/>
    </row>
    <row r="1309" ht="15" customHeight="1">
      <c r="A1309" t="inlineStr">
        <is>
          <t>A 47125-2024</t>
        </is>
      </c>
      <c r="B1309" s="1" t="n">
        <v>45586</v>
      </c>
      <c r="C1309" s="1" t="n">
        <v>45849</v>
      </c>
      <c r="D1309" t="inlineStr">
        <is>
          <t>NORRBOTTENS LÄN</t>
        </is>
      </c>
      <c r="E1309" t="inlineStr">
        <is>
          <t>BODEN</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47423-2024</t>
        </is>
      </c>
      <c r="B1310" s="1" t="n">
        <v>45587</v>
      </c>
      <c r="C1310" s="1" t="n">
        <v>45849</v>
      </c>
      <c r="D1310" t="inlineStr">
        <is>
          <t>NORRBOTTENS LÄN</t>
        </is>
      </c>
      <c r="E1310" t="inlineStr">
        <is>
          <t>BODEN</t>
        </is>
      </c>
      <c r="G1310" t="n">
        <v>17.2</v>
      </c>
      <c r="H1310" t="n">
        <v>0</v>
      </c>
      <c r="I1310" t="n">
        <v>0</v>
      </c>
      <c r="J1310" t="n">
        <v>0</v>
      </c>
      <c r="K1310" t="n">
        <v>0</v>
      </c>
      <c r="L1310" t="n">
        <v>0</v>
      </c>
      <c r="M1310" t="n">
        <v>0</v>
      </c>
      <c r="N1310" t="n">
        <v>0</v>
      </c>
      <c r="O1310" t="n">
        <v>0</v>
      </c>
      <c r="P1310" t="n">
        <v>0</v>
      </c>
      <c r="Q1310" t="n">
        <v>0</v>
      </c>
      <c r="R1310" s="2" t="inlineStr"/>
    </row>
    <row r="1311" ht="15" customHeight="1">
      <c r="A1311" t="inlineStr">
        <is>
          <t>A 47424-2024</t>
        </is>
      </c>
      <c r="B1311" s="1" t="n">
        <v>45587</v>
      </c>
      <c r="C1311" s="1" t="n">
        <v>45849</v>
      </c>
      <c r="D1311" t="inlineStr">
        <is>
          <t>NORRBOTTENS LÄN</t>
        </is>
      </c>
      <c r="E1311" t="inlineStr">
        <is>
          <t>BODEN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48107-2024</t>
        </is>
      </c>
      <c r="B1312" s="1" t="n">
        <v>45589</v>
      </c>
      <c r="C1312" s="1" t="n">
        <v>45849</v>
      </c>
      <c r="D1312" t="inlineStr">
        <is>
          <t>NORRBOTTENS LÄN</t>
        </is>
      </c>
      <c r="E1312" t="inlineStr">
        <is>
          <t>BODEN</t>
        </is>
      </c>
      <c r="F1312" t="inlineStr">
        <is>
          <t>Övriga Aktiebolag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47922-2024</t>
        </is>
      </c>
      <c r="B1313" s="1" t="n">
        <v>45589</v>
      </c>
      <c r="C1313" s="1" t="n">
        <v>45849</v>
      </c>
      <c r="D1313" t="inlineStr">
        <is>
          <t>NORRBOTTENS LÄN</t>
        </is>
      </c>
      <c r="E1313" t="inlineStr">
        <is>
          <t>BODEN</t>
        </is>
      </c>
      <c r="F1313" t="inlineStr">
        <is>
          <t>Naturvårdsverket</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47926-2024</t>
        </is>
      </c>
      <c r="B1314" s="1" t="n">
        <v>45589</v>
      </c>
      <c r="C1314" s="1" t="n">
        <v>45849</v>
      </c>
      <c r="D1314" t="inlineStr">
        <is>
          <t>NORRBOTTENS LÄN</t>
        </is>
      </c>
      <c r="E1314" t="inlineStr">
        <is>
          <t>BODEN</t>
        </is>
      </c>
      <c r="F1314" t="inlineStr">
        <is>
          <t>Naturvårdsverket</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47929-2024</t>
        </is>
      </c>
      <c r="B1315" s="1" t="n">
        <v>45589</v>
      </c>
      <c r="C1315" s="1" t="n">
        <v>45849</v>
      </c>
      <c r="D1315" t="inlineStr">
        <is>
          <t>NORRBOTTENS LÄN</t>
        </is>
      </c>
      <c r="E1315" t="inlineStr">
        <is>
          <t>BODEN</t>
        </is>
      </c>
      <c r="F1315" t="inlineStr">
        <is>
          <t>Naturvårdsverket</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47924-2024</t>
        </is>
      </c>
      <c r="B1316" s="1" t="n">
        <v>45589</v>
      </c>
      <c r="C1316" s="1" t="n">
        <v>45849</v>
      </c>
      <c r="D1316" t="inlineStr">
        <is>
          <t>NORRBOTTENS LÄN</t>
        </is>
      </c>
      <c r="E1316" t="inlineStr">
        <is>
          <t>BODEN</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47920-2024</t>
        </is>
      </c>
      <c r="B1317" s="1" t="n">
        <v>45589</v>
      </c>
      <c r="C1317" s="1" t="n">
        <v>45849</v>
      </c>
      <c r="D1317" t="inlineStr">
        <is>
          <t>NORRBOTTENS LÄN</t>
        </is>
      </c>
      <c r="E1317" t="inlineStr">
        <is>
          <t>BODEN</t>
        </is>
      </c>
      <c r="F1317" t="inlineStr">
        <is>
          <t>Naturvårdsverket</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47927-2024</t>
        </is>
      </c>
      <c r="B1318" s="1" t="n">
        <v>45589</v>
      </c>
      <c r="C1318" s="1" t="n">
        <v>45849</v>
      </c>
      <c r="D1318" t="inlineStr">
        <is>
          <t>NORRBOTTENS LÄN</t>
        </is>
      </c>
      <c r="E1318" t="inlineStr">
        <is>
          <t>BODEN</t>
        </is>
      </c>
      <c r="F1318" t="inlineStr">
        <is>
          <t>Naturvårdsverket</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48420-2024</t>
        </is>
      </c>
      <c r="B1319" s="1" t="n">
        <v>45590</v>
      </c>
      <c r="C1319" s="1" t="n">
        <v>45849</v>
      </c>
      <c r="D1319" t="inlineStr">
        <is>
          <t>NORRBOTTENS LÄN</t>
        </is>
      </c>
      <c r="E1319" t="inlineStr">
        <is>
          <t>BODEN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48426-2024</t>
        </is>
      </c>
      <c r="B1320" s="1" t="n">
        <v>45590</v>
      </c>
      <c r="C1320" s="1" t="n">
        <v>45849</v>
      </c>
      <c r="D1320" t="inlineStr">
        <is>
          <t>NORRBOTTENS LÄN</t>
        </is>
      </c>
      <c r="E1320" t="inlineStr">
        <is>
          <t>BODEN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48431-2024</t>
        </is>
      </c>
      <c r="B1321" s="1" t="n">
        <v>45590</v>
      </c>
      <c r="C1321" s="1" t="n">
        <v>45849</v>
      </c>
      <c r="D1321" t="inlineStr">
        <is>
          <t>NORRBOTTENS LÄN</t>
        </is>
      </c>
      <c r="E1321" t="inlineStr">
        <is>
          <t>BODEN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48433-2024</t>
        </is>
      </c>
      <c r="B1322" s="1" t="n">
        <v>45590</v>
      </c>
      <c r="C1322" s="1" t="n">
        <v>45849</v>
      </c>
      <c r="D1322" t="inlineStr">
        <is>
          <t>NORRBOTTENS LÄN</t>
        </is>
      </c>
      <c r="E1322" t="inlineStr">
        <is>
          <t>BODEN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48427-2024</t>
        </is>
      </c>
      <c r="B1323" s="1" t="n">
        <v>45590</v>
      </c>
      <c r="C1323" s="1" t="n">
        <v>45849</v>
      </c>
      <c r="D1323" t="inlineStr">
        <is>
          <t>NORRBOTTENS LÄN</t>
        </is>
      </c>
      <c r="E1323" t="inlineStr">
        <is>
          <t>BODEN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48415-2024</t>
        </is>
      </c>
      <c r="B1324" s="1" t="n">
        <v>45590</v>
      </c>
      <c r="C1324" s="1" t="n">
        <v>45849</v>
      </c>
      <c r="D1324" t="inlineStr">
        <is>
          <t>NORRBOTTENS LÄN</t>
        </is>
      </c>
      <c r="E1324" t="inlineStr">
        <is>
          <t>BODEN</t>
        </is>
      </c>
      <c r="F1324" t="inlineStr">
        <is>
          <t>SCA</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48471-2024</t>
        </is>
      </c>
      <c r="B1325" s="1" t="n">
        <v>45591</v>
      </c>
      <c r="C1325" s="1" t="n">
        <v>45849</v>
      </c>
      <c r="D1325" t="inlineStr">
        <is>
          <t>NORRBOTTENS LÄN</t>
        </is>
      </c>
      <c r="E1325" t="inlineStr">
        <is>
          <t>BODEN</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48472-2024</t>
        </is>
      </c>
      <c r="B1326" s="1" t="n">
        <v>45591</v>
      </c>
      <c r="C1326" s="1" t="n">
        <v>45849</v>
      </c>
      <c r="D1326" t="inlineStr">
        <is>
          <t>NORRBOTTENS LÄN</t>
        </is>
      </c>
      <c r="E1326" t="inlineStr">
        <is>
          <t>BODEN</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48592-2024</t>
        </is>
      </c>
      <c r="B1327" s="1" t="n">
        <v>45593</v>
      </c>
      <c r="C1327" s="1" t="n">
        <v>45849</v>
      </c>
      <c r="D1327" t="inlineStr">
        <is>
          <t>NORRBOTTENS LÄN</t>
        </is>
      </c>
      <c r="E1327" t="inlineStr">
        <is>
          <t>BODEN</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48942-2024</t>
        </is>
      </c>
      <c r="B1328" s="1" t="n">
        <v>45594</v>
      </c>
      <c r="C1328" s="1" t="n">
        <v>45849</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49994-2024</t>
        </is>
      </c>
      <c r="B1329" s="1" t="n">
        <v>45594</v>
      </c>
      <c r="C1329" s="1" t="n">
        <v>45849</v>
      </c>
      <c r="D1329" t="inlineStr">
        <is>
          <t>NORRBOTTENS LÄN</t>
        </is>
      </c>
      <c r="E1329" t="inlineStr">
        <is>
          <t>BODEN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48945-2024</t>
        </is>
      </c>
      <c r="B1330" s="1" t="n">
        <v>45594</v>
      </c>
      <c r="C1330" s="1" t="n">
        <v>45849</v>
      </c>
      <c r="D1330" t="inlineStr">
        <is>
          <t>NORRBOTTENS LÄN</t>
        </is>
      </c>
      <c r="E1330" t="inlineStr">
        <is>
          <t>BODEN</t>
        </is>
      </c>
      <c r="F1330" t="inlineStr">
        <is>
          <t>Övriga Aktiebolag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48981-2024</t>
        </is>
      </c>
      <c r="B1331" s="1" t="n">
        <v>45594</v>
      </c>
      <c r="C1331" s="1" t="n">
        <v>45849</v>
      </c>
      <c r="D1331" t="inlineStr">
        <is>
          <t>NORRBOTTENS LÄN</t>
        </is>
      </c>
      <c r="E1331" t="inlineStr">
        <is>
          <t>BODEN</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49273-2024</t>
        </is>
      </c>
      <c r="B1332" s="1" t="n">
        <v>45595</v>
      </c>
      <c r="C1332" s="1" t="n">
        <v>45849</v>
      </c>
      <c r="D1332" t="inlineStr">
        <is>
          <t>NORRBOTTENS LÄN</t>
        </is>
      </c>
      <c r="E1332" t="inlineStr">
        <is>
          <t>BODEN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49728-2024</t>
        </is>
      </c>
      <c r="B1333" s="1" t="n">
        <v>45596</v>
      </c>
      <c r="C1333" s="1" t="n">
        <v>45849</v>
      </c>
      <c r="D1333" t="inlineStr">
        <is>
          <t>NORRBOTTENS LÄN</t>
        </is>
      </c>
      <c r="E1333" t="inlineStr">
        <is>
          <t>BODEN</t>
        </is>
      </c>
      <c r="G1333" t="n">
        <v>22.7</v>
      </c>
      <c r="H1333" t="n">
        <v>0</v>
      </c>
      <c r="I1333" t="n">
        <v>0</v>
      </c>
      <c r="J1333" t="n">
        <v>0</v>
      </c>
      <c r="K1333" t="n">
        <v>0</v>
      </c>
      <c r="L1333" t="n">
        <v>0</v>
      </c>
      <c r="M1333" t="n">
        <v>0</v>
      </c>
      <c r="N1333" t="n">
        <v>0</v>
      </c>
      <c r="O1333" t="n">
        <v>0</v>
      </c>
      <c r="P1333" t="n">
        <v>0</v>
      </c>
      <c r="Q1333" t="n">
        <v>0</v>
      </c>
      <c r="R1333" s="2" t="inlineStr"/>
    </row>
    <row r="1334" ht="15" customHeight="1">
      <c r="A1334" t="inlineStr">
        <is>
          <t>A 49729-2024</t>
        </is>
      </c>
      <c r="B1334" s="1" t="n">
        <v>45596</v>
      </c>
      <c r="C1334" s="1" t="n">
        <v>45849</v>
      </c>
      <c r="D1334" t="inlineStr">
        <is>
          <t>NORRBOTTENS LÄN</t>
        </is>
      </c>
      <c r="E1334" t="inlineStr">
        <is>
          <t>BODEN</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49730-2024</t>
        </is>
      </c>
      <c r="B1335" s="1" t="n">
        <v>45596</v>
      </c>
      <c r="C1335" s="1" t="n">
        <v>45849</v>
      </c>
      <c r="D1335" t="inlineStr">
        <is>
          <t>NORRBOTTENS LÄN</t>
        </is>
      </c>
      <c r="E1335" t="inlineStr">
        <is>
          <t>BODEN</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50103-2024</t>
        </is>
      </c>
      <c r="B1336" s="1" t="n">
        <v>45600</v>
      </c>
      <c r="C1336" s="1" t="n">
        <v>45849</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50107-2024</t>
        </is>
      </c>
      <c r="B1337" s="1" t="n">
        <v>45600</v>
      </c>
      <c r="C1337" s="1" t="n">
        <v>45849</v>
      </c>
      <c r="D1337" t="inlineStr">
        <is>
          <t>NORRBOTTENS LÄN</t>
        </is>
      </c>
      <c r="E1337" t="inlineStr">
        <is>
          <t>BODEN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50085-2024</t>
        </is>
      </c>
      <c r="B1338" s="1" t="n">
        <v>45600</v>
      </c>
      <c r="C1338" s="1" t="n">
        <v>45849</v>
      </c>
      <c r="D1338" t="inlineStr">
        <is>
          <t>NORRBOTTENS LÄN</t>
        </is>
      </c>
      <c r="E1338" t="inlineStr">
        <is>
          <t>BODEN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50114-2024</t>
        </is>
      </c>
      <c r="B1339" s="1" t="n">
        <v>45600</v>
      </c>
      <c r="C1339" s="1" t="n">
        <v>45849</v>
      </c>
      <c r="D1339" t="inlineStr">
        <is>
          <t>NORRBOTTENS LÄN</t>
        </is>
      </c>
      <c r="E1339" t="inlineStr">
        <is>
          <t>BODEN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50253-2024</t>
        </is>
      </c>
      <c r="B1340" s="1" t="n">
        <v>45600</v>
      </c>
      <c r="C1340" s="1" t="n">
        <v>45849</v>
      </c>
      <c r="D1340" t="inlineStr">
        <is>
          <t>NORRBOTTENS LÄN</t>
        </is>
      </c>
      <c r="E1340" t="inlineStr">
        <is>
          <t>BODEN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50505-2024</t>
        </is>
      </c>
      <c r="B1341" s="1" t="n">
        <v>45601</v>
      </c>
      <c r="C1341" s="1" t="n">
        <v>45849</v>
      </c>
      <c r="D1341" t="inlineStr">
        <is>
          <t>NORRBOTTENS LÄN</t>
        </is>
      </c>
      <c r="E1341" t="inlineStr">
        <is>
          <t>BODEN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51294-2024</t>
        </is>
      </c>
      <c r="B1342" s="1" t="n">
        <v>45603</v>
      </c>
      <c r="C1342" s="1" t="n">
        <v>45849</v>
      </c>
      <c r="D1342" t="inlineStr">
        <is>
          <t>NORRBOTTENS LÄN</t>
        </is>
      </c>
      <c r="E1342" t="inlineStr">
        <is>
          <t>BODEN</t>
        </is>
      </c>
      <c r="G1342" t="n">
        <v>17.3</v>
      </c>
      <c r="H1342" t="n">
        <v>0</v>
      </c>
      <c r="I1342" t="n">
        <v>0</v>
      </c>
      <c r="J1342" t="n">
        <v>0</v>
      </c>
      <c r="K1342" t="n">
        <v>0</v>
      </c>
      <c r="L1342" t="n">
        <v>0</v>
      </c>
      <c r="M1342" t="n">
        <v>0</v>
      </c>
      <c r="N1342" t="n">
        <v>0</v>
      </c>
      <c r="O1342" t="n">
        <v>0</v>
      </c>
      <c r="P1342" t="n">
        <v>0</v>
      </c>
      <c r="Q1342" t="n">
        <v>0</v>
      </c>
      <c r="R1342" s="2" t="inlineStr"/>
    </row>
    <row r="1343" ht="15" customHeight="1">
      <c r="A1343" t="inlineStr">
        <is>
          <t>A 51279-2024</t>
        </is>
      </c>
      <c r="B1343" s="1" t="n">
        <v>45603</v>
      </c>
      <c r="C1343" s="1" t="n">
        <v>45849</v>
      </c>
      <c r="D1343" t="inlineStr">
        <is>
          <t>NORRBOTTENS LÄN</t>
        </is>
      </c>
      <c r="E1343" t="inlineStr">
        <is>
          <t>BODEN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51280-2024</t>
        </is>
      </c>
      <c r="B1344" s="1" t="n">
        <v>45603</v>
      </c>
      <c r="C1344" s="1" t="n">
        <v>45849</v>
      </c>
      <c r="D1344" t="inlineStr">
        <is>
          <t>NORRBOTTENS LÄN</t>
        </is>
      </c>
      <c r="E1344" t="inlineStr">
        <is>
          <t>BODEN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51607-2024</t>
        </is>
      </c>
      <c r="B1345" s="1" t="n">
        <v>45604</v>
      </c>
      <c r="C1345" s="1" t="n">
        <v>45849</v>
      </c>
      <c r="D1345" t="inlineStr">
        <is>
          <t>NORRBOTTENS LÄN</t>
        </is>
      </c>
      <c r="E1345" t="inlineStr">
        <is>
          <t>BODEN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51614-2024</t>
        </is>
      </c>
      <c r="B1346" s="1" t="n">
        <v>45604</v>
      </c>
      <c r="C1346" s="1" t="n">
        <v>45849</v>
      </c>
      <c r="D1346" t="inlineStr">
        <is>
          <t>NORRBOTTENS LÄN</t>
        </is>
      </c>
      <c r="E1346" t="inlineStr">
        <is>
          <t>BODEN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52248-2024</t>
        </is>
      </c>
      <c r="B1347" s="1" t="n">
        <v>45608</v>
      </c>
      <c r="C1347" s="1" t="n">
        <v>45849</v>
      </c>
      <c r="D1347" t="inlineStr">
        <is>
          <t>NORRBOTTENS LÄN</t>
        </is>
      </c>
      <c r="E1347" t="inlineStr">
        <is>
          <t>BODEN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52247-2024</t>
        </is>
      </c>
      <c r="B1348" s="1" t="n">
        <v>45608</v>
      </c>
      <c r="C1348" s="1" t="n">
        <v>45849</v>
      </c>
      <c r="D1348" t="inlineStr">
        <is>
          <t>NORRBOTTENS LÄN</t>
        </is>
      </c>
      <c r="E1348" t="inlineStr">
        <is>
          <t>BODEN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52246-2024</t>
        </is>
      </c>
      <c r="B1349" s="1" t="n">
        <v>45608</v>
      </c>
      <c r="C1349" s="1" t="n">
        <v>45849</v>
      </c>
      <c r="D1349" t="inlineStr">
        <is>
          <t>NORRBOTTENS LÄN</t>
        </is>
      </c>
      <c r="E1349" t="inlineStr">
        <is>
          <t>BODEN</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53630-2024</t>
        </is>
      </c>
      <c r="B1350" s="1" t="n">
        <v>45614</v>
      </c>
      <c r="C1350" s="1" t="n">
        <v>45849</v>
      </c>
      <c r="D1350" t="inlineStr">
        <is>
          <t>NORRBOTTENS LÄN</t>
        </is>
      </c>
      <c r="E1350" t="inlineStr">
        <is>
          <t>BODEN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54067-2024</t>
        </is>
      </c>
      <c r="B1351" s="1" t="n">
        <v>45616</v>
      </c>
      <c r="C1351" s="1" t="n">
        <v>45849</v>
      </c>
      <c r="D1351" t="inlineStr">
        <is>
          <t>NORRBOTTENS LÄN</t>
        </is>
      </c>
      <c r="E1351" t="inlineStr">
        <is>
          <t>BODEN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54060-2024</t>
        </is>
      </c>
      <c r="B1352" s="1" t="n">
        <v>45616</v>
      </c>
      <c r="C1352" s="1" t="n">
        <v>45849</v>
      </c>
      <c r="D1352" t="inlineStr">
        <is>
          <t>NORRBOTTENS LÄN</t>
        </is>
      </c>
      <c r="E1352" t="inlineStr">
        <is>
          <t>BODEN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54722-2024</t>
        </is>
      </c>
      <c r="B1353" s="1" t="n">
        <v>45618</v>
      </c>
      <c r="C1353" s="1" t="n">
        <v>45849</v>
      </c>
      <c r="D1353" t="inlineStr">
        <is>
          <t>NORRBOTTENS LÄN</t>
        </is>
      </c>
      <c r="E1353" t="inlineStr">
        <is>
          <t>BODEN</t>
        </is>
      </c>
      <c r="F1353" t="inlineStr">
        <is>
          <t>Naturvårdsverket</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54718-2024</t>
        </is>
      </c>
      <c r="B1354" s="1" t="n">
        <v>45618</v>
      </c>
      <c r="C1354" s="1" t="n">
        <v>45849</v>
      </c>
      <c r="D1354" t="inlineStr">
        <is>
          <t>NORRBOTTENS LÄN</t>
        </is>
      </c>
      <c r="E1354" t="inlineStr">
        <is>
          <t>BODEN</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54765-2024</t>
        </is>
      </c>
      <c r="B1355" s="1" t="n">
        <v>45618</v>
      </c>
      <c r="C1355" s="1" t="n">
        <v>45849</v>
      </c>
      <c r="D1355" t="inlineStr">
        <is>
          <t>NORRBOTTENS LÄN</t>
        </is>
      </c>
      <c r="E1355" t="inlineStr">
        <is>
          <t>BODEN</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55779-2024</t>
        </is>
      </c>
      <c r="B1356" s="1" t="n">
        <v>45623</v>
      </c>
      <c r="C1356" s="1" t="n">
        <v>45849</v>
      </c>
      <c r="D1356" t="inlineStr">
        <is>
          <t>NORRBOTTENS LÄN</t>
        </is>
      </c>
      <c r="E1356" t="inlineStr">
        <is>
          <t>BODEN</t>
        </is>
      </c>
      <c r="G1356" t="n">
        <v>11.7</v>
      </c>
      <c r="H1356" t="n">
        <v>0</v>
      </c>
      <c r="I1356" t="n">
        <v>0</v>
      </c>
      <c r="J1356" t="n">
        <v>0</v>
      </c>
      <c r="K1356" t="n">
        <v>0</v>
      </c>
      <c r="L1356" t="n">
        <v>0</v>
      </c>
      <c r="M1356" t="n">
        <v>0</v>
      </c>
      <c r="N1356" t="n">
        <v>0</v>
      </c>
      <c r="O1356" t="n">
        <v>0</v>
      </c>
      <c r="P1356" t="n">
        <v>0</v>
      </c>
      <c r="Q1356" t="n">
        <v>0</v>
      </c>
      <c r="R1356" s="2" t="inlineStr"/>
    </row>
    <row r="1357" ht="15" customHeight="1">
      <c r="A1357" t="inlineStr">
        <is>
          <t>A 56139-2024</t>
        </is>
      </c>
      <c r="B1357" s="1" t="n">
        <v>45624</v>
      </c>
      <c r="C1357" s="1" t="n">
        <v>45849</v>
      </c>
      <c r="D1357" t="inlineStr">
        <is>
          <t>NORRBOTTENS LÄN</t>
        </is>
      </c>
      <c r="E1357" t="inlineStr">
        <is>
          <t>BODEN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56457-2024</t>
        </is>
      </c>
      <c r="B1358" s="1" t="n">
        <v>45625</v>
      </c>
      <c r="C1358" s="1" t="n">
        <v>45849</v>
      </c>
      <c r="D1358" t="inlineStr">
        <is>
          <t>NORRBOTTENS LÄN</t>
        </is>
      </c>
      <c r="E1358" t="inlineStr">
        <is>
          <t>BODEN</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56581-2024</t>
        </is>
      </c>
      <c r="B1359" s="1" t="n">
        <v>45625</v>
      </c>
      <c r="C1359" s="1" t="n">
        <v>45849</v>
      </c>
      <c r="D1359" t="inlineStr">
        <is>
          <t>NORRBOTTENS LÄN</t>
        </is>
      </c>
      <c r="E1359" t="inlineStr">
        <is>
          <t>BODEN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56711-2024</t>
        </is>
      </c>
      <c r="B1360" s="1" t="n">
        <v>45628</v>
      </c>
      <c r="C1360" s="1" t="n">
        <v>45849</v>
      </c>
      <c r="D1360" t="inlineStr">
        <is>
          <t>NORRBOTTENS LÄN</t>
        </is>
      </c>
      <c r="E1360" t="inlineStr">
        <is>
          <t>BODEN</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57062-2024</t>
        </is>
      </c>
      <c r="B1361" s="1" t="n">
        <v>45629</v>
      </c>
      <c r="C1361" s="1" t="n">
        <v>45849</v>
      </c>
      <c r="D1361" t="inlineStr">
        <is>
          <t>NORRBOTTENS LÄN</t>
        </is>
      </c>
      <c r="E1361" t="inlineStr">
        <is>
          <t>BODEN</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57691-2024</t>
        </is>
      </c>
      <c r="B1362" s="1" t="n">
        <v>45630</v>
      </c>
      <c r="C1362" s="1" t="n">
        <v>45849</v>
      </c>
      <c r="D1362" t="inlineStr">
        <is>
          <t>NORRBOTTENS LÄN</t>
        </is>
      </c>
      <c r="E1362" t="inlineStr">
        <is>
          <t>BODEN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57713-2024</t>
        </is>
      </c>
      <c r="B1363" s="1" t="n">
        <v>45630</v>
      </c>
      <c r="C1363" s="1" t="n">
        <v>45849</v>
      </c>
      <c r="D1363" t="inlineStr">
        <is>
          <t>NORRBOTTENS LÄN</t>
        </is>
      </c>
      <c r="E1363" t="inlineStr">
        <is>
          <t>BODEN</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58363-2024</t>
        </is>
      </c>
      <c r="B1364" s="1" t="n">
        <v>45632</v>
      </c>
      <c r="C1364" s="1" t="n">
        <v>45849</v>
      </c>
      <c r="D1364" t="inlineStr">
        <is>
          <t>NORRBOTTENS LÄN</t>
        </is>
      </c>
      <c r="E1364" t="inlineStr">
        <is>
          <t>BODEN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58291-2024</t>
        </is>
      </c>
      <c r="B1365" s="1" t="n">
        <v>45632</v>
      </c>
      <c r="C1365" s="1" t="n">
        <v>45849</v>
      </c>
      <c r="D1365" t="inlineStr">
        <is>
          <t>NORRBOTTENS LÄN</t>
        </is>
      </c>
      <c r="E1365" t="inlineStr">
        <is>
          <t>BODEN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58500-2024</t>
        </is>
      </c>
      <c r="B1366" s="1" t="n">
        <v>45635</v>
      </c>
      <c r="C1366" s="1" t="n">
        <v>45849</v>
      </c>
      <c r="D1366" t="inlineStr">
        <is>
          <t>NORRBOTTENS LÄN</t>
        </is>
      </c>
      <c r="E1366" t="inlineStr">
        <is>
          <t>BODEN</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58504-2024</t>
        </is>
      </c>
      <c r="B1367" s="1" t="n">
        <v>45635</v>
      </c>
      <c r="C1367" s="1" t="n">
        <v>45849</v>
      </c>
      <c r="D1367" t="inlineStr">
        <is>
          <t>NORRBOTTENS LÄN</t>
        </is>
      </c>
      <c r="E1367" t="inlineStr">
        <is>
          <t>BODEN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58506-2024</t>
        </is>
      </c>
      <c r="B1368" s="1" t="n">
        <v>45635</v>
      </c>
      <c r="C1368" s="1" t="n">
        <v>45849</v>
      </c>
      <c r="D1368" t="inlineStr">
        <is>
          <t>NORRBOTTENS LÄN</t>
        </is>
      </c>
      <c r="E1368" t="inlineStr">
        <is>
          <t>BODEN</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59722-2024</t>
        </is>
      </c>
      <c r="B1369" s="1" t="n">
        <v>45639</v>
      </c>
      <c r="C1369" s="1" t="n">
        <v>45849</v>
      </c>
      <c r="D1369" t="inlineStr">
        <is>
          <t>NORRBOTTENS LÄN</t>
        </is>
      </c>
      <c r="E1369" t="inlineStr">
        <is>
          <t>BODEN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60085-2024</t>
        </is>
      </c>
      <c r="B1370" s="1" t="n">
        <v>45639</v>
      </c>
      <c r="C1370" s="1" t="n">
        <v>45849</v>
      </c>
      <c r="D1370" t="inlineStr">
        <is>
          <t>NORRBOTTENS LÄN</t>
        </is>
      </c>
      <c r="E1370" t="inlineStr">
        <is>
          <t>BODEN</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60587-2024</t>
        </is>
      </c>
      <c r="B1371" s="1" t="n">
        <v>45642</v>
      </c>
      <c r="C1371" s="1" t="n">
        <v>45849</v>
      </c>
      <c r="D1371" t="inlineStr">
        <is>
          <t>NORRBOTTENS LÄN</t>
        </is>
      </c>
      <c r="E1371" t="inlineStr">
        <is>
          <t>BODEN</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60337-2024</t>
        </is>
      </c>
      <c r="B1372" s="1" t="n">
        <v>45643</v>
      </c>
      <c r="C1372" s="1" t="n">
        <v>45849</v>
      </c>
      <c r="D1372" t="inlineStr">
        <is>
          <t>NORRBOTTENS LÄN</t>
        </is>
      </c>
      <c r="E1372" t="inlineStr">
        <is>
          <t>BODEN</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60466-2024</t>
        </is>
      </c>
      <c r="B1373" s="1" t="n">
        <v>45643</v>
      </c>
      <c r="C1373" s="1" t="n">
        <v>45849</v>
      </c>
      <c r="D1373" t="inlineStr">
        <is>
          <t>NORRBOTTENS LÄN</t>
        </is>
      </c>
      <c r="E1373" t="inlineStr">
        <is>
          <t>BODEN</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60526-2024</t>
        </is>
      </c>
      <c r="B1374" s="1" t="n">
        <v>45643</v>
      </c>
      <c r="C1374" s="1" t="n">
        <v>45849</v>
      </c>
      <c r="D1374" t="inlineStr">
        <is>
          <t>NORRBOTTENS LÄN</t>
        </is>
      </c>
      <c r="E1374" t="inlineStr">
        <is>
          <t>BODEN</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60804-2024</t>
        </is>
      </c>
      <c r="B1375" s="1" t="n">
        <v>45644</v>
      </c>
      <c r="C1375" s="1" t="n">
        <v>45849</v>
      </c>
      <c r="D1375" t="inlineStr">
        <is>
          <t>NORRBOTTENS LÄN</t>
        </is>
      </c>
      <c r="E1375" t="inlineStr">
        <is>
          <t>BODEN</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61128-2024</t>
        </is>
      </c>
      <c r="B1376" s="1" t="n">
        <v>45645</v>
      </c>
      <c r="C1376" s="1" t="n">
        <v>45849</v>
      </c>
      <c r="D1376" t="inlineStr">
        <is>
          <t>NORRBOTTENS LÄN</t>
        </is>
      </c>
      <c r="E1376" t="inlineStr">
        <is>
          <t>BODEN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61031-2024</t>
        </is>
      </c>
      <c r="B1377" s="1" t="n">
        <v>45645</v>
      </c>
      <c r="C1377" s="1" t="n">
        <v>45849</v>
      </c>
      <c r="D1377" t="inlineStr">
        <is>
          <t>NORRBOTTENS LÄN</t>
        </is>
      </c>
      <c r="E1377" t="inlineStr">
        <is>
          <t>BODEN</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61210-2024</t>
        </is>
      </c>
      <c r="B1378" s="1" t="n">
        <v>45645</v>
      </c>
      <c r="C1378" s="1" t="n">
        <v>45849</v>
      </c>
      <c r="D1378" t="inlineStr">
        <is>
          <t>NORRBOTTENS LÄN</t>
        </is>
      </c>
      <c r="E1378" t="inlineStr">
        <is>
          <t>BODEN</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61214-2024</t>
        </is>
      </c>
      <c r="B1379" s="1" t="n">
        <v>45645</v>
      </c>
      <c r="C1379" s="1" t="n">
        <v>45849</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61162-2024</t>
        </is>
      </c>
      <c r="B1380" s="1" t="n">
        <v>45645</v>
      </c>
      <c r="C1380" s="1" t="n">
        <v>45849</v>
      </c>
      <c r="D1380" t="inlineStr">
        <is>
          <t>NORRBOTTENS LÄN</t>
        </is>
      </c>
      <c r="E1380" t="inlineStr">
        <is>
          <t>BODEN</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61513-2024</t>
        </is>
      </c>
      <c r="B1381" s="1" t="n">
        <v>45646</v>
      </c>
      <c r="C1381" s="1" t="n">
        <v>45849</v>
      </c>
      <c r="D1381" t="inlineStr">
        <is>
          <t>NORRBOTTENS LÄN</t>
        </is>
      </c>
      <c r="E1381" t="inlineStr">
        <is>
          <t>BODEN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61570-2024</t>
        </is>
      </c>
      <c r="B1382" s="1" t="n">
        <v>45646</v>
      </c>
      <c r="C1382" s="1" t="n">
        <v>45849</v>
      </c>
      <c r="D1382" t="inlineStr">
        <is>
          <t>NORRBOTTENS LÄN</t>
        </is>
      </c>
      <c r="E1382" t="inlineStr">
        <is>
          <t>BODEN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61568-2024</t>
        </is>
      </c>
      <c r="B1383" s="1" t="n">
        <v>45646</v>
      </c>
      <c r="C1383" s="1" t="n">
        <v>45849</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61588-2024</t>
        </is>
      </c>
      <c r="B1384" s="1" t="n">
        <v>45646</v>
      </c>
      <c r="C1384" s="1" t="n">
        <v>45849</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61603-2024</t>
        </is>
      </c>
      <c r="B1385" s="1" t="n">
        <v>45646</v>
      </c>
      <c r="C1385" s="1" t="n">
        <v>45849</v>
      </c>
      <c r="D1385" t="inlineStr">
        <is>
          <t>NORRBOTTENS LÄN</t>
        </is>
      </c>
      <c r="E1385" t="inlineStr">
        <is>
          <t>BODEN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61630-2024</t>
        </is>
      </c>
      <c r="B1386" s="1" t="n">
        <v>45646</v>
      </c>
      <c r="C1386" s="1" t="n">
        <v>45849</v>
      </c>
      <c r="D1386" t="inlineStr">
        <is>
          <t>NORRBOTTENS LÄN</t>
        </is>
      </c>
      <c r="E1386" t="inlineStr">
        <is>
          <t>BODEN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61632-2024</t>
        </is>
      </c>
      <c r="B1387" s="1" t="n">
        <v>45646</v>
      </c>
      <c r="C1387" s="1" t="n">
        <v>45849</v>
      </c>
      <c r="D1387" t="inlineStr">
        <is>
          <t>NORRBOTTENS LÄN</t>
        </is>
      </c>
      <c r="E1387" t="inlineStr">
        <is>
          <t>BODEN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62140-2024</t>
        </is>
      </c>
      <c r="B1388" s="1" t="n">
        <v>45646</v>
      </c>
      <c r="C1388" s="1" t="n">
        <v>45849</v>
      </c>
      <c r="D1388" t="inlineStr">
        <is>
          <t>NORRBOTTENS LÄN</t>
        </is>
      </c>
      <c r="E1388" t="inlineStr">
        <is>
          <t>BODEN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61583-2024</t>
        </is>
      </c>
      <c r="B1389" s="1" t="n">
        <v>45646</v>
      </c>
      <c r="C1389" s="1" t="n">
        <v>45849</v>
      </c>
      <c r="D1389" t="inlineStr">
        <is>
          <t>NORRBOTTENS LÄN</t>
        </is>
      </c>
      <c r="E1389" t="inlineStr">
        <is>
          <t>BODEN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61587-2024</t>
        </is>
      </c>
      <c r="B1390" s="1" t="n">
        <v>45646</v>
      </c>
      <c r="C1390" s="1" t="n">
        <v>45849</v>
      </c>
      <c r="D1390" t="inlineStr">
        <is>
          <t>NORRBOTTENS LÄN</t>
        </is>
      </c>
      <c r="E1390" t="inlineStr">
        <is>
          <t>BODEN</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61600-2024</t>
        </is>
      </c>
      <c r="B1391" s="1" t="n">
        <v>45646</v>
      </c>
      <c r="C1391" s="1" t="n">
        <v>45849</v>
      </c>
      <c r="D1391" t="inlineStr">
        <is>
          <t>NORRBOTTENS LÄN</t>
        </is>
      </c>
      <c r="E1391" t="inlineStr">
        <is>
          <t>BODEN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61617-2024</t>
        </is>
      </c>
      <c r="B1392" s="1" t="n">
        <v>45646</v>
      </c>
      <c r="C1392" s="1" t="n">
        <v>45849</v>
      </c>
      <c r="D1392" t="inlineStr">
        <is>
          <t>NORRBOTTENS LÄN</t>
        </is>
      </c>
      <c r="E1392" t="inlineStr">
        <is>
          <t>BODEN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62137-2024</t>
        </is>
      </c>
      <c r="B1393" s="1" t="n">
        <v>45646</v>
      </c>
      <c r="C1393" s="1" t="n">
        <v>45849</v>
      </c>
      <c r="D1393" t="inlineStr">
        <is>
          <t>NORRBOTTENS LÄN</t>
        </is>
      </c>
      <c r="E1393" t="inlineStr">
        <is>
          <t>BODEN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61743-2024</t>
        </is>
      </c>
      <c r="B1394" s="1" t="n">
        <v>45649</v>
      </c>
      <c r="C1394" s="1" t="n">
        <v>45849</v>
      </c>
      <c r="D1394" t="inlineStr">
        <is>
          <t>NORRBOTTENS LÄN</t>
        </is>
      </c>
      <c r="E1394" t="inlineStr">
        <is>
          <t>BODEN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61771-2024</t>
        </is>
      </c>
      <c r="B1395" s="1" t="n">
        <v>45649</v>
      </c>
      <c r="C1395" s="1" t="n">
        <v>45849</v>
      </c>
      <c r="D1395" t="inlineStr">
        <is>
          <t>NORRBOTTENS LÄN</t>
        </is>
      </c>
      <c r="E1395" t="inlineStr">
        <is>
          <t>BODEN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184-2025</t>
        </is>
      </c>
      <c r="B1396" s="1" t="n">
        <v>45649</v>
      </c>
      <c r="C1396" s="1" t="n">
        <v>45849</v>
      </c>
      <c r="D1396" t="inlineStr">
        <is>
          <t>NORRBOTTENS LÄN</t>
        </is>
      </c>
      <c r="E1396" t="inlineStr">
        <is>
          <t>BODEN</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61772-2024</t>
        </is>
      </c>
      <c r="B1397" s="1" t="n">
        <v>45649</v>
      </c>
      <c r="C1397" s="1" t="n">
        <v>45849</v>
      </c>
      <c r="D1397" t="inlineStr">
        <is>
          <t>NORRBOTTENS LÄN</t>
        </is>
      </c>
      <c r="E1397" t="inlineStr">
        <is>
          <t>BODEN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61768-2024</t>
        </is>
      </c>
      <c r="B1398" s="1" t="n">
        <v>45649</v>
      </c>
      <c r="C1398" s="1" t="n">
        <v>45849</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61756-2024</t>
        </is>
      </c>
      <c r="B1399" s="1" t="n">
        <v>45649</v>
      </c>
      <c r="C1399" s="1" t="n">
        <v>45849</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61748-2024</t>
        </is>
      </c>
      <c r="B1400" s="1" t="n">
        <v>45649</v>
      </c>
      <c r="C1400" s="1" t="n">
        <v>45849</v>
      </c>
      <c r="D1400" t="inlineStr">
        <is>
          <t>NORRBOTTENS LÄN</t>
        </is>
      </c>
      <c r="E1400" t="inlineStr">
        <is>
          <t>BODEN</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185-2025</t>
        </is>
      </c>
      <c r="B1401" s="1" t="n">
        <v>45649</v>
      </c>
      <c r="C1401" s="1" t="n">
        <v>45849</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61770-2024</t>
        </is>
      </c>
      <c r="B1402" s="1" t="n">
        <v>45649</v>
      </c>
      <c r="C1402" s="1" t="n">
        <v>45849</v>
      </c>
      <c r="D1402" t="inlineStr">
        <is>
          <t>NORRBOTTENS LÄN</t>
        </is>
      </c>
      <c r="E1402" t="inlineStr">
        <is>
          <t>BODEN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61750-2024</t>
        </is>
      </c>
      <c r="B1403" s="1" t="n">
        <v>45649</v>
      </c>
      <c r="C1403" s="1" t="n">
        <v>45849</v>
      </c>
      <c r="D1403" t="inlineStr">
        <is>
          <t>NORRBOTTENS LÄN</t>
        </is>
      </c>
      <c r="E1403" t="inlineStr">
        <is>
          <t>BODEN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61773-2024</t>
        </is>
      </c>
      <c r="B1404" s="1" t="n">
        <v>45649</v>
      </c>
      <c r="C1404" s="1" t="n">
        <v>45849</v>
      </c>
      <c r="D1404" t="inlineStr">
        <is>
          <t>NORRBOTTENS LÄN</t>
        </is>
      </c>
      <c r="E1404" t="inlineStr">
        <is>
          <t>BODEN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61757-2024</t>
        </is>
      </c>
      <c r="B1405" s="1" t="n">
        <v>45649</v>
      </c>
      <c r="C1405" s="1" t="n">
        <v>45849</v>
      </c>
      <c r="D1405" t="inlineStr">
        <is>
          <t>NORRBOTTENS LÄN</t>
        </is>
      </c>
      <c r="E1405" t="inlineStr">
        <is>
          <t>BODEN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61911-2024</t>
        </is>
      </c>
      <c r="B1406" s="1" t="n">
        <v>45653</v>
      </c>
      <c r="C1406" s="1" t="n">
        <v>45849</v>
      </c>
      <c r="D1406" t="inlineStr">
        <is>
          <t>NORRBOTTENS LÄN</t>
        </is>
      </c>
      <c r="E1406" t="inlineStr">
        <is>
          <t>BODEN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61930-2024</t>
        </is>
      </c>
      <c r="B1407" s="1" t="n">
        <v>45653</v>
      </c>
      <c r="C1407" s="1" t="n">
        <v>45849</v>
      </c>
      <c r="D1407" t="inlineStr">
        <is>
          <t>NORRBOTTENS LÄN</t>
        </is>
      </c>
      <c r="E1407" t="inlineStr">
        <is>
          <t>BODEN</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61936-2024</t>
        </is>
      </c>
      <c r="B1408" s="1" t="n">
        <v>45653</v>
      </c>
      <c r="C1408" s="1" t="n">
        <v>45849</v>
      </c>
      <c r="D1408" t="inlineStr">
        <is>
          <t>NORRBOTTENS LÄN</t>
        </is>
      </c>
      <c r="E1408" t="inlineStr">
        <is>
          <t>BODEN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61949-2024</t>
        </is>
      </c>
      <c r="B1409" s="1" t="n">
        <v>45653</v>
      </c>
      <c r="C1409" s="1" t="n">
        <v>45849</v>
      </c>
      <c r="D1409" t="inlineStr">
        <is>
          <t>NORRBOTTENS LÄN</t>
        </is>
      </c>
      <c r="E1409" t="inlineStr">
        <is>
          <t>BODEN</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61969-2024</t>
        </is>
      </c>
      <c r="B1410" s="1" t="n">
        <v>45653</v>
      </c>
      <c r="C1410" s="1" t="n">
        <v>45849</v>
      </c>
      <c r="D1410" t="inlineStr">
        <is>
          <t>NORRBOTTENS LÄN</t>
        </is>
      </c>
      <c r="E1410" t="inlineStr">
        <is>
          <t>BODEN</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61932-2024</t>
        </is>
      </c>
      <c r="B1411" s="1" t="n">
        <v>45653</v>
      </c>
      <c r="C1411" s="1" t="n">
        <v>45849</v>
      </c>
      <c r="D1411" t="inlineStr">
        <is>
          <t>NORRBOTTENS LÄN</t>
        </is>
      </c>
      <c r="E1411" t="inlineStr">
        <is>
          <t>BODEN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61941-2024</t>
        </is>
      </c>
      <c r="B1412" s="1" t="n">
        <v>45653</v>
      </c>
      <c r="C1412" s="1" t="n">
        <v>45849</v>
      </c>
      <c r="D1412" t="inlineStr">
        <is>
          <t>NORRBOTTENS LÄN</t>
        </is>
      </c>
      <c r="E1412" t="inlineStr">
        <is>
          <t>BODEN</t>
        </is>
      </c>
      <c r="G1412" t="n">
        <v>17.6</v>
      </c>
      <c r="H1412" t="n">
        <v>0</v>
      </c>
      <c r="I1412" t="n">
        <v>0</v>
      </c>
      <c r="J1412" t="n">
        <v>0</v>
      </c>
      <c r="K1412" t="n">
        <v>0</v>
      </c>
      <c r="L1412" t="n">
        <v>0</v>
      </c>
      <c r="M1412" t="n">
        <v>0</v>
      </c>
      <c r="N1412" t="n">
        <v>0</v>
      </c>
      <c r="O1412" t="n">
        <v>0</v>
      </c>
      <c r="P1412" t="n">
        <v>0</v>
      </c>
      <c r="Q1412" t="n">
        <v>0</v>
      </c>
      <c r="R1412" s="2" t="inlineStr"/>
    </row>
    <row r="1413" ht="15" customHeight="1">
      <c r="A1413" t="inlineStr">
        <is>
          <t>A 61917-2024</t>
        </is>
      </c>
      <c r="B1413" s="1" t="n">
        <v>45653</v>
      </c>
      <c r="C1413" s="1" t="n">
        <v>45849</v>
      </c>
      <c r="D1413" t="inlineStr">
        <is>
          <t>NORRBOTTENS LÄN</t>
        </is>
      </c>
      <c r="E1413" t="inlineStr">
        <is>
          <t>BODEN</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61921-2024</t>
        </is>
      </c>
      <c r="B1414" s="1" t="n">
        <v>45653</v>
      </c>
      <c r="C1414" s="1" t="n">
        <v>45849</v>
      </c>
      <c r="D1414" t="inlineStr">
        <is>
          <t>NORRBOTTENS LÄN</t>
        </is>
      </c>
      <c r="E1414" t="inlineStr">
        <is>
          <t>BODEN</t>
        </is>
      </c>
      <c r="G1414" t="n">
        <v>61.4</v>
      </c>
      <c r="H1414" t="n">
        <v>0</v>
      </c>
      <c r="I1414" t="n">
        <v>0</v>
      </c>
      <c r="J1414" t="n">
        <v>0</v>
      </c>
      <c r="K1414" t="n">
        <v>0</v>
      </c>
      <c r="L1414" t="n">
        <v>0</v>
      </c>
      <c r="M1414" t="n">
        <v>0</v>
      </c>
      <c r="N1414" t="n">
        <v>0</v>
      </c>
      <c r="O1414" t="n">
        <v>0</v>
      </c>
      <c r="P1414" t="n">
        <v>0</v>
      </c>
      <c r="Q1414" t="n">
        <v>0</v>
      </c>
      <c r="R1414" s="2" t="inlineStr"/>
    </row>
    <row r="1415" ht="15" customHeight="1">
      <c r="A1415" t="inlineStr">
        <is>
          <t>A 61955-2024</t>
        </is>
      </c>
      <c r="B1415" s="1" t="n">
        <v>45653</v>
      </c>
      <c r="C1415" s="1" t="n">
        <v>45849</v>
      </c>
      <c r="D1415" t="inlineStr">
        <is>
          <t>NORRBOTTENS LÄN</t>
        </is>
      </c>
      <c r="E1415" t="inlineStr">
        <is>
          <t>BODEN</t>
        </is>
      </c>
      <c r="G1415" t="n">
        <v>16.8</v>
      </c>
      <c r="H1415" t="n">
        <v>0</v>
      </c>
      <c r="I1415" t="n">
        <v>0</v>
      </c>
      <c r="J1415" t="n">
        <v>0</v>
      </c>
      <c r="K1415" t="n">
        <v>0</v>
      </c>
      <c r="L1415" t="n">
        <v>0</v>
      </c>
      <c r="M1415" t="n">
        <v>0</v>
      </c>
      <c r="N1415" t="n">
        <v>0</v>
      </c>
      <c r="O1415" t="n">
        <v>0</v>
      </c>
      <c r="P1415" t="n">
        <v>0</v>
      </c>
      <c r="Q1415" t="n">
        <v>0</v>
      </c>
      <c r="R1415" s="2" t="inlineStr"/>
    </row>
    <row r="1416" ht="15" customHeight="1">
      <c r="A1416" t="inlineStr">
        <is>
          <t>A 436-2025</t>
        </is>
      </c>
      <c r="B1416" s="1" t="n">
        <v>45659</v>
      </c>
      <c r="C1416" s="1" t="n">
        <v>45849</v>
      </c>
      <c r="D1416" t="inlineStr">
        <is>
          <t>NORRBOTTENS LÄN</t>
        </is>
      </c>
      <c r="E1416" t="inlineStr">
        <is>
          <t>BODEN</t>
        </is>
      </c>
      <c r="G1416" t="n">
        <v>15.8</v>
      </c>
      <c r="H1416" t="n">
        <v>0</v>
      </c>
      <c r="I1416" t="n">
        <v>0</v>
      </c>
      <c r="J1416" t="n">
        <v>0</v>
      </c>
      <c r="K1416" t="n">
        <v>0</v>
      </c>
      <c r="L1416" t="n">
        <v>0</v>
      </c>
      <c r="M1416" t="n">
        <v>0</v>
      </c>
      <c r="N1416" t="n">
        <v>0</v>
      </c>
      <c r="O1416" t="n">
        <v>0</v>
      </c>
      <c r="P1416" t="n">
        <v>0</v>
      </c>
      <c r="Q1416" t="n">
        <v>0</v>
      </c>
      <c r="R1416" s="2" t="inlineStr"/>
    </row>
    <row r="1417" ht="15" customHeight="1">
      <c r="A1417" t="inlineStr">
        <is>
          <t>A 1805-2025</t>
        </is>
      </c>
      <c r="B1417" s="1" t="n">
        <v>45659</v>
      </c>
      <c r="C1417" s="1" t="n">
        <v>45849</v>
      </c>
      <c r="D1417" t="inlineStr">
        <is>
          <t>NORRBOTTENS LÄN</t>
        </is>
      </c>
      <c r="E1417" t="inlineStr">
        <is>
          <t>BODEN</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434-2025</t>
        </is>
      </c>
      <c r="B1418" s="1" t="n">
        <v>45664</v>
      </c>
      <c r="C1418" s="1" t="n">
        <v>45849</v>
      </c>
      <c r="D1418" t="inlineStr">
        <is>
          <t>NORRBOTTENS LÄN</t>
        </is>
      </c>
      <c r="E1418" t="inlineStr">
        <is>
          <t>BODEN</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785-2025</t>
        </is>
      </c>
      <c r="B1419" s="1" t="n">
        <v>45665</v>
      </c>
      <c r="C1419" s="1" t="n">
        <v>45849</v>
      </c>
      <c r="D1419" t="inlineStr">
        <is>
          <t>NORRBOTTENS LÄN</t>
        </is>
      </c>
      <c r="E1419" t="inlineStr">
        <is>
          <t>BODEN</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1130-2025</t>
        </is>
      </c>
      <c r="B1420" s="1" t="n">
        <v>45666</v>
      </c>
      <c r="C1420" s="1" t="n">
        <v>45849</v>
      </c>
      <c r="D1420" t="inlineStr">
        <is>
          <t>NORRBOTTENS LÄN</t>
        </is>
      </c>
      <c r="E1420" t="inlineStr">
        <is>
          <t>BODEN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1195-2025</t>
        </is>
      </c>
      <c r="B1421" s="1" t="n">
        <v>45667</v>
      </c>
      <c r="C1421" s="1" t="n">
        <v>45849</v>
      </c>
      <c r="D1421" t="inlineStr">
        <is>
          <t>NORRBOTTENS LÄN</t>
        </is>
      </c>
      <c r="E1421" t="inlineStr">
        <is>
          <t>BODEN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1192-2025</t>
        </is>
      </c>
      <c r="B1422" s="1" t="n">
        <v>45667</v>
      </c>
      <c r="C1422" s="1" t="n">
        <v>45849</v>
      </c>
      <c r="D1422" t="inlineStr">
        <is>
          <t>NORRBOTTENS LÄN</t>
        </is>
      </c>
      <c r="E1422" t="inlineStr">
        <is>
          <t>BODEN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1205-2025</t>
        </is>
      </c>
      <c r="B1423" s="1" t="n">
        <v>45667</v>
      </c>
      <c r="C1423" s="1" t="n">
        <v>45849</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1962-2025</t>
        </is>
      </c>
      <c r="B1424" s="1" t="n">
        <v>45672</v>
      </c>
      <c r="C1424" s="1" t="n">
        <v>45849</v>
      </c>
      <c r="D1424" t="inlineStr">
        <is>
          <t>NORRBOTTENS LÄN</t>
        </is>
      </c>
      <c r="E1424" t="inlineStr">
        <is>
          <t>BODEN</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1961-2025</t>
        </is>
      </c>
      <c r="B1425" s="1" t="n">
        <v>45672</v>
      </c>
      <c r="C1425" s="1" t="n">
        <v>45849</v>
      </c>
      <c r="D1425" t="inlineStr">
        <is>
          <t>NORRBOTTENS LÄN</t>
        </is>
      </c>
      <c r="E1425" t="inlineStr">
        <is>
          <t>BODEN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2204-2025</t>
        </is>
      </c>
      <c r="B1426" s="1" t="n">
        <v>45673</v>
      </c>
      <c r="C1426" s="1" t="n">
        <v>45849</v>
      </c>
      <c r="D1426" t="inlineStr">
        <is>
          <t>NORRBOTTENS LÄN</t>
        </is>
      </c>
      <c r="E1426" t="inlineStr">
        <is>
          <t>BODEN</t>
        </is>
      </c>
      <c r="G1426" t="n">
        <v>10.7</v>
      </c>
      <c r="H1426" t="n">
        <v>0</v>
      </c>
      <c r="I1426" t="n">
        <v>0</v>
      </c>
      <c r="J1426" t="n">
        <v>0</v>
      </c>
      <c r="K1426" t="n">
        <v>0</v>
      </c>
      <c r="L1426" t="n">
        <v>0</v>
      </c>
      <c r="M1426" t="n">
        <v>0</v>
      </c>
      <c r="N1426" t="n">
        <v>0</v>
      </c>
      <c r="O1426" t="n">
        <v>0</v>
      </c>
      <c r="P1426" t="n">
        <v>0</v>
      </c>
      <c r="Q1426" t="n">
        <v>0</v>
      </c>
      <c r="R1426" s="2" t="inlineStr"/>
    </row>
    <row r="1427" ht="15" customHeight="1">
      <c r="A1427" t="inlineStr">
        <is>
          <t>A 2552-2025</t>
        </is>
      </c>
      <c r="B1427" s="1" t="n">
        <v>45674</v>
      </c>
      <c r="C1427" s="1" t="n">
        <v>45849</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2601-2025</t>
        </is>
      </c>
      <c r="B1428" s="1" t="n">
        <v>45674</v>
      </c>
      <c r="C1428" s="1" t="n">
        <v>45849</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2547-2025</t>
        </is>
      </c>
      <c r="B1429" s="1" t="n">
        <v>45674</v>
      </c>
      <c r="C1429" s="1" t="n">
        <v>45849</v>
      </c>
      <c r="D1429" t="inlineStr">
        <is>
          <t>NORRBOTTENS LÄN</t>
        </is>
      </c>
      <c r="E1429" t="inlineStr">
        <is>
          <t>BODEN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2732-2025</t>
        </is>
      </c>
      <c r="B1430" s="1" t="n">
        <v>45677</v>
      </c>
      <c r="C1430" s="1" t="n">
        <v>45849</v>
      </c>
      <c r="D1430" t="inlineStr">
        <is>
          <t>NORRBOTTENS LÄN</t>
        </is>
      </c>
      <c r="E1430" t="inlineStr">
        <is>
          <t>BODEN</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3436-2025</t>
        </is>
      </c>
      <c r="B1431" s="1" t="n">
        <v>45680</v>
      </c>
      <c r="C1431" s="1" t="n">
        <v>45849</v>
      </c>
      <c r="D1431" t="inlineStr">
        <is>
          <t>NORRBOTTENS LÄN</t>
        </is>
      </c>
      <c r="E1431" t="inlineStr">
        <is>
          <t>BODEN</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3459-2025</t>
        </is>
      </c>
      <c r="B1432" s="1" t="n">
        <v>45680</v>
      </c>
      <c r="C1432" s="1" t="n">
        <v>45849</v>
      </c>
      <c r="D1432" t="inlineStr">
        <is>
          <t>NORRBOTTENS LÄN</t>
        </is>
      </c>
      <c r="E1432" t="inlineStr">
        <is>
          <t>BODEN</t>
        </is>
      </c>
      <c r="F1432" t="inlineStr">
        <is>
          <t>Naturvårdsverket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3438-2025</t>
        </is>
      </c>
      <c r="B1433" s="1" t="n">
        <v>45680</v>
      </c>
      <c r="C1433" s="1" t="n">
        <v>45849</v>
      </c>
      <c r="D1433" t="inlineStr">
        <is>
          <t>NORRBOTTENS LÄN</t>
        </is>
      </c>
      <c r="E1433" t="inlineStr">
        <is>
          <t>BODEN</t>
        </is>
      </c>
      <c r="F1433" t="inlineStr">
        <is>
          <t>Naturvårdsverket</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3833-2025</t>
        </is>
      </c>
      <c r="B1434" s="1" t="n">
        <v>45682</v>
      </c>
      <c r="C1434" s="1" t="n">
        <v>45849</v>
      </c>
      <c r="D1434" t="inlineStr">
        <is>
          <t>NORRBOTTENS LÄN</t>
        </is>
      </c>
      <c r="E1434" t="inlineStr">
        <is>
          <t>BODEN</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3922-2025</t>
        </is>
      </c>
      <c r="B1435" s="1" t="n">
        <v>45684</v>
      </c>
      <c r="C1435" s="1" t="n">
        <v>45849</v>
      </c>
      <c r="D1435" t="inlineStr">
        <is>
          <t>NORRBOTTENS LÄN</t>
        </is>
      </c>
      <c r="E1435" t="inlineStr">
        <is>
          <t>BODEN</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4254-2025</t>
        </is>
      </c>
      <c r="B1436" s="1" t="n">
        <v>45685</v>
      </c>
      <c r="C1436" s="1" t="n">
        <v>45849</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4263-2025</t>
        </is>
      </c>
      <c r="B1437" s="1" t="n">
        <v>45685</v>
      </c>
      <c r="C1437" s="1" t="n">
        <v>45849</v>
      </c>
      <c r="D1437" t="inlineStr">
        <is>
          <t>NORRBOTTENS LÄN</t>
        </is>
      </c>
      <c r="E1437" t="inlineStr">
        <is>
          <t>BODEN</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4395-2025</t>
        </is>
      </c>
      <c r="B1438" s="1" t="n">
        <v>45686</v>
      </c>
      <c r="C1438" s="1" t="n">
        <v>45849</v>
      </c>
      <c r="D1438" t="inlineStr">
        <is>
          <t>NORRBOTTENS LÄN</t>
        </is>
      </c>
      <c r="E1438" t="inlineStr">
        <is>
          <t>BODEN</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4396-2025</t>
        </is>
      </c>
      <c r="B1439" s="1" t="n">
        <v>45686</v>
      </c>
      <c r="C1439" s="1" t="n">
        <v>45849</v>
      </c>
      <c r="D1439" t="inlineStr">
        <is>
          <t>NORRBOTTENS LÄN</t>
        </is>
      </c>
      <c r="E1439" t="inlineStr">
        <is>
          <t>BODEN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4394-2025</t>
        </is>
      </c>
      <c r="B1440" s="1" t="n">
        <v>45686</v>
      </c>
      <c r="C1440" s="1" t="n">
        <v>45849</v>
      </c>
      <c r="D1440" t="inlineStr">
        <is>
          <t>NORRBOTTENS LÄN</t>
        </is>
      </c>
      <c r="E1440" t="inlineStr">
        <is>
          <t>BODEN</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4630-2025</t>
        </is>
      </c>
      <c r="B1441" s="1" t="n">
        <v>45687</v>
      </c>
      <c r="C1441" s="1" t="n">
        <v>45849</v>
      </c>
      <c r="D1441" t="inlineStr">
        <is>
          <t>NORRBOTTENS LÄN</t>
        </is>
      </c>
      <c r="E1441" t="inlineStr">
        <is>
          <t>BODEN</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5129-2025</t>
        </is>
      </c>
      <c r="B1442" s="1" t="n">
        <v>45691</v>
      </c>
      <c r="C1442" s="1" t="n">
        <v>45849</v>
      </c>
      <c r="D1442" t="inlineStr">
        <is>
          <t>NORRBOTTENS LÄN</t>
        </is>
      </c>
      <c r="E1442" t="inlineStr">
        <is>
          <t>BODEN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5071-2025</t>
        </is>
      </c>
      <c r="B1443" s="1" t="n">
        <v>45691</v>
      </c>
      <c r="C1443" s="1" t="n">
        <v>45849</v>
      </c>
      <c r="D1443" t="inlineStr">
        <is>
          <t>NORRBOTTENS LÄN</t>
        </is>
      </c>
      <c r="E1443" t="inlineStr">
        <is>
          <t>BODEN</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5451-2025</t>
        </is>
      </c>
      <c r="B1444" s="1" t="n">
        <v>45692</v>
      </c>
      <c r="C1444" s="1" t="n">
        <v>45849</v>
      </c>
      <c r="D1444" t="inlineStr">
        <is>
          <t>NORRBOTTENS LÄN</t>
        </is>
      </c>
      <c r="E1444" t="inlineStr">
        <is>
          <t>BODEN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5452-2025</t>
        </is>
      </c>
      <c r="B1445" s="1" t="n">
        <v>45692</v>
      </c>
      <c r="C1445" s="1" t="n">
        <v>45849</v>
      </c>
      <c r="D1445" t="inlineStr">
        <is>
          <t>NORRBOTTENS LÄN</t>
        </is>
      </c>
      <c r="E1445" t="inlineStr">
        <is>
          <t>BODEN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5792-2025</t>
        </is>
      </c>
      <c r="B1446" s="1" t="n">
        <v>45694</v>
      </c>
      <c r="C1446" s="1" t="n">
        <v>45849</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5285-2025</t>
        </is>
      </c>
      <c r="B1447" s="1" t="n">
        <v>45694</v>
      </c>
      <c r="C1447" s="1" t="n">
        <v>45849</v>
      </c>
      <c r="D1447" t="inlineStr">
        <is>
          <t>NORRBOTTENS LÄN</t>
        </is>
      </c>
      <c r="E1447" t="inlineStr">
        <is>
          <t>BODEN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6084-2025</t>
        </is>
      </c>
      <c r="B1448" s="1" t="n">
        <v>45697</v>
      </c>
      <c r="C1448" s="1" t="n">
        <v>45849</v>
      </c>
      <c r="D1448" t="inlineStr">
        <is>
          <t>NORRBOTTENS LÄN</t>
        </is>
      </c>
      <c r="E1448" t="inlineStr">
        <is>
          <t>BODEN</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6119-2025</t>
        </is>
      </c>
      <c r="B1449" s="1" t="n">
        <v>45698</v>
      </c>
      <c r="C1449" s="1" t="n">
        <v>45849</v>
      </c>
      <c r="D1449" t="inlineStr">
        <is>
          <t>NORRBOTTENS LÄN</t>
        </is>
      </c>
      <c r="E1449" t="inlineStr">
        <is>
          <t>BODEN</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7283-2025</t>
        </is>
      </c>
      <c r="B1450" s="1" t="n">
        <v>45702</v>
      </c>
      <c r="C1450" s="1" t="n">
        <v>45849</v>
      </c>
      <c r="D1450" t="inlineStr">
        <is>
          <t>NORRBOTTENS LÄN</t>
        </is>
      </c>
      <c r="E1450" t="inlineStr">
        <is>
          <t>BODEN</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7525-2025</t>
        </is>
      </c>
      <c r="B1451" s="1" t="n">
        <v>45704</v>
      </c>
      <c r="C1451" s="1" t="n">
        <v>45849</v>
      </c>
      <c r="D1451" t="inlineStr">
        <is>
          <t>NORRBOTTENS LÄN</t>
        </is>
      </c>
      <c r="E1451" t="inlineStr">
        <is>
          <t>BODEN</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8016-2025</t>
        </is>
      </c>
      <c r="B1452" s="1" t="n">
        <v>45707</v>
      </c>
      <c r="C1452" s="1" t="n">
        <v>45849</v>
      </c>
      <c r="D1452" t="inlineStr">
        <is>
          <t>NORRBOTTENS LÄN</t>
        </is>
      </c>
      <c r="E1452" t="inlineStr">
        <is>
          <t>BODEN</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8008-2025</t>
        </is>
      </c>
      <c r="B1453" s="1" t="n">
        <v>45707</v>
      </c>
      <c r="C1453" s="1" t="n">
        <v>45849</v>
      </c>
      <c r="D1453" t="inlineStr">
        <is>
          <t>NORRBOTTENS LÄN</t>
        </is>
      </c>
      <c r="E1453" t="inlineStr">
        <is>
          <t>BODEN</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8170-2025</t>
        </is>
      </c>
      <c r="B1454" s="1" t="n">
        <v>45708</v>
      </c>
      <c r="C1454" s="1" t="n">
        <v>45849</v>
      </c>
      <c r="D1454" t="inlineStr">
        <is>
          <t>NORRBOTTENS LÄN</t>
        </is>
      </c>
      <c r="E1454" t="inlineStr">
        <is>
          <t>BODEN</t>
        </is>
      </c>
      <c r="F1454" t="inlineStr">
        <is>
          <t>Övriga Aktiebolag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8150-2025</t>
        </is>
      </c>
      <c r="B1455" s="1" t="n">
        <v>45708</v>
      </c>
      <c r="C1455" s="1" t="n">
        <v>45849</v>
      </c>
      <c r="D1455" t="inlineStr">
        <is>
          <t>NORRBOTTENS LÄN</t>
        </is>
      </c>
      <c r="E1455" t="inlineStr">
        <is>
          <t>BODEN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8571-2025</t>
        </is>
      </c>
      <c r="B1456" s="1" t="n">
        <v>45709</v>
      </c>
      <c r="C1456" s="1" t="n">
        <v>45849</v>
      </c>
      <c r="D1456" t="inlineStr">
        <is>
          <t>NORRBOTTENS LÄN</t>
        </is>
      </c>
      <c r="E1456" t="inlineStr">
        <is>
          <t>BODEN</t>
        </is>
      </c>
      <c r="F1456" t="inlineStr">
        <is>
          <t>Övriga Aktiebolag</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8384-2025</t>
        </is>
      </c>
      <c r="B1457" s="1" t="n">
        <v>45709</v>
      </c>
      <c r="C1457" s="1" t="n">
        <v>45849</v>
      </c>
      <c r="D1457" t="inlineStr">
        <is>
          <t>NORRBOTTENS LÄN</t>
        </is>
      </c>
      <c r="E1457" t="inlineStr">
        <is>
          <t>BODEN</t>
        </is>
      </c>
      <c r="F1457" t="inlineStr">
        <is>
          <t>SCA</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8932-2025</t>
        </is>
      </c>
      <c r="B1458" s="1" t="n">
        <v>45712</v>
      </c>
      <c r="C1458" s="1" t="n">
        <v>45849</v>
      </c>
      <c r="D1458" t="inlineStr">
        <is>
          <t>NORRBOTTENS LÄN</t>
        </is>
      </c>
      <c r="E1458" t="inlineStr">
        <is>
          <t>BODEN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9314-2025</t>
        </is>
      </c>
      <c r="B1459" s="1" t="n">
        <v>45714</v>
      </c>
      <c r="C1459" s="1" t="n">
        <v>45849</v>
      </c>
      <c r="D1459" t="inlineStr">
        <is>
          <t>NORRBOTTENS LÄN</t>
        </is>
      </c>
      <c r="E1459" t="inlineStr">
        <is>
          <t>BODEN</t>
        </is>
      </c>
      <c r="F1459" t="inlineStr">
        <is>
          <t>SCA</t>
        </is>
      </c>
      <c r="G1459" t="n">
        <v>30</v>
      </c>
      <c r="H1459" t="n">
        <v>0</v>
      </c>
      <c r="I1459" t="n">
        <v>0</v>
      </c>
      <c r="J1459" t="n">
        <v>0</v>
      </c>
      <c r="K1459" t="n">
        <v>0</v>
      </c>
      <c r="L1459" t="n">
        <v>0</v>
      </c>
      <c r="M1459" t="n">
        <v>0</v>
      </c>
      <c r="N1459" t="n">
        <v>0</v>
      </c>
      <c r="O1459" t="n">
        <v>0</v>
      </c>
      <c r="P1459" t="n">
        <v>0</v>
      </c>
      <c r="Q1459" t="n">
        <v>0</v>
      </c>
      <c r="R1459" s="2" t="inlineStr"/>
    </row>
    <row r="1460" ht="15" customHeight="1">
      <c r="A1460" t="inlineStr">
        <is>
          <t>A 9384-2025</t>
        </is>
      </c>
      <c r="B1460" s="1" t="n">
        <v>45715</v>
      </c>
      <c r="C1460" s="1" t="n">
        <v>45849</v>
      </c>
      <c r="D1460" t="inlineStr">
        <is>
          <t>NORRBOTTENS LÄN</t>
        </is>
      </c>
      <c r="E1460" t="inlineStr">
        <is>
          <t>BODEN</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9897-2025</t>
        </is>
      </c>
      <c r="B1461" s="1" t="n">
        <v>45716</v>
      </c>
      <c r="C1461" s="1" t="n">
        <v>45849</v>
      </c>
      <c r="D1461" t="inlineStr">
        <is>
          <t>NORRBOTTENS LÄN</t>
        </is>
      </c>
      <c r="E1461" t="inlineStr">
        <is>
          <t>BODEN</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9940-2025</t>
        </is>
      </c>
      <c r="B1462" s="1" t="n">
        <v>45718</v>
      </c>
      <c r="C1462" s="1" t="n">
        <v>45849</v>
      </c>
      <c r="D1462" t="inlineStr">
        <is>
          <t>NORRBOTTENS LÄN</t>
        </is>
      </c>
      <c r="E1462" t="inlineStr">
        <is>
          <t>BODEN</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10727-2025</t>
        </is>
      </c>
      <c r="B1463" s="1" t="n">
        <v>45722</v>
      </c>
      <c r="C1463" s="1" t="n">
        <v>45849</v>
      </c>
      <c r="D1463" t="inlineStr">
        <is>
          <t>NORRBOTTENS LÄN</t>
        </is>
      </c>
      <c r="E1463" t="inlineStr">
        <is>
          <t>BODEN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11158-2025</t>
        </is>
      </c>
      <c r="B1464" s="1" t="n">
        <v>45723</v>
      </c>
      <c r="C1464" s="1" t="n">
        <v>45849</v>
      </c>
      <c r="D1464" t="inlineStr">
        <is>
          <t>NORRBOTTENS LÄN</t>
        </is>
      </c>
      <c r="E1464" t="inlineStr">
        <is>
          <t>BODEN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11159-2025</t>
        </is>
      </c>
      <c r="B1465" s="1" t="n">
        <v>45723</v>
      </c>
      <c r="C1465" s="1" t="n">
        <v>45849</v>
      </c>
      <c r="D1465" t="inlineStr">
        <is>
          <t>NORRBOTTENS LÄN</t>
        </is>
      </c>
      <c r="E1465" t="inlineStr">
        <is>
          <t>BODEN</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11865-2025</t>
        </is>
      </c>
      <c r="B1466" s="1" t="n">
        <v>45728</v>
      </c>
      <c r="C1466" s="1" t="n">
        <v>45849</v>
      </c>
      <c r="D1466" t="inlineStr">
        <is>
          <t>NORRBOTTENS LÄN</t>
        </is>
      </c>
      <c r="E1466" t="inlineStr">
        <is>
          <t>BODEN</t>
        </is>
      </c>
      <c r="F1466" t="inlineStr">
        <is>
          <t>Övriga Aktiebolag</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12498-2025</t>
        </is>
      </c>
      <c r="B1467" s="1" t="n">
        <v>45730</v>
      </c>
      <c r="C1467" s="1" t="n">
        <v>45849</v>
      </c>
      <c r="D1467" t="inlineStr">
        <is>
          <t>NORRBOTTENS LÄN</t>
        </is>
      </c>
      <c r="E1467" t="inlineStr">
        <is>
          <t>BODEN</t>
        </is>
      </c>
      <c r="G1467" t="n">
        <v>33.3</v>
      </c>
      <c r="H1467" t="n">
        <v>0</v>
      </c>
      <c r="I1467" t="n">
        <v>0</v>
      </c>
      <c r="J1467" t="n">
        <v>0</v>
      </c>
      <c r="K1467" t="n">
        <v>0</v>
      </c>
      <c r="L1467" t="n">
        <v>0</v>
      </c>
      <c r="M1467" t="n">
        <v>0</v>
      </c>
      <c r="N1467" t="n">
        <v>0</v>
      </c>
      <c r="O1467" t="n">
        <v>0</v>
      </c>
      <c r="P1467" t="n">
        <v>0</v>
      </c>
      <c r="Q1467" t="n">
        <v>0</v>
      </c>
      <c r="R1467" s="2" t="inlineStr"/>
    </row>
    <row r="1468" ht="15" customHeight="1">
      <c r="A1468" t="inlineStr">
        <is>
          <t>A 12612-2025</t>
        </is>
      </c>
      <c r="B1468" s="1" t="n">
        <v>45732</v>
      </c>
      <c r="C1468" s="1" t="n">
        <v>45849</v>
      </c>
      <c r="D1468" t="inlineStr">
        <is>
          <t>NORRBOTTENS LÄN</t>
        </is>
      </c>
      <c r="E1468" t="inlineStr">
        <is>
          <t>BODEN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15157-2025</t>
        </is>
      </c>
      <c r="B1469" s="1" t="n">
        <v>45744</v>
      </c>
      <c r="C1469" s="1" t="n">
        <v>45849</v>
      </c>
      <c r="D1469" t="inlineStr">
        <is>
          <t>NORRBOTTENS LÄN</t>
        </is>
      </c>
      <c r="E1469" t="inlineStr">
        <is>
          <t>BODEN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15483-2025</t>
        </is>
      </c>
      <c r="B1470" s="1" t="n">
        <v>45747</v>
      </c>
      <c r="C1470" s="1" t="n">
        <v>45849</v>
      </c>
      <c r="D1470" t="inlineStr">
        <is>
          <t>NORRBOTTENS LÄN</t>
        </is>
      </c>
      <c r="E1470" t="inlineStr">
        <is>
          <t>BODEN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15485-2025</t>
        </is>
      </c>
      <c r="B1471" s="1" t="n">
        <v>45747</v>
      </c>
      <c r="C1471" s="1" t="n">
        <v>45849</v>
      </c>
      <c r="D1471" t="inlineStr">
        <is>
          <t>NORRBOTTENS LÄN</t>
        </is>
      </c>
      <c r="E1471" t="inlineStr">
        <is>
          <t>BODEN</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15486-2025</t>
        </is>
      </c>
      <c r="B1472" s="1" t="n">
        <v>45747</v>
      </c>
      <c r="C1472" s="1" t="n">
        <v>45849</v>
      </c>
      <c r="D1472" t="inlineStr">
        <is>
          <t>NORRBOTTENS LÄN</t>
        </is>
      </c>
      <c r="E1472" t="inlineStr">
        <is>
          <t>BODEN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16020-2025</t>
        </is>
      </c>
      <c r="B1473" s="1" t="n">
        <v>45748</v>
      </c>
      <c r="C1473" s="1" t="n">
        <v>45849</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16028-2025</t>
        </is>
      </c>
      <c r="B1474" s="1" t="n">
        <v>45748</v>
      </c>
      <c r="C1474" s="1" t="n">
        <v>45849</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16189-2025</t>
        </is>
      </c>
      <c r="B1475" s="1" t="n">
        <v>45749</v>
      </c>
      <c r="C1475" s="1" t="n">
        <v>45849</v>
      </c>
      <c r="D1475" t="inlineStr">
        <is>
          <t>NORRBOTTENS LÄN</t>
        </is>
      </c>
      <c r="E1475" t="inlineStr">
        <is>
          <t>BODEN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16180-2025</t>
        </is>
      </c>
      <c r="B1476" s="1" t="n">
        <v>45750</v>
      </c>
      <c r="C1476" s="1" t="n">
        <v>45849</v>
      </c>
      <c r="D1476" t="inlineStr">
        <is>
          <t>NORRBOTTENS LÄN</t>
        </is>
      </c>
      <c r="E1476" t="inlineStr">
        <is>
          <t>BODEN</t>
        </is>
      </c>
      <c r="F1476" t="inlineStr">
        <is>
          <t>Övriga Aktiebolag</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16581-2025</t>
        </is>
      </c>
      <c r="B1477" s="1" t="n">
        <v>45752</v>
      </c>
      <c r="C1477" s="1" t="n">
        <v>45849</v>
      </c>
      <c r="D1477" t="inlineStr">
        <is>
          <t>NORRBOTTENS LÄN</t>
        </is>
      </c>
      <c r="E1477" t="inlineStr">
        <is>
          <t>BODEN</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17566-2025</t>
        </is>
      </c>
      <c r="B1478" s="1" t="n">
        <v>45757</v>
      </c>
      <c r="C1478" s="1" t="n">
        <v>45849</v>
      </c>
      <c r="D1478" t="inlineStr">
        <is>
          <t>NORRBOTTENS LÄN</t>
        </is>
      </c>
      <c r="E1478" t="inlineStr">
        <is>
          <t>BODEN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17839-2025</t>
        </is>
      </c>
      <c r="B1479" s="1" t="n">
        <v>45758</v>
      </c>
      <c r="C1479" s="1" t="n">
        <v>45849</v>
      </c>
      <c r="D1479" t="inlineStr">
        <is>
          <t>NORRBOTTENS LÄN</t>
        </is>
      </c>
      <c r="E1479" t="inlineStr">
        <is>
          <t>BODEN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18002-2025</t>
        </is>
      </c>
      <c r="B1480" s="1" t="n">
        <v>45761</v>
      </c>
      <c r="C1480" s="1" t="n">
        <v>45849</v>
      </c>
      <c r="D1480" t="inlineStr">
        <is>
          <t>NORRBOTTENS LÄN</t>
        </is>
      </c>
      <c r="E1480" t="inlineStr">
        <is>
          <t>BODEN</t>
        </is>
      </c>
      <c r="F1480" t="inlineStr">
        <is>
          <t>Övriga statliga verk och myndigheter</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18147-2025</t>
        </is>
      </c>
      <c r="B1481" s="1" t="n">
        <v>45761</v>
      </c>
      <c r="C1481" s="1" t="n">
        <v>45849</v>
      </c>
      <c r="D1481" t="inlineStr">
        <is>
          <t>NORRBOTTENS LÄN</t>
        </is>
      </c>
      <c r="E1481" t="inlineStr">
        <is>
          <t>BODEN</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18145-2025</t>
        </is>
      </c>
      <c r="B1482" s="1" t="n">
        <v>45761</v>
      </c>
      <c r="C1482" s="1" t="n">
        <v>45849</v>
      </c>
      <c r="D1482" t="inlineStr">
        <is>
          <t>NORRBOTTENS LÄN</t>
        </is>
      </c>
      <c r="E1482" t="inlineStr">
        <is>
          <t>BODEN</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18173-2025</t>
        </is>
      </c>
      <c r="B1483" s="1" t="n">
        <v>45761</v>
      </c>
      <c r="C1483" s="1" t="n">
        <v>45849</v>
      </c>
      <c r="D1483" t="inlineStr">
        <is>
          <t>NORRBOTTENS LÄN</t>
        </is>
      </c>
      <c r="E1483" t="inlineStr">
        <is>
          <t>BODEN</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18436-2025</t>
        </is>
      </c>
      <c r="B1484" s="1" t="n">
        <v>45762</v>
      </c>
      <c r="C1484" s="1" t="n">
        <v>45849</v>
      </c>
      <c r="D1484" t="inlineStr">
        <is>
          <t>NORRBOTTENS LÄN</t>
        </is>
      </c>
      <c r="E1484" t="inlineStr">
        <is>
          <t>BODEN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18428-2025</t>
        </is>
      </c>
      <c r="B1485" s="1" t="n">
        <v>45762</v>
      </c>
      <c r="C1485" s="1" t="n">
        <v>45849</v>
      </c>
      <c r="D1485" t="inlineStr">
        <is>
          <t>NORRBOTTENS LÄN</t>
        </is>
      </c>
      <c r="E1485" t="inlineStr">
        <is>
          <t>BODEN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18672-2025</t>
        </is>
      </c>
      <c r="B1486" s="1" t="n">
        <v>45763</v>
      </c>
      <c r="C1486" s="1" t="n">
        <v>45849</v>
      </c>
      <c r="D1486" t="inlineStr">
        <is>
          <t>NORRBOTTENS LÄN</t>
        </is>
      </c>
      <c r="E1486" t="inlineStr">
        <is>
          <t>BODEN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18673-2025</t>
        </is>
      </c>
      <c r="B1487" s="1" t="n">
        <v>45763</v>
      </c>
      <c r="C1487" s="1" t="n">
        <v>45849</v>
      </c>
      <c r="D1487" t="inlineStr">
        <is>
          <t>NORRBOTTENS LÄN</t>
        </is>
      </c>
      <c r="E1487" t="inlineStr">
        <is>
          <t>BODEN</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18679-2025</t>
        </is>
      </c>
      <c r="B1488" s="1" t="n">
        <v>45763</v>
      </c>
      <c r="C1488" s="1" t="n">
        <v>45849</v>
      </c>
      <c r="D1488" t="inlineStr">
        <is>
          <t>NORRBOTTENS LÄN</t>
        </is>
      </c>
      <c r="E1488" t="inlineStr">
        <is>
          <t>BODEN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18671-2025</t>
        </is>
      </c>
      <c r="B1489" s="1" t="n">
        <v>45763</v>
      </c>
      <c r="C1489" s="1" t="n">
        <v>45849</v>
      </c>
      <c r="D1489" t="inlineStr">
        <is>
          <t>NORRBOTTENS LÄN</t>
        </is>
      </c>
      <c r="E1489" t="inlineStr">
        <is>
          <t>BODEN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18900-2025</t>
        </is>
      </c>
      <c r="B1490" s="1" t="n">
        <v>45764</v>
      </c>
      <c r="C1490" s="1" t="n">
        <v>45849</v>
      </c>
      <c r="D1490" t="inlineStr">
        <is>
          <t>NORRBOTTENS LÄN</t>
        </is>
      </c>
      <c r="E1490" t="inlineStr">
        <is>
          <t>BODEN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18871-2025</t>
        </is>
      </c>
      <c r="B1491" s="1" t="n">
        <v>45764</v>
      </c>
      <c r="C1491" s="1" t="n">
        <v>45849</v>
      </c>
      <c r="D1491" t="inlineStr">
        <is>
          <t>NORRBOTTENS LÄN</t>
        </is>
      </c>
      <c r="E1491" t="inlineStr">
        <is>
          <t>BODEN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18866-2025</t>
        </is>
      </c>
      <c r="B1492" s="1" t="n">
        <v>45764</v>
      </c>
      <c r="C1492" s="1" t="n">
        <v>45849</v>
      </c>
      <c r="D1492" t="inlineStr">
        <is>
          <t>NORRBOTTENS LÄN</t>
        </is>
      </c>
      <c r="E1492" t="inlineStr">
        <is>
          <t>BODEN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18890-2025</t>
        </is>
      </c>
      <c r="B1493" s="1" t="n">
        <v>45764</v>
      </c>
      <c r="C1493" s="1" t="n">
        <v>45849</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18901-2025</t>
        </is>
      </c>
      <c r="B1494" s="1" t="n">
        <v>45764</v>
      </c>
      <c r="C1494" s="1" t="n">
        <v>45849</v>
      </c>
      <c r="D1494" t="inlineStr">
        <is>
          <t>NORRBOTTENS LÄN</t>
        </is>
      </c>
      <c r="E1494" t="inlineStr">
        <is>
          <t>BODEN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18910-2025</t>
        </is>
      </c>
      <c r="B1495" s="1" t="n">
        <v>45764</v>
      </c>
      <c r="C1495" s="1" t="n">
        <v>45849</v>
      </c>
      <c r="D1495" t="inlineStr">
        <is>
          <t>NORRBOTTENS LÄN</t>
        </is>
      </c>
      <c r="E1495" t="inlineStr">
        <is>
          <t>BODEN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19051-2025</t>
        </is>
      </c>
      <c r="B1496" s="1" t="n">
        <v>45764</v>
      </c>
      <c r="C1496" s="1" t="n">
        <v>45849</v>
      </c>
      <c r="D1496" t="inlineStr">
        <is>
          <t>NORRBOTTENS LÄN</t>
        </is>
      </c>
      <c r="E1496" t="inlineStr">
        <is>
          <t>BODEN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19048-2025</t>
        </is>
      </c>
      <c r="B1497" s="1" t="n">
        <v>45764</v>
      </c>
      <c r="C1497" s="1" t="n">
        <v>45849</v>
      </c>
      <c r="D1497" t="inlineStr">
        <is>
          <t>NORRBOTTENS LÄN</t>
        </is>
      </c>
      <c r="E1497" t="inlineStr">
        <is>
          <t>BODEN</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19050-2025</t>
        </is>
      </c>
      <c r="B1498" s="1" t="n">
        <v>45764</v>
      </c>
      <c r="C1498" s="1" t="n">
        <v>45849</v>
      </c>
      <c r="D1498" t="inlineStr">
        <is>
          <t>NORRBOTTENS LÄN</t>
        </is>
      </c>
      <c r="E1498" t="inlineStr">
        <is>
          <t>BODEN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18915-2025</t>
        </is>
      </c>
      <c r="B1499" s="1" t="n">
        <v>45764</v>
      </c>
      <c r="C1499" s="1" t="n">
        <v>45849</v>
      </c>
      <c r="D1499" t="inlineStr">
        <is>
          <t>NORRBOTTENS LÄN</t>
        </is>
      </c>
      <c r="E1499" t="inlineStr">
        <is>
          <t>BODEN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19080-2025</t>
        </is>
      </c>
      <c r="B1500" s="1" t="n">
        <v>45766</v>
      </c>
      <c r="C1500" s="1" t="n">
        <v>45849</v>
      </c>
      <c r="D1500" t="inlineStr">
        <is>
          <t>NORRBOTTENS LÄN</t>
        </is>
      </c>
      <c r="E1500" t="inlineStr">
        <is>
          <t>BODEN</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19081-2025</t>
        </is>
      </c>
      <c r="B1501" s="1" t="n">
        <v>45766</v>
      </c>
      <c r="C1501" s="1" t="n">
        <v>45849</v>
      </c>
      <c r="D1501" t="inlineStr">
        <is>
          <t>NORRBOTTENS LÄN</t>
        </is>
      </c>
      <c r="E1501" t="inlineStr">
        <is>
          <t>BODEN</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19082-2025</t>
        </is>
      </c>
      <c r="B1502" s="1" t="n">
        <v>45766</v>
      </c>
      <c r="C1502" s="1" t="n">
        <v>45849</v>
      </c>
      <c r="D1502" t="inlineStr">
        <is>
          <t>NORRBOTTENS LÄN</t>
        </is>
      </c>
      <c r="E1502" t="inlineStr">
        <is>
          <t>BODEN</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19291-2025</t>
        </is>
      </c>
      <c r="B1503" s="1" t="n">
        <v>45769</v>
      </c>
      <c r="C1503" s="1" t="n">
        <v>45849</v>
      </c>
      <c r="D1503" t="inlineStr">
        <is>
          <t>NORRBOTTENS LÄN</t>
        </is>
      </c>
      <c r="E1503" t="inlineStr">
        <is>
          <t>BODEN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19257-2025</t>
        </is>
      </c>
      <c r="B1504" s="1" t="n">
        <v>45769</v>
      </c>
      <c r="C1504" s="1" t="n">
        <v>45849</v>
      </c>
      <c r="D1504" t="inlineStr">
        <is>
          <t>NORRBOTTENS LÄN</t>
        </is>
      </c>
      <c r="E1504" t="inlineStr">
        <is>
          <t>BODEN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19284-2025</t>
        </is>
      </c>
      <c r="B1505" s="1" t="n">
        <v>45769</v>
      </c>
      <c r="C1505" s="1" t="n">
        <v>45849</v>
      </c>
      <c r="D1505" t="inlineStr">
        <is>
          <t>NORRBOTTENS LÄN</t>
        </is>
      </c>
      <c r="E1505" t="inlineStr">
        <is>
          <t>BODEN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19623-2025</t>
        </is>
      </c>
      <c r="B1506" s="1" t="n">
        <v>45770</v>
      </c>
      <c r="C1506" s="1" t="n">
        <v>45849</v>
      </c>
      <c r="D1506" t="inlineStr">
        <is>
          <t>NORRBOTTENS LÄN</t>
        </is>
      </c>
      <c r="E1506" t="inlineStr">
        <is>
          <t>BODEN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19584-2025</t>
        </is>
      </c>
      <c r="B1507" s="1" t="n">
        <v>45770</v>
      </c>
      <c r="C1507" s="1" t="n">
        <v>45849</v>
      </c>
      <c r="D1507" t="inlineStr">
        <is>
          <t>NORRBOTTENS LÄN</t>
        </is>
      </c>
      <c r="E1507" t="inlineStr">
        <is>
          <t>BODEN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19571-2025</t>
        </is>
      </c>
      <c r="B1508" s="1" t="n">
        <v>45770</v>
      </c>
      <c r="C1508" s="1" t="n">
        <v>45849</v>
      </c>
      <c r="D1508" t="inlineStr">
        <is>
          <t>NORRBOTTENS LÄN</t>
        </is>
      </c>
      <c r="E1508" t="inlineStr">
        <is>
          <t>BODEN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19582-2025</t>
        </is>
      </c>
      <c r="B1509" s="1" t="n">
        <v>45770</v>
      </c>
      <c r="C1509" s="1" t="n">
        <v>45849</v>
      </c>
      <c r="D1509" t="inlineStr">
        <is>
          <t>NORRBOTTENS LÄN</t>
        </is>
      </c>
      <c r="E1509" t="inlineStr">
        <is>
          <t>BODEN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19624-2025</t>
        </is>
      </c>
      <c r="B1510" s="1" t="n">
        <v>45770</v>
      </c>
      <c r="C1510" s="1" t="n">
        <v>45849</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19647-2025</t>
        </is>
      </c>
      <c r="B1511" s="1" t="n">
        <v>45770</v>
      </c>
      <c r="C1511" s="1" t="n">
        <v>45849</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19757-2025</t>
        </is>
      </c>
      <c r="B1512" s="1" t="n">
        <v>45770</v>
      </c>
      <c r="C1512" s="1" t="n">
        <v>45849</v>
      </c>
      <c r="D1512" t="inlineStr">
        <is>
          <t>NORRBOTTENS LÄN</t>
        </is>
      </c>
      <c r="E1512" t="inlineStr">
        <is>
          <t>BODEN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19641-2025</t>
        </is>
      </c>
      <c r="B1513" s="1" t="n">
        <v>45770</v>
      </c>
      <c r="C1513" s="1" t="n">
        <v>45849</v>
      </c>
      <c r="D1513" t="inlineStr">
        <is>
          <t>NORRBOTTENS LÄN</t>
        </is>
      </c>
      <c r="E1513" t="inlineStr">
        <is>
          <t>BODEN</t>
        </is>
      </c>
      <c r="F1513" t="inlineStr">
        <is>
          <t>Sveaskog</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19698-2025</t>
        </is>
      </c>
      <c r="B1514" s="1" t="n">
        <v>45770</v>
      </c>
      <c r="C1514" s="1" t="n">
        <v>45849</v>
      </c>
      <c r="D1514" t="inlineStr">
        <is>
          <t>NORRBOTTENS LÄN</t>
        </is>
      </c>
      <c r="E1514" t="inlineStr">
        <is>
          <t>BODEN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19590-2025</t>
        </is>
      </c>
      <c r="B1515" s="1" t="n">
        <v>45770</v>
      </c>
      <c r="C1515" s="1" t="n">
        <v>45849</v>
      </c>
      <c r="D1515" t="inlineStr">
        <is>
          <t>NORRBOTTENS LÄN</t>
        </is>
      </c>
      <c r="E1515" t="inlineStr">
        <is>
          <t>BODEN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19968-2025</t>
        </is>
      </c>
      <c r="B1516" s="1" t="n">
        <v>45771</v>
      </c>
      <c r="C1516" s="1" t="n">
        <v>45849</v>
      </c>
      <c r="D1516" t="inlineStr">
        <is>
          <t>NORRBOTTENS LÄN</t>
        </is>
      </c>
      <c r="E1516" t="inlineStr">
        <is>
          <t>BODEN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19952-2025</t>
        </is>
      </c>
      <c r="B1517" s="1" t="n">
        <v>45771</v>
      </c>
      <c r="C1517" s="1" t="n">
        <v>45849</v>
      </c>
      <c r="D1517" t="inlineStr">
        <is>
          <t>NORRBOTTENS LÄN</t>
        </is>
      </c>
      <c r="E1517" t="inlineStr">
        <is>
          <t>BODEN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20041-2025</t>
        </is>
      </c>
      <c r="B1518" s="1" t="n">
        <v>45772</v>
      </c>
      <c r="C1518" s="1" t="n">
        <v>45849</v>
      </c>
      <c r="D1518" t="inlineStr">
        <is>
          <t>NORRBOTTENS LÄN</t>
        </is>
      </c>
      <c r="E1518" t="inlineStr">
        <is>
          <t>BODEN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20038-2025</t>
        </is>
      </c>
      <c r="B1519" s="1" t="n">
        <v>45772</v>
      </c>
      <c r="C1519" s="1" t="n">
        <v>45849</v>
      </c>
      <c r="D1519" t="inlineStr">
        <is>
          <t>NORRBOTTENS LÄN</t>
        </is>
      </c>
      <c r="E1519" t="inlineStr">
        <is>
          <t>BODEN</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20029-2025</t>
        </is>
      </c>
      <c r="B1520" s="1" t="n">
        <v>45772</v>
      </c>
      <c r="C1520" s="1" t="n">
        <v>45849</v>
      </c>
      <c r="D1520" t="inlineStr">
        <is>
          <t>NORRBOTTENS LÄN</t>
        </is>
      </c>
      <c r="E1520" t="inlineStr">
        <is>
          <t>BODEN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20030-2025</t>
        </is>
      </c>
      <c r="B1521" s="1" t="n">
        <v>45772</v>
      </c>
      <c r="C1521" s="1" t="n">
        <v>45849</v>
      </c>
      <c r="D1521" t="inlineStr">
        <is>
          <t>NORRBOTTENS LÄN</t>
        </is>
      </c>
      <c r="E1521" t="inlineStr">
        <is>
          <t>BODEN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20028-2025</t>
        </is>
      </c>
      <c r="B1522" s="1" t="n">
        <v>45772</v>
      </c>
      <c r="C1522" s="1" t="n">
        <v>45849</v>
      </c>
      <c r="D1522" t="inlineStr">
        <is>
          <t>NORRBOTTENS LÄN</t>
        </is>
      </c>
      <c r="E1522" t="inlineStr">
        <is>
          <t>BODEN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20046-2025</t>
        </is>
      </c>
      <c r="B1523" s="1" t="n">
        <v>45772</v>
      </c>
      <c r="C1523" s="1" t="n">
        <v>45849</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20039-2025</t>
        </is>
      </c>
      <c r="B1524" s="1" t="n">
        <v>45772</v>
      </c>
      <c r="C1524" s="1" t="n">
        <v>45849</v>
      </c>
      <c r="D1524" t="inlineStr">
        <is>
          <t>NORRBOTTENS LÄN</t>
        </is>
      </c>
      <c r="E1524" t="inlineStr">
        <is>
          <t>BODEN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20289-2025</t>
        </is>
      </c>
      <c r="B1525" s="1" t="n">
        <v>45774</v>
      </c>
      <c r="C1525" s="1" t="n">
        <v>45849</v>
      </c>
      <c r="D1525" t="inlineStr">
        <is>
          <t>NORRBOTTENS LÄN</t>
        </is>
      </c>
      <c r="E1525" t="inlineStr">
        <is>
          <t>BODEN</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21128-2025</t>
        </is>
      </c>
      <c r="B1526" s="1" t="n">
        <v>45778</v>
      </c>
      <c r="C1526" s="1" t="n">
        <v>45849</v>
      </c>
      <c r="D1526" t="inlineStr">
        <is>
          <t>NORRBOTTENS LÄN</t>
        </is>
      </c>
      <c r="E1526" t="inlineStr">
        <is>
          <t>BODEN</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21349-2025</t>
        </is>
      </c>
      <c r="B1527" s="1" t="n">
        <v>45782</v>
      </c>
      <c r="C1527" s="1" t="n">
        <v>45849</v>
      </c>
      <c r="D1527" t="inlineStr">
        <is>
          <t>NORRBOTTENS LÄN</t>
        </is>
      </c>
      <c r="E1527" t="inlineStr">
        <is>
          <t>BODEN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21584-2025</t>
        </is>
      </c>
      <c r="B1528" s="1" t="n">
        <v>45783</v>
      </c>
      <c r="C1528" s="1" t="n">
        <v>45849</v>
      </c>
      <c r="D1528" t="inlineStr">
        <is>
          <t>NORRBOTTENS LÄN</t>
        </is>
      </c>
      <c r="E1528" t="inlineStr">
        <is>
          <t>BODEN</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22372-2025</t>
        </is>
      </c>
      <c r="B1529" s="1" t="n">
        <v>45786</v>
      </c>
      <c r="C1529" s="1" t="n">
        <v>45849</v>
      </c>
      <c r="D1529" t="inlineStr">
        <is>
          <t>NORRBOTTENS LÄN</t>
        </is>
      </c>
      <c r="E1529" t="inlineStr">
        <is>
          <t>BODEN</t>
        </is>
      </c>
      <c r="F1529" t="inlineStr">
        <is>
          <t>Kommuner</t>
        </is>
      </c>
      <c r="G1529" t="n">
        <v>16.3</v>
      </c>
      <c r="H1529" t="n">
        <v>0</v>
      </c>
      <c r="I1529" t="n">
        <v>0</v>
      </c>
      <c r="J1529" t="n">
        <v>0</v>
      </c>
      <c r="K1529" t="n">
        <v>0</v>
      </c>
      <c r="L1529" t="n">
        <v>0</v>
      </c>
      <c r="M1529" t="n">
        <v>0</v>
      </c>
      <c r="N1529" t="n">
        <v>0</v>
      </c>
      <c r="O1529" t="n">
        <v>0</v>
      </c>
      <c r="P1529" t="n">
        <v>0</v>
      </c>
      <c r="Q1529" t="n">
        <v>0</v>
      </c>
      <c r="R1529" s="2" t="inlineStr"/>
    </row>
    <row r="1530" ht="15" customHeight="1">
      <c r="A1530" t="inlineStr">
        <is>
          <t>A 23315-2025</t>
        </is>
      </c>
      <c r="B1530" s="1" t="n">
        <v>45791</v>
      </c>
      <c r="C1530" s="1" t="n">
        <v>45849</v>
      </c>
      <c r="D1530" t="inlineStr">
        <is>
          <t>NORRBOTTENS LÄN</t>
        </is>
      </c>
      <c r="E1530" t="inlineStr">
        <is>
          <t>BODEN</t>
        </is>
      </c>
      <c r="F1530" t="inlineStr">
        <is>
          <t>Sveaskog</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23321-2025</t>
        </is>
      </c>
      <c r="B1531" s="1" t="n">
        <v>45791</v>
      </c>
      <c r="C1531" s="1" t="n">
        <v>45849</v>
      </c>
      <c r="D1531" t="inlineStr">
        <is>
          <t>NORRBOTTENS LÄN</t>
        </is>
      </c>
      <c r="E1531" t="inlineStr">
        <is>
          <t>BODEN</t>
        </is>
      </c>
      <c r="F1531" t="inlineStr">
        <is>
          <t>Sveaskog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23092-2025</t>
        </is>
      </c>
      <c r="B1532" s="1" t="n">
        <v>45791</v>
      </c>
      <c r="C1532" s="1" t="n">
        <v>45849</v>
      </c>
      <c r="D1532" t="inlineStr">
        <is>
          <t>NORRBOTTENS LÄN</t>
        </is>
      </c>
      <c r="E1532" t="inlineStr">
        <is>
          <t>BODEN</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23361-2025</t>
        </is>
      </c>
      <c r="B1533" s="1" t="n">
        <v>45791</v>
      </c>
      <c r="C1533" s="1" t="n">
        <v>45849</v>
      </c>
      <c r="D1533" t="inlineStr">
        <is>
          <t>NORRBOTTENS LÄN</t>
        </is>
      </c>
      <c r="E1533" t="inlineStr">
        <is>
          <t>BODEN</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23302-2025</t>
        </is>
      </c>
      <c r="B1534" s="1" t="n">
        <v>45791</v>
      </c>
      <c r="C1534" s="1" t="n">
        <v>45849</v>
      </c>
      <c r="D1534" t="inlineStr">
        <is>
          <t>NORRBOTTENS LÄN</t>
        </is>
      </c>
      <c r="E1534" t="inlineStr">
        <is>
          <t>BODEN</t>
        </is>
      </c>
      <c r="F1534" t="inlineStr">
        <is>
          <t>Sveaskog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23323-2025</t>
        </is>
      </c>
      <c r="B1535" s="1" t="n">
        <v>45791</v>
      </c>
      <c r="C1535" s="1" t="n">
        <v>45849</v>
      </c>
      <c r="D1535" t="inlineStr">
        <is>
          <t>NORRBOTTENS LÄN</t>
        </is>
      </c>
      <c r="E1535" t="inlineStr">
        <is>
          <t>BODEN</t>
        </is>
      </c>
      <c r="F1535" t="inlineStr">
        <is>
          <t>Sveaskog</t>
        </is>
      </c>
      <c r="G1535" t="n">
        <v>21.8</v>
      </c>
      <c r="H1535" t="n">
        <v>0</v>
      </c>
      <c r="I1535" t="n">
        <v>0</v>
      </c>
      <c r="J1535" t="n">
        <v>0</v>
      </c>
      <c r="K1535" t="n">
        <v>0</v>
      </c>
      <c r="L1535" t="n">
        <v>0</v>
      </c>
      <c r="M1535" t="n">
        <v>0</v>
      </c>
      <c r="N1535" t="n">
        <v>0</v>
      </c>
      <c r="O1535" t="n">
        <v>0</v>
      </c>
      <c r="P1535" t="n">
        <v>0</v>
      </c>
      <c r="Q1535" t="n">
        <v>0</v>
      </c>
      <c r="R1535" s="2" t="inlineStr"/>
    </row>
    <row r="1536" ht="15" customHeight="1">
      <c r="A1536" t="inlineStr">
        <is>
          <t>A 23559-2025</t>
        </is>
      </c>
      <c r="B1536" s="1" t="n">
        <v>45792</v>
      </c>
      <c r="C1536" s="1" t="n">
        <v>45849</v>
      </c>
      <c r="D1536" t="inlineStr">
        <is>
          <t>NORRBOTTENS LÄN</t>
        </is>
      </c>
      <c r="E1536" t="inlineStr">
        <is>
          <t>BODEN</t>
        </is>
      </c>
      <c r="F1536" t="inlineStr">
        <is>
          <t>Sveaskog</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23414-2025</t>
        </is>
      </c>
      <c r="B1537" s="1" t="n">
        <v>45792</v>
      </c>
      <c r="C1537" s="1" t="n">
        <v>45849</v>
      </c>
      <c r="D1537" t="inlineStr">
        <is>
          <t>NORRBOTTENS LÄN</t>
        </is>
      </c>
      <c r="E1537" t="inlineStr">
        <is>
          <t>BODEN</t>
        </is>
      </c>
      <c r="F1537" t="inlineStr">
        <is>
          <t>SCA</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23648-2025</t>
        </is>
      </c>
      <c r="B1538" s="1" t="n">
        <v>45792</v>
      </c>
      <c r="C1538" s="1" t="n">
        <v>45849</v>
      </c>
      <c r="D1538" t="inlineStr">
        <is>
          <t>NORRBOTTENS LÄN</t>
        </is>
      </c>
      <c r="E1538" t="inlineStr">
        <is>
          <t>BODEN</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23763-2025</t>
        </is>
      </c>
      <c r="B1539" s="1" t="n">
        <v>45793</v>
      </c>
      <c r="C1539" s="1" t="n">
        <v>45849</v>
      </c>
      <c r="D1539" t="inlineStr">
        <is>
          <t>NORRBOTTENS LÄN</t>
        </is>
      </c>
      <c r="E1539" t="inlineStr">
        <is>
          <t>BODEN</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23724-2025</t>
        </is>
      </c>
      <c r="B1540" s="1" t="n">
        <v>45793</v>
      </c>
      <c r="C1540" s="1" t="n">
        <v>45849</v>
      </c>
      <c r="D1540" t="inlineStr">
        <is>
          <t>NORRBOTTENS LÄN</t>
        </is>
      </c>
      <c r="E1540" t="inlineStr">
        <is>
          <t>BODEN</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23761-2025</t>
        </is>
      </c>
      <c r="B1541" s="1" t="n">
        <v>45793</v>
      </c>
      <c r="C1541" s="1" t="n">
        <v>45849</v>
      </c>
      <c r="D1541" t="inlineStr">
        <is>
          <t>NORRBOTTENS LÄN</t>
        </is>
      </c>
      <c r="E1541" t="inlineStr">
        <is>
          <t>BODEN</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24134-2025</t>
        </is>
      </c>
      <c r="B1542" s="1" t="n">
        <v>45796</v>
      </c>
      <c r="C1542" s="1" t="n">
        <v>45849</v>
      </c>
      <c r="D1542" t="inlineStr">
        <is>
          <t>NORRBOTTENS LÄN</t>
        </is>
      </c>
      <c r="E1542" t="inlineStr">
        <is>
          <t>BODEN</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24058-2025</t>
        </is>
      </c>
      <c r="B1543" s="1" t="n">
        <v>45796</v>
      </c>
      <c r="C1543" s="1" t="n">
        <v>45849</v>
      </c>
      <c r="D1543" t="inlineStr">
        <is>
          <t>NORRBOTTENS LÄN</t>
        </is>
      </c>
      <c r="E1543" t="inlineStr">
        <is>
          <t>BODEN</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24358-2025</t>
        </is>
      </c>
      <c r="B1544" s="1" t="n">
        <v>45797</v>
      </c>
      <c r="C1544" s="1" t="n">
        <v>45849</v>
      </c>
      <c r="D1544" t="inlineStr">
        <is>
          <t>NORRBOTTENS LÄN</t>
        </is>
      </c>
      <c r="E1544" t="inlineStr">
        <is>
          <t>BODEN</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24545-2025</t>
        </is>
      </c>
      <c r="B1545" s="1" t="n">
        <v>45798</v>
      </c>
      <c r="C1545" s="1" t="n">
        <v>45849</v>
      </c>
      <c r="D1545" t="inlineStr">
        <is>
          <t>NORRBOTTENS LÄN</t>
        </is>
      </c>
      <c r="E1545" t="inlineStr">
        <is>
          <t>BODEN</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24699-2025</t>
        </is>
      </c>
      <c r="B1546" s="1" t="n">
        <v>45798</v>
      </c>
      <c r="C1546" s="1" t="n">
        <v>45849</v>
      </c>
      <c r="D1546" t="inlineStr">
        <is>
          <t>NORRBOTTENS LÄN</t>
        </is>
      </c>
      <c r="E1546" t="inlineStr">
        <is>
          <t>BODEN</t>
        </is>
      </c>
      <c r="F1546" t="inlineStr">
        <is>
          <t>SCA</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24538-2025</t>
        </is>
      </c>
      <c r="B1547" s="1" t="n">
        <v>45798</v>
      </c>
      <c r="C1547" s="1" t="n">
        <v>45849</v>
      </c>
      <c r="D1547" t="inlineStr">
        <is>
          <t>NORRBOTTENS LÄN</t>
        </is>
      </c>
      <c r="E1547" t="inlineStr">
        <is>
          <t>BODEN</t>
        </is>
      </c>
      <c r="F1547" t="inlineStr">
        <is>
          <t>Sveaskog</t>
        </is>
      </c>
      <c r="G1547" t="n">
        <v>15.8</v>
      </c>
      <c r="H1547" t="n">
        <v>0</v>
      </c>
      <c r="I1547" t="n">
        <v>0</v>
      </c>
      <c r="J1547" t="n">
        <v>0</v>
      </c>
      <c r="K1547" t="n">
        <v>0</v>
      </c>
      <c r="L1547" t="n">
        <v>0</v>
      </c>
      <c r="M1547" t="n">
        <v>0</v>
      </c>
      <c r="N1547" t="n">
        <v>0</v>
      </c>
      <c r="O1547" t="n">
        <v>0</v>
      </c>
      <c r="P1547" t="n">
        <v>0</v>
      </c>
      <c r="Q1547" t="n">
        <v>0</v>
      </c>
      <c r="R1547" s="2" t="inlineStr"/>
    </row>
    <row r="1548" ht="15" customHeight="1">
      <c r="A1548" t="inlineStr">
        <is>
          <t>A 24733-2025</t>
        </is>
      </c>
      <c r="B1548" s="1" t="n">
        <v>45799</v>
      </c>
      <c r="C1548" s="1" t="n">
        <v>45849</v>
      </c>
      <c r="D1548" t="inlineStr">
        <is>
          <t>NORRBOTTENS LÄN</t>
        </is>
      </c>
      <c r="E1548" t="inlineStr">
        <is>
          <t>BODEN</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24738-2025</t>
        </is>
      </c>
      <c r="B1549" s="1" t="n">
        <v>45799</v>
      </c>
      <c r="C1549" s="1" t="n">
        <v>45849</v>
      </c>
      <c r="D1549" t="inlineStr">
        <is>
          <t>NORRBOTTENS LÄN</t>
        </is>
      </c>
      <c r="E1549" t="inlineStr">
        <is>
          <t>BODEN</t>
        </is>
      </c>
      <c r="F1549" t="inlineStr">
        <is>
          <t>SCA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25692-2025</t>
        </is>
      </c>
      <c r="B1550" s="1" t="n">
        <v>45803</v>
      </c>
      <c r="C1550" s="1" t="n">
        <v>45849</v>
      </c>
      <c r="D1550" t="inlineStr">
        <is>
          <t>NORRBOTTENS LÄN</t>
        </is>
      </c>
      <c r="E1550" t="inlineStr">
        <is>
          <t>BODEN</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25926-2025</t>
        </is>
      </c>
      <c r="B1551" s="1" t="n">
        <v>45803</v>
      </c>
      <c r="C1551" s="1" t="n">
        <v>45849</v>
      </c>
      <c r="D1551" t="inlineStr">
        <is>
          <t>NORRBOTTENS LÄN</t>
        </is>
      </c>
      <c r="E1551" t="inlineStr">
        <is>
          <t>BODEN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25654-2025</t>
        </is>
      </c>
      <c r="B1552" s="1" t="n">
        <v>45803</v>
      </c>
      <c r="C1552" s="1" t="n">
        <v>45849</v>
      </c>
      <c r="D1552" t="inlineStr">
        <is>
          <t>NORRBOTTENS LÄN</t>
        </is>
      </c>
      <c r="E1552" t="inlineStr">
        <is>
          <t>BODEN</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25901-2025</t>
        </is>
      </c>
      <c r="B1553" s="1" t="n">
        <v>45803</v>
      </c>
      <c r="C1553" s="1" t="n">
        <v>45849</v>
      </c>
      <c r="D1553" t="inlineStr">
        <is>
          <t>NORRBOTTENS LÄN</t>
        </is>
      </c>
      <c r="E1553" t="inlineStr">
        <is>
          <t>BODEN</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25983-2025</t>
        </is>
      </c>
      <c r="B1554" s="1" t="n">
        <v>45803</v>
      </c>
      <c r="C1554" s="1" t="n">
        <v>45849</v>
      </c>
      <c r="D1554" t="inlineStr">
        <is>
          <t>NORRBOTTENS LÄN</t>
        </is>
      </c>
      <c r="E1554" t="inlineStr">
        <is>
          <t>BODEN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25839-2025</t>
        </is>
      </c>
      <c r="B1555" s="1" t="n">
        <v>45804</v>
      </c>
      <c r="C1555" s="1" t="n">
        <v>45849</v>
      </c>
      <c r="D1555" t="inlineStr">
        <is>
          <t>NORRBOTTENS LÄN</t>
        </is>
      </c>
      <c r="E1555" t="inlineStr">
        <is>
          <t>BODEN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26010-2025</t>
        </is>
      </c>
      <c r="B1556" s="1" t="n">
        <v>45804</v>
      </c>
      <c r="C1556" s="1" t="n">
        <v>45849</v>
      </c>
      <c r="D1556" t="inlineStr">
        <is>
          <t>NORRBOTTENS LÄN</t>
        </is>
      </c>
      <c r="E1556" t="inlineStr">
        <is>
          <t>BODEN</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25767-2025</t>
        </is>
      </c>
      <c r="B1557" s="1" t="n">
        <v>45804</v>
      </c>
      <c r="C1557" s="1" t="n">
        <v>45849</v>
      </c>
      <c r="D1557" t="inlineStr">
        <is>
          <t>NORRBOTTENS LÄN</t>
        </is>
      </c>
      <c r="E1557" t="inlineStr">
        <is>
          <t>BODEN</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45849</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27543-2025</t>
        </is>
      </c>
      <c r="B1559" s="1" t="n">
        <v>45813</v>
      </c>
      <c r="C1559" s="1" t="n">
        <v>45849</v>
      </c>
      <c r="D1559" t="inlineStr">
        <is>
          <t>NORRBOTTENS LÄN</t>
        </is>
      </c>
      <c r="E1559" t="inlineStr">
        <is>
          <t>BODEN</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27508-2025</t>
        </is>
      </c>
      <c r="B1560" s="1" t="n">
        <v>45813</v>
      </c>
      <c r="C1560" s="1" t="n">
        <v>45849</v>
      </c>
      <c r="D1560" t="inlineStr">
        <is>
          <t>NORRBOTTENS LÄN</t>
        </is>
      </c>
      <c r="E1560" t="inlineStr">
        <is>
          <t>BODEN</t>
        </is>
      </c>
      <c r="F1560" t="inlineStr">
        <is>
          <t>SCA</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27604-2025</t>
        </is>
      </c>
      <c r="B1561" s="1" t="n">
        <v>45813</v>
      </c>
      <c r="C1561" s="1" t="n">
        <v>45849</v>
      </c>
      <c r="D1561" t="inlineStr">
        <is>
          <t>NORRBOTTENS LÄN</t>
        </is>
      </c>
      <c r="E1561" t="inlineStr">
        <is>
          <t>BODEN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27507-2025</t>
        </is>
      </c>
      <c r="B1562" s="1" t="n">
        <v>45813</v>
      </c>
      <c r="C1562" s="1" t="n">
        <v>45849</v>
      </c>
      <c r="D1562" t="inlineStr">
        <is>
          <t>NORRBOTTENS LÄN</t>
        </is>
      </c>
      <c r="E1562" t="inlineStr">
        <is>
          <t>BODEN</t>
        </is>
      </c>
      <c r="F1562" t="inlineStr">
        <is>
          <t>Naturvårdsverket</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27605-2025</t>
        </is>
      </c>
      <c r="B1563" s="1" t="n">
        <v>45813</v>
      </c>
      <c r="C1563" s="1" t="n">
        <v>45849</v>
      </c>
      <c r="D1563" t="inlineStr">
        <is>
          <t>NORRBOTTENS LÄN</t>
        </is>
      </c>
      <c r="E1563" t="inlineStr">
        <is>
          <t>BODEN</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27602-2025</t>
        </is>
      </c>
      <c r="B1564" s="1" t="n">
        <v>45813</v>
      </c>
      <c r="C1564" s="1" t="n">
        <v>45849</v>
      </c>
      <c r="D1564" t="inlineStr">
        <is>
          <t>NORRBOTTENS LÄN</t>
        </is>
      </c>
      <c r="E1564" t="inlineStr">
        <is>
          <t>BODEN</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28197-2025</t>
        </is>
      </c>
      <c r="B1565" s="1" t="n">
        <v>45818</v>
      </c>
      <c r="C1565" s="1" t="n">
        <v>45849</v>
      </c>
      <c r="D1565" t="inlineStr">
        <is>
          <t>NORRBOTTENS LÄN</t>
        </is>
      </c>
      <c r="E1565" t="inlineStr">
        <is>
          <t>BODEN</t>
        </is>
      </c>
      <c r="F1565" t="inlineStr">
        <is>
          <t>Sveaskog</t>
        </is>
      </c>
      <c r="G1565" t="n">
        <v>7.2</v>
      </c>
      <c r="H1565" t="n">
        <v>0</v>
      </c>
      <c r="I1565" t="n">
        <v>0</v>
      </c>
      <c r="J1565" t="n">
        <v>0</v>
      </c>
      <c r="K1565" t="n">
        <v>0</v>
      </c>
      <c r="L1565" t="n">
        <v>0</v>
      </c>
      <c r="M1565" t="n">
        <v>0</v>
      </c>
      <c r="N1565" t="n">
        <v>0</v>
      </c>
      <c r="O1565" t="n">
        <v>0</v>
      </c>
      <c r="P1565" t="n">
        <v>0</v>
      </c>
      <c r="Q1565" t="n">
        <v>0</v>
      </c>
      <c r="R1565" s="2" t="inlineStr"/>
      <c r="U1565">
        <f>HYPERLINK("https://klasma.github.io/Logging_252582/knärot/A 28197-2025 karta knärot.png", "A 28197-2025")</f>
        <v/>
      </c>
      <c r="V1565">
        <f>HYPERLINK("https://klasma.github.io/Logging_252582/klagomål/A 28197-2025 FSC-klagomål.docx", "A 28197-2025")</f>
        <v/>
      </c>
      <c r="W1565">
        <f>HYPERLINK("https://klasma.github.io/Logging_252582/klagomålsmail/A 28197-2025 FSC-klagomål mail.docx", "A 28197-2025")</f>
        <v/>
      </c>
      <c r="X1565">
        <f>HYPERLINK("https://klasma.github.io/Logging_252582/tillsyn/A 28197-2025 tillsynsbegäran.docx", "A 28197-2025")</f>
        <v/>
      </c>
      <c r="Y1565">
        <f>HYPERLINK("https://klasma.github.io/Logging_252582/tillsynsmail/A 28197-2025 tillsynsbegäran mail.docx", "A 28197-2025")</f>
        <v/>
      </c>
    </row>
    <row r="1566" ht="15" customHeight="1">
      <c r="A1566" t="inlineStr">
        <is>
          <t>A 28139-2025</t>
        </is>
      </c>
      <c r="B1566" s="1" t="n">
        <v>45818</v>
      </c>
      <c r="C1566" s="1" t="n">
        <v>45849</v>
      </c>
      <c r="D1566" t="inlineStr">
        <is>
          <t>NORRBOTTENS LÄN</t>
        </is>
      </c>
      <c r="E1566" t="inlineStr">
        <is>
          <t>BODEN</t>
        </is>
      </c>
      <c r="F1566" t="inlineStr">
        <is>
          <t>SCA</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28270-2025</t>
        </is>
      </c>
      <c r="B1567" s="1" t="n">
        <v>45818</v>
      </c>
      <c r="C1567" s="1" t="n">
        <v>45849</v>
      </c>
      <c r="D1567" t="inlineStr">
        <is>
          <t>NORRBOTTENS LÄN</t>
        </is>
      </c>
      <c r="E1567" t="inlineStr">
        <is>
          <t>BODEN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28141-2025</t>
        </is>
      </c>
      <c r="B1568" s="1" t="n">
        <v>45818</v>
      </c>
      <c r="C1568" s="1" t="n">
        <v>45849</v>
      </c>
      <c r="D1568" t="inlineStr">
        <is>
          <t>NORRBOTTENS LÄN</t>
        </is>
      </c>
      <c r="E1568" t="inlineStr">
        <is>
          <t>BODEN</t>
        </is>
      </c>
      <c r="F1568" t="inlineStr">
        <is>
          <t>SCA</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28134-2025</t>
        </is>
      </c>
      <c r="B1569" s="1" t="n">
        <v>45818</v>
      </c>
      <c r="C1569" s="1" t="n">
        <v>45849</v>
      </c>
      <c r="D1569" t="inlineStr">
        <is>
          <t>NORRBOTTENS LÄN</t>
        </is>
      </c>
      <c r="E1569" t="inlineStr">
        <is>
          <t>BODEN</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28297-2025</t>
        </is>
      </c>
      <c r="B1570" s="1" t="n">
        <v>45818</v>
      </c>
      <c r="C1570" s="1" t="n">
        <v>45849</v>
      </c>
      <c r="D1570" t="inlineStr">
        <is>
          <t>NORRBOTTENS LÄN</t>
        </is>
      </c>
      <c r="E1570" t="inlineStr">
        <is>
          <t>BODEN</t>
        </is>
      </c>
      <c r="F1570" t="inlineStr">
        <is>
          <t>Sveaskog</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28248-2025</t>
        </is>
      </c>
      <c r="B1571" s="1" t="n">
        <v>45818</v>
      </c>
      <c r="C1571" s="1" t="n">
        <v>45849</v>
      </c>
      <c r="D1571" t="inlineStr">
        <is>
          <t>NORRBOTTENS LÄN</t>
        </is>
      </c>
      <c r="E1571" t="inlineStr">
        <is>
          <t>BODEN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28718-2025</t>
        </is>
      </c>
      <c r="B1572" s="1" t="n">
        <v>45820</v>
      </c>
      <c r="C1572" s="1" t="n">
        <v>45849</v>
      </c>
      <c r="D1572" t="inlineStr">
        <is>
          <t>NORRBOTTENS LÄN</t>
        </is>
      </c>
      <c r="E1572" t="inlineStr">
        <is>
          <t>BODEN</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29450-2025</t>
        </is>
      </c>
      <c r="B1573" s="1" t="n">
        <v>45824</v>
      </c>
      <c r="C1573" s="1" t="n">
        <v>45849</v>
      </c>
      <c r="D1573" t="inlineStr">
        <is>
          <t>NORRBOTTENS LÄN</t>
        </is>
      </c>
      <c r="E1573" t="inlineStr">
        <is>
          <t>BODEN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29376-2025</t>
        </is>
      </c>
      <c r="B1574" s="1" t="n">
        <v>45824</v>
      </c>
      <c r="C1574" s="1" t="n">
        <v>45849</v>
      </c>
      <c r="D1574" t="inlineStr">
        <is>
          <t>NORRBOTTENS LÄN</t>
        </is>
      </c>
      <c r="E1574" t="inlineStr">
        <is>
          <t>BODEN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29451-2025</t>
        </is>
      </c>
      <c r="B1575" s="1" t="n">
        <v>45824</v>
      </c>
      <c r="C1575" s="1" t="n">
        <v>45849</v>
      </c>
      <c r="D1575" t="inlineStr">
        <is>
          <t>NORRBOTTENS LÄN</t>
        </is>
      </c>
      <c r="E1575" t="inlineStr">
        <is>
          <t>BODEN</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29971-2025</t>
        </is>
      </c>
      <c r="B1576" s="1" t="n">
        <v>45826</v>
      </c>
      <c r="C1576" s="1" t="n">
        <v>45849</v>
      </c>
      <c r="D1576" t="inlineStr">
        <is>
          <t>NORRBOTTENS LÄN</t>
        </is>
      </c>
      <c r="E1576" t="inlineStr">
        <is>
          <t>BODEN</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29951-2025</t>
        </is>
      </c>
      <c r="B1577" s="1" t="n">
        <v>45826</v>
      </c>
      <c r="C1577" s="1" t="n">
        <v>45849</v>
      </c>
      <c r="D1577" t="inlineStr">
        <is>
          <t>NORRBOTTENS LÄN</t>
        </is>
      </c>
      <c r="E1577" t="inlineStr">
        <is>
          <t>BODEN</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30089-2025</t>
        </is>
      </c>
      <c r="B1578" s="1" t="n">
        <v>45826</v>
      </c>
      <c r="C1578" s="1" t="n">
        <v>45849</v>
      </c>
      <c r="D1578" t="inlineStr">
        <is>
          <t>NORRBOTTENS LÄN</t>
        </is>
      </c>
      <c r="E1578" t="inlineStr">
        <is>
          <t>BODEN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30354-2025</t>
        </is>
      </c>
      <c r="B1579" s="1" t="n">
        <v>45827</v>
      </c>
      <c r="C1579" s="1" t="n">
        <v>45849</v>
      </c>
      <c r="D1579" t="inlineStr">
        <is>
          <t>NORRBOTTENS LÄN</t>
        </is>
      </c>
      <c r="E1579" t="inlineStr">
        <is>
          <t>BODEN</t>
        </is>
      </c>
      <c r="F1579" t="inlineStr">
        <is>
          <t>Sveaskog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30356-2025</t>
        </is>
      </c>
      <c r="B1580" s="1" t="n">
        <v>45827</v>
      </c>
      <c r="C1580" s="1" t="n">
        <v>45849</v>
      </c>
      <c r="D1580" t="inlineStr">
        <is>
          <t>NORRBOTTENS LÄN</t>
        </is>
      </c>
      <c r="E1580" t="inlineStr">
        <is>
          <t>BODEN</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30360-2025</t>
        </is>
      </c>
      <c r="B1581" s="1" t="n">
        <v>45827</v>
      </c>
      <c r="C1581" s="1" t="n">
        <v>45849</v>
      </c>
      <c r="D1581" t="inlineStr">
        <is>
          <t>NORRBOTTENS LÄN</t>
        </is>
      </c>
      <c r="E1581" t="inlineStr">
        <is>
          <t>BODEN</t>
        </is>
      </c>
      <c r="F1581" t="inlineStr">
        <is>
          <t>Sveaskog</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30705-2025</t>
        </is>
      </c>
      <c r="B1582" s="1" t="n">
        <v>45831</v>
      </c>
      <c r="C1582" s="1" t="n">
        <v>45849</v>
      </c>
      <c r="D1582" t="inlineStr">
        <is>
          <t>NORRBOTTENS LÄN</t>
        </is>
      </c>
      <c r="E1582" t="inlineStr">
        <is>
          <t>BODEN</t>
        </is>
      </c>
      <c r="F1582" t="inlineStr">
        <is>
          <t>Sveaskog</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30765-2025</t>
        </is>
      </c>
      <c r="B1583" s="1" t="n">
        <v>45831</v>
      </c>
      <c r="C1583" s="1" t="n">
        <v>45849</v>
      </c>
      <c r="D1583" t="inlineStr">
        <is>
          <t>NORRBOTTENS LÄN</t>
        </is>
      </c>
      <c r="E1583" t="inlineStr">
        <is>
          <t>BODEN</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31020-2025</t>
        </is>
      </c>
      <c r="B1584" s="1" t="n">
        <v>45831</v>
      </c>
      <c r="C1584" s="1" t="n">
        <v>45849</v>
      </c>
      <c r="D1584" t="inlineStr">
        <is>
          <t>NORRBOTTENS LÄN</t>
        </is>
      </c>
      <c r="E1584" t="inlineStr">
        <is>
          <t>BODEN</t>
        </is>
      </c>
      <c r="G1584" t="n">
        <v>26.8</v>
      </c>
      <c r="H1584" t="n">
        <v>0</v>
      </c>
      <c r="I1584" t="n">
        <v>0</v>
      </c>
      <c r="J1584" t="n">
        <v>0</v>
      </c>
      <c r="K1584" t="n">
        <v>0</v>
      </c>
      <c r="L1584" t="n">
        <v>0</v>
      </c>
      <c r="M1584" t="n">
        <v>0</v>
      </c>
      <c r="N1584" t="n">
        <v>0</v>
      </c>
      <c r="O1584" t="n">
        <v>0</v>
      </c>
      <c r="P1584" t="n">
        <v>0</v>
      </c>
      <c r="Q1584" t="n">
        <v>0</v>
      </c>
      <c r="R1584" s="2" t="inlineStr"/>
    </row>
    <row r="1585" ht="15" customHeight="1">
      <c r="A1585" t="inlineStr">
        <is>
          <t>A 30700-2025</t>
        </is>
      </c>
      <c r="B1585" s="1" t="n">
        <v>45831</v>
      </c>
      <c r="C1585" s="1" t="n">
        <v>45849</v>
      </c>
      <c r="D1585" t="inlineStr">
        <is>
          <t>NORRBOTTENS LÄN</t>
        </is>
      </c>
      <c r="E1585" t="inlineStr">
        <is>
          <t>BODEN</t>
        </is>
      </c>
      <c r="F1585" t="inlineStr">
        <is>
          <t>Sveaskog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31195-2025</t>
        </is>
      </c>
      <c r="B1586" s="1" t="n">
        <v>45832</v>
      </c>
      <c r="C1586" s="1" t="n">
        <v>45849</v>
      </c>
      <c r="D1586" t="inlineStr">
        <is>
          <t>NORRBOTTENS LÄN</t>
        </is>
      </c>
      <c r="E1586" t="inlineStr">
        <is>
          <t>BODEN</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31200-2025</t>
        </is>
      </c>
      <c r="B1587" s="1" t="n">
        <v>45832</v>
      </c>
      <c r="C1587" s="1" t="n">
        <v>45849</v>
      </c>
      <c r="D1587" t="inlineStr">
        <is>
          <t>NORRBOTTENS LÄN</t>
        </is>
      </c>
      <c r="E1587" t="inlineStr">
        <is>
          <t>BODEN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31177-2025</t>
        </is>
      </c>
      <c r="B1588" s="1" t="n">
        <v>45832</v>
      </c>
      <c r="C1588" s="1" t="n">
        <v>45849</v>
      </c>
      <c r="D1588" t="inlineStr">
        <is>
          <t>NORRBOTTENS LÄN</t>
        </is>
      </c>
      <c r="E1588" t="inlineStr">
        <is>
          <t>BODEN</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31203-2025</t>
        </is>
      </c>
      <c r="B1589" s="1" t="n">
        <v>45832</v>
      </c>
      <c r="C1589" s="1" t="n">
        <v>45849</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31531-2025</t>
        </is>
      </c>
      <c r="B1590" s="1" t="n">
        <v>45833</v>
      </c>
      <c r="C1590" s="1" t="n">
        <v>45849</v>
      </c>
      <c r="D1590" t="inlineStr">
        <is>
          <t>NORRBOTTENS LÄN</t>
        </is>
      </c>
      <c r="E1590" t="inlineStr">
        <is>
          <t>BODEN</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31363-2025</t>
        </is>
      </c>
      <c r="B1591" s="1" t="n">
        <v>45833</v>
      </c>
      <c r="C1591" s="1" t="n">
        <v>45849</v>
      </c>
      <c r="D1591" t="inlineStr">
        <is>
          <t>NORRBOTTENS LÄN</t>
        </is>
      </c>
      <c r="E1591" t="inlineStr">
        <is>
          <t>BODEN</t>
        </is>
      </c>
      <c r="F1591" t="inlineStr">
        <is>
          <t>Sveaskog</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31323-2025</t>
        </is>
      </c>
      <c r="B1592" s="1" t="n">
        <v>45833</v>
      </c>
      <c r="C1592" s="1" t="n">
        <v>45849</v>
      </c>
      <c r="D1592" t="inlineStr">
        <is>
          <t>NORRBOTTENS LÄN</t>
        </is>
      </c>
      <c r="E1592" t="inlineStr">
        <is>
          <t>BODEN</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31834-2025</t>
        </is>
      </c>
      <c r="B1593" s="1" t="n">
        <v>45834</v>
      </c>
      <c r="C1593" s="1" t="n">
        <v>45849</v>
      </c>
      <c r="D1593" t="inlineStr">
        <is>
          <t>NORRBOTTENS LÄN</t>
        </is>
      </c>
      <c r="E1593" t="inlineStr">
        <is>
          <t>BODEN</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31840-2025</t>
        </is>
      </c>
      <c r="B1594" s="1" t="n">
        <v>45834</v>
      </c>
      <c r="C1594" s="1" t="n">
        <v>45849</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31836-2025</t>
        </is>
      </c>
      <c r="B1595" s="1" t="n">
        <v>45834</v>
      </c>
      <c r="C1595" s="1" t="n">
        <v>45849</v>
      </c>
      <c r="D1595" t="inlineStr">
        <is>
          <t>NORRBOTTENS LÄN</t>
        </is>
      </c>
      <c r="E1595" t="inlineStr">
        <is>
          <t>BODEN</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31760-2025</t>
        </is>
      </c>
      <c r="B1596" s="1" t="n">
        <v>45834</v>
      </c>
      <c r="C1596" s="1" t="n">
        <v>45849</v>
      </c>
      <c r="D1596" t="inlineStr">
        <is>
          <t>NORRBOTTENS LÄN</t>
        </is>
      </c>
      <c r="E1596" t="inlineStr">
        <is>
          <t>BODEN</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45849</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45849</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45849</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32775-2025</t>
        </is>
      </c>
      <c r="B1600" s="1" t="n">
        <v>45839</v>
      </c>
      <c r="C1600" s="1" t="n">
        <v>45849</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33023-2025</t>
        </is>
      </c>
      <c r="B1601" s="1" t="n">
        <v>45840</v>
      </c>
      <c r="C1601" s="1" t="n">
        <v>45849</v>
      </c>
      <c r="D1601" t="inlineStr">
        <is>
          <t>NORRBOTTENS LÄN</t>
        </is>
      </c>
      <c r="E1601" t="inlineStr">
        <is>
          <t>BODEN</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33024-2025</t>
        </is>
      </c>
      <c r="B1602" s="1" t="n">
        <v>45840</v>
      </c>
      <c r="C1602" s="1" t="n">
        <v>45849</v>
      </c>
      <c r="D1602" t="inlineStr">
        <is>
          <t>NORRBOTTENS LÄN</t>
        </is>
      </c>
      <c r="E1602" t="inlineStr">
        <is>
          <t>BODEN</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33032-2025</t>
        </is>
      </c>
      <c r="B1603" s="1" t="n">
        <v>45840</v>
      </c>
      <c r="C1603" s="1" t="n">
        <v>45849</v>
      </c>
      <c r="D1603" t="inlineStr">
        <is>
          <t>NORRBOTTENS LÄN</t>
        </is>
      </c>
      <c r="E1603" t="inlineStr">
        <is>
          <t>BODEN</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32991-2025</t>
        </is>
      </c>
      <c r="B1604" s="1" t="n">
        <v>45840</v>
      </c>
      <c r="C1604" s="1" t="n">
        <v>45849</v>
      </c>
      <c r="D1604" t="inlineStr">
        <is>
          <t>NORRBOTTENS LÄN</t>
        </is>
      </c>
      <c r="E1604" t="inlineStr">
        <is>
          <t>BODEN</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33276-2025</t>
        </is>
      </c>
      <c r="B1605" s="1" t="n">
        <v>45840</v>
      </c>
      <c r="C1605" s="1" t="n">
        <v>45849</v>
      </c>
      <c r="D1605" t="inlineStr">
        <is>
          <t>NORRBOTTENS LÄN</t>
        </is>
      </c>
      <c r="E1605" t="inlineStr">
        <is>
          <t>BODEN</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33028-2025</t>
        </is>
      </c>
      <c r="B1606" s="1" t="n">
        <v>45840</v>
      </c>
      <c r="C1606" s="1" t="n">
        <v>45849</v>
      </c>
      <c r="D1606" t="inlineStr">
        <is>
          <t>NORRBOTTENS LÄN</t>
        </is>
      </c>
      <c r="E1606" t="inlineStr">
        <is>
          <t>BODEN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33175-2025</t>
        </is>
      </c>
      <c r="B1607" s="1" t="n">
        <v>45840</v>
      </c>
      <c r="C1607" s="1" t="n">
        <v>45849</v>
      </c>
      <c r="D1607" t="inlineStr">
        <is>
          <t>NORRBOTTENS LÄN</t>
        </is>
      </c>
      <c r="E1607" t="inlineStr">
        <is>
          <t>BODEN</t>
        </is>
      </c>
      <c r="F1607" t="inlineStr">
        <is>
          <t>Sveaskog</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33130-2025</t>
        </is>
      </c>
      <c r="B1608" s="1" t="n">
        <v>45840</v>
      </c>
      <c r="C1608" s="1" t="n">
        <v>45849</v>
      </c>
      <c r="D1608" t="inlineStr">
        <is>
          <t>NORRBOTTENS LÄN</t>
        </is>
      </c>
      <c r="E1608" t="inlineStr">
        <is>
          <t>BODEN</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33038-2025</t>
        </is>
      </c>
      <c r="B1609" s="1" t="n">
        <v>45840</v>
      </c>
      <c r="C1609" s="1" t="n">
        <v>45849</v>
      </c>
      <c r="D1609" t="inlineStr">
        <is>
          <t>NORRBOTTENS LÄN</t>
        </is>
      </c>
      <c r="E1609" t="inlineStr">
        <is>
          <t>BODEN</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33504-2025</t>
        </is>
      </c>
      <c r="B1610" s="1" t="n">
        <v>45841</v>
      </c>
      <c r="C1610" s="1" t="n">
        <v>45849</v>
      </c>
      <c r="D1610" t="inlineStr">
        <is>
          <t>NORRBOTTENS LÄN</t>
        </is>
      </c>
      <c r="E1610" t="inlineStr">
        <is>
          <t>BODEN</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33511-2025</t>
        </is>
      </c>
      <c r="B1611" s="1" t="n">
        <v>45841</v>
      </c>
      <c r="C1611" s="1" t="n">
        <v>45849</v>
      </c>
      <c r="D1611" t="inlineStr">
        <is>
          <t>NORRBOTTENS LÄN</t>
        </is>
      </c>
      <c r="E1611" t="inlineStr">
        <is>
          <t>BODEN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33693-2025</t>
        </is>
      </c>
      <c r="B1612" s="1" t="n">
        <v>45841</v>
      </c>
      <c r="C1612" s="1" t="n">
        <v>45849</v>
      </c>
      <c r="D1612" t="inlineStr">
        <is>
          <t>NORRBOTTENS LÄN</t>
        </is>
      </c>
      <c r="E1612" t="inlineStr">
        <is>
          <t>BODEN</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33981-2025</t>
        </is>
      </c>
      <c r="B1613" s="1" t="n">
        <v>45843</v>
      </c>
      <c r="C1613" s="1" t="n">
        <v>45849</v>
      </c>
      <c r="D1613" t="inlineStr">
        <is>
          <t>NORRBOTTENS LÄN</t>
        </is>
      </c>
      <c r="E1613" t="inlineStr">
        <is>
          <t>BODEN</t>
        </is>
      </c>
      <c r="F1613" t="inlineStr">
        <is>
          <t>SCA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34598-2025</t>
        </is>
      </c>
      <c r="B1614" s="1" t="n">
        <v>45847</v>
      </c>
      <c r="C1614" s="1" t="n">
        <v>45849</v>
      </c>
      <c r="D1614" t="inlineStr">
        <is>
          <t>NORRBOTTENS LÄN</t>
        </is>
      </c>
      <c r="E1614" t="inlineStr">
        <is>
          <t>BODEN</t>
        </is>
      </c>
      <c r="F1614" t="inlineStr">
        <is>
          <t>Sveaskog</t>
        </is>
      </c>
      <c r="G1614" t="n">
        <v>8.699999999999999</v>
      </c>
      <c r="H1614" t="n">
        <v>0</v>
      </c>
      <c r="I1614" t="n">
        <v>0</v>
      </c>
      <c r="J1614" t="n">
        <v>0</v>
      </c>
      <c r="K1614" t="n">
        <v>0</v>
      </c>
      <c r="L1614" t="n">
        <v>0</v>
      </c>
      <c r="M1614" t="n">
        <v>0</v>
      </c>
      <c r="N1614" t="n">
        <v>0</v>
      </c>
      <c r="O1614" t="n">
        <v>0</v>
      </c>
      <c r="P1614" t="n">
        <v>0</v>
      </c>
      <c r="Q1614" t="n">
        <v>0</v>
      </c>
      <c r="R1614" s="2" t="inlineStr"/>
    </row>
    <row r="1615">
      <c r="A1615" t="inlineStr">
        <is>
          <t>A 34696-2025</t>
        </is>
      </c>
      <c r="B1615" s="1" t="n">
        <v>45848</v>
      </c>
      <c r="C1615" s="1" t="n">
        <v>45849</v>
      </c>
      <c r="D1615" t="inlineStr">
        <is>
          <t>NORRBOTTENS LÄN</t>
        </is>
      </c>
      <c r="E1615" t="inlineStr">
        <is>
          <t>BODEN</t>
        </is>
      </c>
      <c r="F1615" t="inlineStr">
        <is>
          <t>Sveaskog</t>
        </is>
      </c>
      <c r="G1615" t="n">
        <v>10.5</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2025-07-11T19:38:54Z</dcterms:created>
  <dcterms:modified xmlns:dcterms="http://purl.org/dc/terms/" xmlns:xsi="http://www.w3.org/2001/XMLSchema-instance" xsi:type="dcterms:W3CDTF">2025-07-11T19:38:56Z</dcterms:modified>
</cp:coreProperties>
</file>