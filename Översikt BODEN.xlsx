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45629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45629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45629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45629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45629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45629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45629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45629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45629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45629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45629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45629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45629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45629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45629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45629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45629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45629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45629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45629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45629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45629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45629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45629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45629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45629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45629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45629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45629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45629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45629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45629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45629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45629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45629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45629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45629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45629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45629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45629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45629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45629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45629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45629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45629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45629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45629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45629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45629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45629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45629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45629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45629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45629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45629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45629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45629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45629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45629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45629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45629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45629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45629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45629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45629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45629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45629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45629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45629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45629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45629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45629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45629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45629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45629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45629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45629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45629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45629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45629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45629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45629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45629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45629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45629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45629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45629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45629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45629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45629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45629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45629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45629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45629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45629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45629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45629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45629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45629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45629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45629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45629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45629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45629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45629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45629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45629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45629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45629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45629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45629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45629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45629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45629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45629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45629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45629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45629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45629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45629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45629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45629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45629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45629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45629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45629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45629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45629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45629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45629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45629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45629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45629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45629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45629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45629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45629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45629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45629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45629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50866-2024</t>
        </is>
      </c>
      <c r="B142" s="1" t="n">
        <v>45602</v>
      </c>
      <c r="C142" s="1" t="n">
        <v>45629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HYPERLINK("https://klasma.github.io/Logging_2582/artfynd/A 50866-2024 artfynd.xlsx", "A 50866-2024")</f>
        <v/>
      </c>
      <c r="T142">
        <f>HYPERLINK("https://klasma.github.io/Logging_2582/kartor/A 50866-2024 karta.png", "A 50866-2024")</f>
        <v/>
      </c>
      <c r="V142">
        <f>HYPERLINK("https://klasma.github.io/Logging_2582/klagomål/A 50866-2024 FSC-klagomål.docx", "A 50866-2024")</f>
        <v/>
      </c>
      <c r="W142">
        <f>HYPERLINK("https://klasma.github.io/Logging_2582/klagomålsmail/A 50866-2024 FSC-klagomål mail.docx", "A 50866-2024")</f>
        <v/>
      </c>
      <c r="X142">
        <f>HYPERLINK("https://klasma.github.io/Logging_2582/tillsyn/A 50866-2024 tillsynsbegäran.docx", "A 50866-2024")</f>
        <v/>
      </c>
      <c r="Y142">
        <f>HYPERLINK("https://klasma.github.io/Logging_2582/tillsynsmail/A 50866-2024 tillsynsbegäran mail.docx", "A 50866-2024")</f>
        <v/>
      </c>
    </row>
    <row r="143" ht="15" customHeight="1">
      <c r="A143" t="inlineStr">
        <is>
          <t>A 50912-2024</t>
        </is>
      </c>
      <c r="B143" s="1" t="n">
        <v>45602</v>
      </c>
      <c r="C143" s="1" t="n">
        <v>45629</v>
      </c>
      <c r="D143" t="inlineStr">
        <is>
          <t>NORRBOTTENS LÄN</t>
        </is>
      </c>
      <c r="E143" t="inlineStr">
        <is>
          <t>BODEN</t>
        </is>
      </c>
      <c r="G143" t="n">
        <v>3.5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HYPERLINK("https://klasma.github.io/Logging_2582/artfynd/A 50912-2024 artfynd.xlsx", "A 50912-2024")</f>
        <v/>
      </c>
      <c r="T143">
        <f>HYPERLINK("https://klasma.github.io/Logging_2582/kartor/A 50912-2024 karta.png", "A 50912-2024")</f>
        <v/>
      </c>
      <c r="V143">
        <f>HYPERLINK("https://klasma.github.io/Logging_2582/klagomål/A 50912-2024 FSC-klagomål.docx", "A 50912-2024")</f>
        <v/>
      </c>
      <c r="W143">
        <f>HYPERLINK("https://klasma.github.io/Logging_2582/klagomålsmail/A 50912-2024 FSC-klagomål mail.docx", "A 50912-2024")</f>
        <v/>
      </c>
      <c r="X143">
        <f>HYPERLINK("https://klasma.github.io/Logging_2582/tillsyn/A 50912-2024 tillsynsbegäran.docx", "A 50912-2024")</f>
        <v/>
      </c>
      <c r="Y143">
        <f>HYPERLINK("https://klasma.github.io/Logging_2582/tillsynsmail/A 50912-2024 tillsynsbegäran mail.docx", "A 50912-2024")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45629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45629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45629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45629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45629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45629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45629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45629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45629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45629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45629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45629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45629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45629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45629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45629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45629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45629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45629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45629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45629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45629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45629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45629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45629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45629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45629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45629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45629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45629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45629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45629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45629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45629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45629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45629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45629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45629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45629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45629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45629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45629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45629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45629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45629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45629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45629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45629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45629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45629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45629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45629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45629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45629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45629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45629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45629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45629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45629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45629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45629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45629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45629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45629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45629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45629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45629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45629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45629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45629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45629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45629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45629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45629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45629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45629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45629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45629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45629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45629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45629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45629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45629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45629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45629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45629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45629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45629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45629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45629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45629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45629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45629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45629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45629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45629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45629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45629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45629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45629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45629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45629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45629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45629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45629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45629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45629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45629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45629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45629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45629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45629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45629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45629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45629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45629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45629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45629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45629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45629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45629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45629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45629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45629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45629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45629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45629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45629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45629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45629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45629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45629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45629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45629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45629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45629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45629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45629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45629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45629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45629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45629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45629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45629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45629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45629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45629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45629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45629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45629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45629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45629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45629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45629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45629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45629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45629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45629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45629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45629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45629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45629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45629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45629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45629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45629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45629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45629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45629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45629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45629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45629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45629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45629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45629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45629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45629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45629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45629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45629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45629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45629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45629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45629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45629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45629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45629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45629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45629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45629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45629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45629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45629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45629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45629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45629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45629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45629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45629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45629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45629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45629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45629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45629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45629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45629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45629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45629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45629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45629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45629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45629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45629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45629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45629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45629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45629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45629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45629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45629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45629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45629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45629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45629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45629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45629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45629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45629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45629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45629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45629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45629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45629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45629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45629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45629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45629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45629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45629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45629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45629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45629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45629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45629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45629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45629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45629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45629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45629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45629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45629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45629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45629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45629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45629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45629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45629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45629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45629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45629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45629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45629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45629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45629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45629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45629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45629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45629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45629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45629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45629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45629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45629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45629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45629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45629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45629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45629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45629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45629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45629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45629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45629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45629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45629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45629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45629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45629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45629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45629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45629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45629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45629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45629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45629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45629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45629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45629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45629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45629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45629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45629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45629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45629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45629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45629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45629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45629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45629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45629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45629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45629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45629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45629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45629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45629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45629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45629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45629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45629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45629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45629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45629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45629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45629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45629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45629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45629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45629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45629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45629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45629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45629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45629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45629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45629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45629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45629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45629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45629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45629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45629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45629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45629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45629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45629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45629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45629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45629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45629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45629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45629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45629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45629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45629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45629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45629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45629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45629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45629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45629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45629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45629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45629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45629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45629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45629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45629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45629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45629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45629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45629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45629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45629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45629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45629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45629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45629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45629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45629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45629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45629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45629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45629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45629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45629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45629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45629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45629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45629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45629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45629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45629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45629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45629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45629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45629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45629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45629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45629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45629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45629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45629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45629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45629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45629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45629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45629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45629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45629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45629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45629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45629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45629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45629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45629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45629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45629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45629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45629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45629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45629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45629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45629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45629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45629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45629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45629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45629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45629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45629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45629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45629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45629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45629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45629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45629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45629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45629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45629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45629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45629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45629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45629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45629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45629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45629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45629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45629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45629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45629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45629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45629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45629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45629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45629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45629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45629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45629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45629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45629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45629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45629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45629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45629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45629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45629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45629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45629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45629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45629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45629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45629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45629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45629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45629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45629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45629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45629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45629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45629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45629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45629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45629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45629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45629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45629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45629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45629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45629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45629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45629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45629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45629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45629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45629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45629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45629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45629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45629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45629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45629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45629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45629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45629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45629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45629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45629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45629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45629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45629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45629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45629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45629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45629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45629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45629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45629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45629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45629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45629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45629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45629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45629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45629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45629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45629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45629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45629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45629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45629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45629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45629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45629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45629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45629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45629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45629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45629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45629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45629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45629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45629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45629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45629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45629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45629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45629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45629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45629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45629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45629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45629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45629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45629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45629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45629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45629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45629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45629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45629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45629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45629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45629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45629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45629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45629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45629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45629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45629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45629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45629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45629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45629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45629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45629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45629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45629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45629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45629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45629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45629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45629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45629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45629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45629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45629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45629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45629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45629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45629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45629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45629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45629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45629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45629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45629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45629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45629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45629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45629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45629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45629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45629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45629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45629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45629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45629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45629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45629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45629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45629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45629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45629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45629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45629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45629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45629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45629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45629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45629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45629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45629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45629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45629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45629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45629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45629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45629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45629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45629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45629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45629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45629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45629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45629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45629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45629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45629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45629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45629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45629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45629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45629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45629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45629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45629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45629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45629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45629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45629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45629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45629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45629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45629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45629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45629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45629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45629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45629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45629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45629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45629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45629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45629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45629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45629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45629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45629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45629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45629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45629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45629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45629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45629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45629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45629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45629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45629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45629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45629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45629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45629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45629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45629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45629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45629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45629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45629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45629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45629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45629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45629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45629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45629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45629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45629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45629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45629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45629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45629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45629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45629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45629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45629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45629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45629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45629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45629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45629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45629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45629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45629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45629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45629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45629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45629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45629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45629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45629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45629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45629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45629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45629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45629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45629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45629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45629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45629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45629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45629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45629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45629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45629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45629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45629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45629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45629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45629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45629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45629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45629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45629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45629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45629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45629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45629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45629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45629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45629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45629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45629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45629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45629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45629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45629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45629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45629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45629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45629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45629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45629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45629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45629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45629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45629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45629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45629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45629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45629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45629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45629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45629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45629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45629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45629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45629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45629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45629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45629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45629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45629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45629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45629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45629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45629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45629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45629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45629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45629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45629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45629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45629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45629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45629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45629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45629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45629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45629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45629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45629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45629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45629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45629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45629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45629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45629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45629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45629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45629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45629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45629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45629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45629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45629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45629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45629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45629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45629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45629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45629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45629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45629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45629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45629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45629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45629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45629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45629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45629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45629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45629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45629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45629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45629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45629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45629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45629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45629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45629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45629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45629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45629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45629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45629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45629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45629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45629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45629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45629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45629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45629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45629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45629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45629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45629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45629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45629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45629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45629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45629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45629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45629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45629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45629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45629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45629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45629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45629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45629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45629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45629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45629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45629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45629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45629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45629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45629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45629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45629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45629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45629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45629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45629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45629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45629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45629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45629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45629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45629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45629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45629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45629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45629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45629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45629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45629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45629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45629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45629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45629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45629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45629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45629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45629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45629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45629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45629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45629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45629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45629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45629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45629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45629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45629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45629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45629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45629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45629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45629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45629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45629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45629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45629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45629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45629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45629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45629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45629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45629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45629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45629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45629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45629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45629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45629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45629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45629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45629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45629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45629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45629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45629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45629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45629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45629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45629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45629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45629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45629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45629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45629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45629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45629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45629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45629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45629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45629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45629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45629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45629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45629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45629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45629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45629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45629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45629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45629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45629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45629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45629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45629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45629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45629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45629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45629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45629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45629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45629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45629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45629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45629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45629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45629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45629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45629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45629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45629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45629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45629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45629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45629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45629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45629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45629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45629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45629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45629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45629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45629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45629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45629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45629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45629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45629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45629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45629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45629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45629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45629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45629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45629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45629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45629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45629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45629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45629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45629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45629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45629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45629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45629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45629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45629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45629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45629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45629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45629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45629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45629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45629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45629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45629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45629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45629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45629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45629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45629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45629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45629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45629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45629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45629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45629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45629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45629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45629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45629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45629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45629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45629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45629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45629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45629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45629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45629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45629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45629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45629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45629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45629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45629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45629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45629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45629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45629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45629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45629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45629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45629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45629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45629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45629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45629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45629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45629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45629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45629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45629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45629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45629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45629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45629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45629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45629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45629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45629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45629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45629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45629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45629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45629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45629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45629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45629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45629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45629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45629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45629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45629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45629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45629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45629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45629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45629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45629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45629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45629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45629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45629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45629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45629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45629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45629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45629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45629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45629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45629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45629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45629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45629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45629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45629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45629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45629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45629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45629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45629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45629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45629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45629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45629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45629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45629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45629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45629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45629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45629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45629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45629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45629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45629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45629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45629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45629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45629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45629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45629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45629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45629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45629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45629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45629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45629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45629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45629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45629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45629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45629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45629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45629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45629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45629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45629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45629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45629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45629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51294-2024</t>
        </is>
      </c>
      <c r="B1311" s="1" t="n">
        <v>45603</v>
      </c>
      <c r="C1311" s="1" t="n">
        <v>45629</v>
      </c>
      <c r="D1311" t="inlineStr">
        <is>
          <t>NORRBOTTENS LÄN</t>
        </is>
      </c>
      <c r="E1311" t="inlineStr">
        <is>
          <t>BODEN</t>
        </is>
      </c>
      <c r="G1311" t="n">
        <v>17.3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51279-2024</t>
        </is>
      </c>
      <c r="B1312" s="1" t="n">
        <v>45603</v>
      </c>
      <c r="C1312" s="1" t="n">
        <v>45629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51280-2024</t>
        </is>
      </c>
      <c r="B1313" s="1" t="n">
        <v>45603</v>
      </c>
      <c r="C1313" s="1" t="n">
        <v>45629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51607-2024</t>
        </is>
      </c>
      <c r="B1314" s="1" t="n">
        <v>45604</v>
      </c>
      <c r="C1314" s="1" t="n">
        <v>45629</v>
      </c>
      <c r="D1314" t="inlineStr">
        <is>
          <t>NORRBOTTENS LÄN</t>
        </is>
      </c>
      <c r="E1314" t="inlineStr">
        <is>
          <t>BODEN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51614-2024</t>
        </is>
      </c>
      <c r="B1315" s="1" t="n">
        <v>45604</v>
      </c>
      <c r="C1315" s="1" t="n">
        <v>45629</v>
      </c>
      <c r="D1315" t="inlineStr">
        <is>
          <t>NORRBOTTENS LÄN</t>
        </is>
      </c>
      <c r="E1315" t="inlineStr">
        <is>
          <t>BODEN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45629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52248-2024</t>
        </is>
      </c>
      <c r="B1317" s="1" t="n">
        <v>45608</v>
      </c>
      <c r="C1317" s="1" t="n">
        <v>45629</v>
      </c>
      <c r="D1317" t="inlineStr">
        <is>
          <t>NORRBOTTENS LÄN</t>
        </is>
      </c>
      <c r="E1317" t="inlineStr">
        <is>
          <t>BODEN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52246-2024</t>
        </is>
      </c>
      <c r="B1318" s="1" t="n">
        <v>45608</v>
      </c>
      <c r="C1318" s="1" t="n">
        <v>45629</v>
      </c>
      <c r="D1318" t="inlineStr">
        <is>
          <t>NORRBOTTENS LÄN</t>
        </is>
      </c>
      <c r="E1318" t="inlineStr">
        <is>
          <t>BODEN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52247-2024</t>
        </is>
      </c>
      <c r="B1319" s="1" t="n">
        <v>45608</v>
      </c>
      <c r="C1319" s="1" t="n">
        <v>45629</v>
      </c>
      <c r="D1319" t="inlineStr">
        <is>
          <t>NORRBOTTENS LÄN</t>
        </is>
      </c>
      <c r="E1319" t="inlineStr">
        <is>
          <t>BODEN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45629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54067-2024</t>
        </is>
      </c>
      <c r="B1321" s="1" t="n">
        <v>45616</v>
      </c>
      <c r="C1321" s="1" t="n">
        <v>45629</v>
      </c>
      <c r="D1321" t="inlineStr">
        <is>
          <t>NORRBOTTENS LÄN</t>
        </is>
      </c>
      <c r="E1321" t="inlineStr">
        <is>
          <t>BODEN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54718-2024</t>
        </is>
      </c>
      <c r="B1322" s="1" t="n">
        <v>45618</v>
      </c>
      <c r="C1322" s="1" t="n">
        <v>45629</v>
      </c>
      <c r="D1322" t="inlineStr">
        <is>
          <t>NORRBOTTENS LÄN</t>
        </is>
      </c>
      <c r="E1322" t="inlineStr">
        <is>
          <t>BODEN</t>
        </is>
      </c>
      <c r="F1322" t="inlineStr">
        <is>
          <t>SCA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54722-2024</t>
        </is>
      </c>
      <c r="B1323" s="1" t="n">
        <v>45618</v>
      </c>
      <c r="C1323" s="1" t="n">
        <v>45629</v>
      </c>
      <c r="D1323" t="inlineStr">
        <is>
          <t>NORRBOTTENS LÄN</t>
        </is>
      </c>
      <c r="E1323" t="inlineStr">
        <is>
          <t>BODEN</t>
        </is>
      </c>
      <c r="F1323" t="inlineStr">
        <is>
          <t>Naturvårdsverket</t>
        </is>
      </c>
      <c r="G1323" t="n">
        <v>12.9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54765-2024</t>
        </is>
      </c>
      <c r="B1324" s="1" t="n">
        <v>45618</v>
      </c>
      <c r="C1324" s="1" t="n">
        <v>45629</v>
      </c>
      <c r="D1324" t="inlineStr">
        <is>
          <t>NORRBOTTENS LÄN</t>
        </is>
      </c>
      <c r="E1324" t="inlineStr">
        <is>
          <t>BODEN</t>
        </is>
      </c>
      <c r="F1324" t="inlineStr">
        <is>
          <t>SCA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56139-2024</t>
        </is>
      </c>
      <c r="B1325" s="1" t="n">
        <v>45624</v>
      </c>
      <c r="C1325" s="1" t="n">
        <v>45629</v>
      </c>
      <c r="D1325" t="inlineStr">
        <is>
          <t>NORRBOTTENS LÄN</t>
        </is>
      </c>
      <c r="E1325" t="inlineStr">
        <is>
          <t>BODEN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56457-2024</t>
        </is>
      </c>
      <c r="B1326" s="1" t="n">
        <v>45625</v>
      </c>
      <c r="C1326" s="1" t="n">
        <v>45629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56711-2024</t>
        </is>
      </c>
      <c r="B1327" s="1" t="n">
        <v>45628</v>
      </c>
      <c r="C1327" s="1" t="n">
        <v>45629</v>
      </c>
      <c r="D1327" t="inlineStr">
        <is>
          <t>NORRBOTTENS LÄN</t>
        </is>
      </c>
      <c r="E1327" t="inlineStr">
        <is>
          <t>BODEN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2024-12-03T15:17:04Z</dcterms:created>
  <dcterms:modified xmlns:dcterms="http://purl.org/dc/terms/" xmlns:xsi="http://www.w3.org/2001/XMLSchema-instance" xsi:type="dcterms:W3CDTF">2024-12-03T15:17:05Z</dcterms:modified>
</cp:coreProperties>
</file>